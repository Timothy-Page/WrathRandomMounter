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0" yWindow="100" windowWidth="16010" windowHeight="13590" activeTab="2"/>
  </bookViews>
  <sheets>
    <sheet name="Raw" sheetId="1" r:id="rId1"/>
    <sheet name="MountsByName" sheetId="2" r:id="rId2"/>
    <sheet name="MountsBySpell" sheetId="3" r:id="rId3"/>
    <sheet name="FinalData" sheetId="4" r:id="rId4"/>
    <sheet name="SpellID List" sheetId="6" r:id="rId5"/>
    <sheet name="Sheet2" sheetId="8" r:id="rId6"/>
  </sheets>
  <calcPr calcId="145621"/>
</workbook>
</file>

<file path=xl/calcChain.xml><?xml version="1.0" encoding="utf-8"?>
<calcChain xmlns="http://schemas.openxmlformats.org/spreadsheetml/2006/main">
  <c r="C334" i="3" l="1"/>
  <c r="C243" i="3"/>
  <c r="C447" i="3"/>
  <c r="C317" i="3"/>
  <c r="C472" i="3"/>
  <c r="C106" i="3"/>
  <c r="C375" i="3"/>
  <c r="C169" i="3"/>
  <c r="C213" i="3"/>
  <c r="C312" i="3"/>
  <c r="C471" i="3"/>
  <c r="C388" i="3"/>
  <c r="C352" i="3"/>
  <c r="C464" i="3"/>
  <c r="C477" i="3"/>
  <c r="C168" i="3"/>
  <c r="C376" i="3"/>
  <c r="C391" i="3"/>
  <c r="C175" i="3"/>
  <c r="C241" i="3"/>
  <c r="C288" i="3"/>
  <c r="C355" i="3"/>
  <c r="C296" i="3"/>
  <c r="C34" i="3"/>
  <c r="C486" i="3"/>
  <c r="C90" i="3"/>
  <c r="C414" i="3"/>
  <c r="C56" i="3"/>
  <c r="C459" i="3"/>
  <c r="C270" i="3"/>
  <c r="C61" i="3"/>
  <c r="C54" i="3"/>
  <c r="C53" i="3"/>
  <c r="C420" i="3"/>
  <c r="C305" i="3"/>
  <c r="C51" i="3"/>
  <c r="C474" i="3"/>
  <c r="C126" i="3"/>
  <c r="C30" i="3"/>
  <c r="C99" i="3"/>
  <c r="C68" i="3"/>
  <c r="C264" i="3"/>
  <c r="C199" i="3"/>
  <c r="C156" i="3"/>
  <c r="C448" i="3"/>
  <c r="C98" i="3"/>
  <c r="C216" i="3"/>
  <c r="C187" i="3"/>
  <c r="C27" i="3"/>
  <c r="C48" i="3"/>
  <c r="C49" i="3"/>
  <c r="C164" i="3"/>
  <c r="C170" i="3"/>
  <c r="C58" i="3"/>
  <c r="C83" i="3"/>
  <c r="C488" i="3"/>
  <c r="C439" i="3"/>
  <c r="C308" i="3"/>
  <c r="C307" i="3"/>
  <c r="C389" i="3"/>
  <c r="C202" i="3"/>
  <c r="C463" i="3"/>
  <c r="C353" i="3"/>
  <c r="C465" i="3"/>
  <c r="C340" i="3"/>
  <c r="C421" i="3"/>
  <c r="C50" i="3"/>
  <c r="C246" i="3"/>
  <c r="C397" i="3"/>
  <c r="C59" i="3"/>
  <c r="C487" i="3"/>
  <c r="C144" i="3"/>
  <c r="C324" i="3"/>
  <c r="C12" i="3"/>
  <c r="C452" i="3"/>
  <c r="C47" i="3"/>
  <c r="C255" i="3"/>
  <c r="C306" i="3"/>
  <c r="C82" i="3"/>
  <c r="C111" i="3"/>
  <c r="C370" i="3"/>
  <c r="C217" i="3"/>
  <c r="C438" i="3"/>
  <c r="C19" i="3"/>
  <c r="C395" i="3"/>
  <c r="C60" i="3"/>
  <c r="C392" i="3"/>
  <c r="C462" i="3"/>
  <c r="C440" i="3"/>
  <c r="C252" i="3"/>
  <c r="C329" i="3"/>
  <c r="C410" i="3"/>
  <c r="C43" i="3"/>
  <c r="C84" i="3"/>
  <c r="C191" i="3"/>
  <c r="C41" i="3"/>
  <c r="C341" i="3"/>
  <c r="C422" i="3"/>
  <c r="C75" i="3"/>
  <c r="C40" i="3"/>
  <c r="C39" i="3"/>
  <c r="C155" i="3"/>
  <c r="C454" i="3"/>
  <c r="C372" i="3"/>
  <c r="C125" i="3"/>
  <c r="C485" i="3"/>
  <c r="C62" i="3"/>
  <c r="C157" i="3"/>
  <c r="C285" i="3"/>
  <c r="C38" i="3"/>
  <c r="C37" i="3"/>
  <c r="C36" i="3"/>
  <c r="C147" i="3"/>
  <c r="C237" i="3"/>
  <c r="C77" i="3"/>
  <c r="C143" i="3"/>
  <c r="C171" i="3"/>
  <c r="C437" i="3"/>
  <c r="C220" i="3"/>
  <c r="C232" i="3"/>
  <c r="C35" i="3"/>
  <c r="C91" i="3"/>
  <c r="C122" i="3"/>
  <c r="C354" i="3"/>
  <c r="C203" i="3"/>
  <c r="C121" i="3"/>
  <c r="C138" i="3"/>
  <c r="C466" i="3"/>
  <c r="C120" i="3"/>
  <c r="C423" i="3"/>
  <c r="C427" i="3"/>
  <c r="C118" i="3"/>
  <c r="C205" i="3"/>
  <c r="C117" i="3"/>
  <c r="C15" i="3"/>
  <c r="C316" i="3"/>
  <c r="C8" i="3"/>
  <c r="C314" i="3"/>
  <c r="C179" i="3"/>
  <c r="C29" i="3"/>
  <c r="C256" i="3"/>
  <c r="C483" i="3"/>
  <c r="C396" i="3"/>
  <c r="C115" i="3"/>
  <c r="C313" i="3"/>
  <c r="C114" i="3"/>
  <c r="C480" i="3"/>
  <c r="C184" i="3"/>
  <c r="C137" i="3"/>
  <c r="C100" i="3"/>
  <c r="C327" i="3"/>
  <c r="C332" i="3"/>
  <c r="C441" i="3"/>
  <c r="C92" i="3"/>
  <c r="C295" i="3"/>
  <c r="C177" i="3"/>
  <c r="C188" i="3"/>
  <c r="C109" i="3"/>
  <c r="C18" i="3"/>
  <c r="C299" i="3"/>
  <c r="C328" i="3"/>
  <c r="C424" i="3"/>
  <c r="C108" i="3"/>
  <c r="C247" i="3"/>
  <c r="C152" i="3"/>
  <c r="C442" i="3"/>
  <c r="C475" i="3"/>
  <c r="C428" i="3"/>
  <c r="C146" i="3"/>
  <c r="C224" i="3"/>
  <c r="C200" i="3"/>
  <c r="C346" i="3"/>
  <c r="C183" i="3"/>
  <c r="C33" i="3"/>
  <c r="C192" i="3"/>
  <c r="C32" i="3"/>
  <c r="C451" i="3"/>
  <c r="C310" i="3"/>
  <c r="C215" i="3"/>
  <c r="C282" i="3"/>
  <c r="C468" i="3"/>
  <c r="C101" i="3"/>
  <c r="C489" i="3"/>
  <c r="C281" i="3"/>
  <c r="C280" i="3"/>
  <c r="C415" i="3"/>
  <c r="C364" i="3"/>
  <c r="C390" i="3"/>
  <c r="C228" i="3"/>
  <c r="C160" i="3"/>
  <c r="C193" i="3"/>
  <c r="C132" i="3"/>
  <c r="C366" i="3"/>
  <c r="C409" i="3"/>
  <c r="C28" i="3"/>
  <c r="C277" i="3"/>
  <c r="C206" i="3"/>
  <c r="C72" i="3"/>
  <c r="C275" i="3"/>
  <c r="C274" i="3"/>
  <c r="C55" i="3"/>
  <c r="C166" i="3"/>
  <c r="C363" i="3"/>
  <c r="C405" i="3"/>
  <c r="C417" i="3"/>
  <c r="C93" i="3"/>
  <c r="C272" i="3"/>
  <c r="C151" i="3"/>
  <c r="C80" i="3"/>
  <c r="C238" i="3"/>
  <c r="C180" i="3"/>
  <c r="C141" i="3"/>
  <c r="C172" i="3"/>
  <c r="C102" i="3"/>
  <c r="C425" i="3"/>
  <c r="C197" i="3"/>
  <c r="C222" i="3"/>
  <c r="C127" i="3"/>
  <c r="C408" i="3"/>
  <c r="C368" i="3"/>
  <c r="C212" i="3"/>
  <c r="C449" i="3"/>
  <c r="C343" i="3"/>
  <c r="C467" i="3"/>
  <c r="C14" i="3"/>
  <c r="C323" i="3"/>
  <c r="C131" i="3"/>
  <c r="C248" i="3"/>
  <c r="C196" i="3"/>
  <c r="C443" i="3"/>
  <c r="C359" i="3"/>
  <c r="C276" i="3"/>
  <c r="C257" i="3"/>
  <c r="C20" i="3"/>
  <c r="C63" i="3"/>
  <c r="C158" i="3"/>
  <c r="C418" i="3"/>
  <c r="C94" i="3"/>
  <c r="C357" i="3"/>
  <c r="C278" i="3"/>
  <c r="C23" i="3"/>
  <c r="C433" i="3"/>
  <c r="C365" i="3"/>
  <c r="C286" i="3"/>
  <c r="C176" i="3"/>
  <c r="C103" i="3"/>
  <c r="C490" i="3"/>
  <c r="C309" i="3"/>
  <c r="C139" i="3"/>
  <c r="C360" i="3"/>
  <c r="C105" i="3"/>
  <c r="C267" i="3"/>
  <c r="C266" i="3"/>
  <c r="C336" i="3"/>
  <c r="C66" i="3"/>
  <c r="C134" i="3"/>
  <c r="C142" i="3"/>
  <c r="C430" i="3"/>
  <c r="C208" i="3"/>
  <c r="C79" i="3"/>
  <c r="C478" i="3"/>
  <c r="C2" i="3"/>
  <c r="C190" i="3"/>
  <c r="C214" i="3"/>
  <c r="C140" i="3"/>
  <c r="C362" i="3"/>
  <c r="C116" i="3"/>
  <c r="C261" i="3"/>
  <c r="C419" i="3"/>
  <c r="C162" i="3"/>
  <c r="C470" i="3"/>
  <c r="C479" i="3"/>
  <c r="C320" i="3"/>
  <c r="C16" i="3"/>
  <c r="C431" i="3"/>
  <c r="C76" i="3"/>
  <c r="C173" i="3"/>
  <c r="C104" i="3"/>
  <c r="C74" i="3"/>
  <c r="C455" i="3"/>
  <c r="C242" i="3"/>
  <c r="C195" i="3"/>
  <c r="C150" i="3"/>
  <c r="C456" i="3"/>
  <c r="C460" i="3"/>
  <c r="C450" i="3"/>
  <c r="C31" i="3"/>
  <c r="C457" i="3"/>
  <c r="C304" i="3"/>
  <c r="C159" i="3"/>
  <c r="C73" i="3"/>
  <c r="C458" i="3"/>
  <c r="C398" i="3"/>
  <c r="C444" i="3"/>
  <c r="C326" i="3"/>
  <c r="C279" i="3"/>
  <c r="C349" i="3"/>
  <c r="C382" i="3"/>
  <c r="C384" i="3"/>
  <c r="C165" i="3"/>
  <c r="C219" i="3"/>
  <c r="C361" i="3"/>
  <c r="C71" i="3"/>
  <c r="C453" i="3"/>
  <c r="C284" i="3"/>
  <c r="C325" i="3"/>
  <c r="C225" i="3"/>
  <c r="C407" i="3"/>
  <c r="C174" i="3"/>
  <c r="C7" i="3"/>
  <c r="C4" i="3"/>
  <c r="C406" i="3"/>
  <c r="C85" i="3"/>
  <c r="C287" i="3"/>
  <c r="C356" i="3"/>
  <c r="C268" i="3"/>
  <c r="C335" i="3"/>
  <c r="C337" i="3"/>
  <c r="C259" i="3"/>
  <c r="C303" i="3"/>
  <c r="C379" i="3"/>
  <c r="C87" i="3"/>
  <c r="C136" i="3"/>
  <c r="C373" i="3"/>
  <c r="C42" i="3"/>
  <c r="C145" i="3"/>
  <c r="C412" i="3"/>
  <c r="C57" i="3"/>
  <c r="C86" i="3"/>
  <c r="C253" i="3"/>
  <c r="C411" i="3"/>
  <c r="C297" i="3"/>
  <c r="C404" i="3"/>
  <c r="C130" i="3"/>
  <c r="C403" i="3"/>
  <c r="C227" i="3"/>
  <c r="C385" i="3"/>
  <c r="C381" i="3"/>
  <c r="C13" i="3"/>
  <c r="C211" i="3"/>
  <c r="C163" i="3"/>
  <c r="C271" i="3"/>
  <c r="C260" i="3"/>
  <c r="C198" i="3"/>
  <c r="C429" i="3"/>
  <c r="C298" i="3"/>
  <c r="C283" i="3"/>
  <c r="C124" i="3"/>
  <c r="C123" i="3"/>
  <c r="C301" i="3"/>
  <c r="C221" i="3"/>
  <c r="C186" i="3"/>
  <c r="C128" i="3"/>
  <c r="C112" i="3"/>
  <c r="C399" i="3"/>
  <c r="C249" i="3"/>
  <c r="C97" i="3"/>
  <c r="C445" i="3"/>
  <c r="C473" i="3"/>
  <c r="C161" i="3"/>
  <c r="C434" i="3"/>
  <c r="C265" i="3"/>
  <c r="C289" i="3"/>
  <c r="C129" i="3"/>
  <c r="C185" i="3"/>
  <c r="C358" i="3"/>
  <c r="C218" i="3"/>
  <c r="C22" i="3"/>
  <c r="C6" i="3"/>
  <c r="C321" i="3"/>
  <c r="C239" i="3"/>
  <c r="C311" i="3"/>
  <c r="C432" i="3"/>
  <c r="C25" i="3"/>
  <c r="C24" i="3"/>
  <c r="C119" i="3"/>
  <c r="C426" i="3"/>
  <c r="C339" i="3"/>
  <c r="C67" i="3"/>
  <c r="C273" i="3"/>
  <c r="C350" i="3"/>
  <c r="C338" i="3"/>
  <c r="C230" i="3"/>
  <c r="C96" i="3"/>
  <c r="C481" i="3"/>
  <c r="C113" i="3"/>
  <c r="C436" i="3"/>
  <c r="C229" i="3"/>
  <c r="C44" i="3"/>
  <c r="C400" i="3"/>
  <c r="C78" i="3"/>
  <c r="C70" i="3"/>
  <c r="C88" i="3"/>
  <c r="C378" i="3"/>
  <c r="C290" i="3"/>
  <c r="C262" i="3"/>
  <c r="C377" i="3"/>
  <c r="C178" i="3"/>
  <c r="C482" i="3"/>
  <c r="C135" i="3"/>
  <c r="C81" i="3"/>
  <c r="C52" i="3"/>
  <c r="C204" i="3"/>
  <c r="C17" i="3"/>
  <c r="C95" i="3"/>
  <c r="C330" i="3"/>
  <c r="C331" i="3"/>
  <c r="C10" i="3"/>
  <c r="C293" i="3"/>
  <c r="C393" i="3"/>
  <c r="C209" i="3"/>
  <c r="C69" i="3"/>
  <c r="C254" i="3"/>
  <c r="C210" i="3"/>
  <c r="C484" i="3"/>
  <c r="C236" i="3"/>
  <c r="C383" i="3"/>
  <c r="C148" i="3"/>
  <c r="C21" i="3"/>
  <c r="C250" i="3"/>
  <c r="C153" i="3"/>
  <c r="C347" i="3"/>
  <c r="C476" i="3"/>
  <c r="C5" i="3"/>
  <c r="C89" i="3"/>
  <c r="C333" i="3"/>
  <c r="C291" i="3"/>
  <c r="C446" i="3"/>
  <c r="C294" i="3"/>
  <c r="C416" i="3"/>
  <c r="C469" i="3"/>
  <c r="C235" i="3"/>
  <c r="C367" i="3"/>
  <c r="C149" i="3"/>
  <c r="C182" i="3"/>
  <c r="C435" i="3"/>
  <c r="C244" i="3"/>
  <c r="C201" i="3"/>
  <c r="C380" i="3"/>
  <c r="C11" i="3"/>
  <c r="C342" i="3"/>
  <c r="C394" i="3"/>
  <c r="C194" i="3"/>
  <c r="C269" i="3"/>
  <c r="C65" i="3"/>
  <c r="C351" i="3"/>
  <c r="C231" i="3"/>
  <c r="C258" i="3"/>
  <c r="C371" i="3"/>
  <c r="C181" i="3"/>
  <c r="C374" i="3"/>
  <c r="C369" i="3"/>
  <c r="C45" i="3"/>
  <c r="C226" i="3"/>
  <c r="C234" i="3"/>
  <c r="C64" i="3"/>
  <c r="C319" i="3"/>
  <c r="C413" i="3"/>
  <c r="C292" i="3"/>
  <c r="C9" i="3"/>
  <c r="C387" i="3"/>
  <c r="C401" i="3"/>
  <c r="C318" i="3"/>
  <c r="C240" i="3"/>
  <c r="C386" i="3"/>
  <c r="C344" i="3"/>
  <c r="C3" i="3"/>
  <c r="C107" i="3"/>
  <c r="C46" i="3"/>
  <c r="C322" i="3"/>
  <c r="C461" i="3"/>
  <c r="C348" i="3"/>
  <c r="C251" i="3"/>
  <c r="C133" i="3"/>
  <c r="C223" i="3"/>
  <c r="C300" i="3"/>
  <c r="C345" i="3"/>
  <c r="C402" i="3"/>
  <c r="C167" i="3"/>
  <c r="C233" i="3"/>
  <c r="C110" i="3"/>
  <c r="C26" i="3"/>
  <c r="C245" i="3"/>
  <c r="C315" i="3"/>
  <c r="C154" i="3"/>
  <c r="C207" i="3"/>
  <c r="C302" i="3"/>
  <c r="D334" i="3"/>
  <c r="D243" i="3"/>
  <c r="D447" i="3"/>
  <c r="D317" i="3"/>
  <c r="D472" i="3"/>
  <c r="D106" i="3"/>
  <c r="D375" i="3"/>
  <c r="D169" i="3"/>
  <c r="D213" i="3"/>
  <c r="D312" i="3"/>
  <c r="D471" i="3"/>
  <c r="D388" i="3"/>
  <c r="D352" i="3"/>
  <c r="D464" i="3"/>
  <c r="D477" i="3"/>
  <c r="D168" i="3"/>
  <c r="D376" i="3"/>
  <c r="D391" i="3"/>
  <c r="D175" i="3"/>
  <c r="D241" i="3"/>
  <c r="D288" i="3"/>
  <c r="D355" i="3"/>
  <c r="D296" i="3"/>
  <c r="D34" i="3"/>
  <c r="D486" i="3"/>
  <c r="D90" i="3"/>
  <c r="D414" i="3"/>
  <c r="D56" i="3"/>
  <c r="D459" i="3"/>
  <c r="D270" i="3"/>
  <c r="D61" i="3"/>
  <c r="D54" i="3"/>
  <c r="D53" i="3"/>
  <c r="D420" i="3"/>
  <c r="D305" i="3"/>
  <c r="D51" i="3"/>
  <c r="D474" i="3"/>
  <c r="D126" i="3"/>
  <c r="D30" i="3"/>
  <c r="D99" i="3"/>
  <c r="D68" i="3"/>
  <c r="D264" i="3"/>
  <c r="D199" i="3"/>
  <c r="D156" i="3"/>
  <c r="D448" i="3"/>
  <c r="D98" i="3"/>
  <c r="D216" i="3"/>
  <c r="D187" i="3"/>
  <c r="D27" i="3"/>
  <c r="D48" i="3"/>
  <c r="D49" i="3"/>
  <c r="D164" i="3"/>
  <c r="D170" i="3"/>
  <c r="D58" i="3"/>
  <c r="D83" i="3"/>
  <c r="D488" i="3"/>
  <c r="D439" i="3"/>
  <c r="D308" i="3"/>
  <c r="D307" i="3"/>
  <c r="D389" i="3"/>
  <c r="D202" i="3"/>
  <c r="D463" i="3"/>
  <c r="D353" i="3"/>
  <c r="D465" i="3"/>
  <c r="D340" i="3"/>
  <c r="D421" i="3"/>
  <c r="D50" i="3"/>
  <c r="D246" i="3"/>
  <c r="D397" i="3"/>
  <c r="D59" i="3"/>
  <c r="D487" i="3"/>
  <c r="D144" i="3"/>
  <c r="D324" i="3"/>
  <c r="D12" i="3"/>
  <c r="D452" i="3"/>
  <c r="D47" i="3"/>
  <c r="D255" i="3"/>
  <c r="D306" i="3"/>
  <c r="D82" i="3"/>
  <c r="D111" i="3"/>
  <c r="D370" i="3"/>
  <c r="D217" i="3"/>
  <c r="D438" i="3"/>
  <c r="D19" i="3"/>
  <c r="D395" i="3"/>
  <c r="D60" i="3"/>
  <c r="D392" i="3"/>
  <c r="D462" i="3"/>
  <c r="D440" i="3"/>
  <c r="D252" i="3"/>
  <c r="D329" i="3"/>
  <c r="D410" i="3"/>
  <c r="D43" i="3"/>
  <c r="D84" i="3"/>
  <c r="D191" i="3"/>
  <c r="D41" i="3"/>
  <c r="D341" i="3"/>
  <c r="D422" i="3"/>
  <c r="D75" i="3"/>
  <c r="D40" i="3"/>
  <c r="D39" i="3"/>
  <c r="D155" i="3"/>
  <c r="D454" i="3"/>
  <c r="D372" i="3"/>
  <c r="D125" i="3"/>
  <c r="D485" i="3"/>
  <c r="D62" i="3"/>
  <c r="D157" i="3"/>
  <c r="D285" i="3"/>
  <c r="D38" i="3"/>
  <c r="D37" i="3"/>
  <c r="D36" i="3"/>
  <c r="D147" i="3"/>
  <c r="D237" i="3"/>
  <c r="D77" i="3"/>
  <c r="D143" i="3"/>
  <c r="D171" i="3"/>
  <c r="D437" i="3"/>
  <c r="D220" i="3"/>
  <c r="D232" i="3"/>
  <c r="D35" i="3"/>
  <c r="D91" i="3"/>
  <c r="D122" i="3"/>
  <c r="D354" i="3"/>
  <c r="D203" i="3"/>
  <c r="D121" i="3"/>
  <c r="D138" i="3"/>
  <c r="D466" i="3"/>
  <c r="D120" i="3"/>
  <c r="D423" i="3"/>
  <c r="D427" i="3"/>
  <c r="D118" i="3"/>
  <c r="D205" i="3"/>
  <c r="D117" i="3"/>
  <c r="D15" i="3"/>
  <c r="D316" i="3"/>
  <c r="D8" i="3"/>
  <c r="D314" i="3"/>
  <c r="D179" i="3"/>
  <c r="D29" i="3"/>
  <c r="D256" i="3"/>
  <c r="D483" i="3"/>
  <c r="D396" i="3"/>
  <c r="D115" i="3"/>
  <c r="D313" i="3"/>
  <c r="D114" i="3"/>
  <c r="D480" i="3"/>
  <c r="D184" i="3"/>
  <c r="D137" i="3"/>
  <c r="D100" i="3"/>
  <c r="D327" i="3"/>
  <c r="D332" i="3"/>
  <c r="D441" i="3"/>
  <c r="D92" i="3"/>
  <c r="D295" i="3"/>
  <c r="D177" i="3"/>
  <c r="D188" i="3"/>
  <c r="D109" i="3"/>
  <c r="D18" i="3"/>
  <c r="D299" i="3"/>
  <c r="D328" i="3"/>
  <c r="D424" i="3"/>
  <c r="D108" i="3"/>
  <c r="D247" i="3"/>
  <c r="D152" i="3"/>
  <c r="D442" i="3"/>
  <c r="D475" i="3"/>
  <c r="D428" i="3"/>
  <c r="D146" i="3"/>
  <c r="D224" i="3"/>
  <c r="D200" i="3"/>
  <c r="D346" i="3"/>
  <c r="D183" i="3"/>
  <c r="D33" i="3"/>
  <c r="D192" i="3"/>
  <c r="D32" i="3"/>
  <c r="D451" i="3"/>
  <c r="D310" i="3"/>
  <c r="D215" i="3"/>
  <c r="D282" i="3"/>
  <c r="D468" i="3"/>
  <c r="D101" i="3"/>
  <c r="D489" i="3"/>
  <c r="D281" i="3"/>
  <c r="D280" i="3"/>
  <c r="D415" i="3"/>
  <c r="D364" i="3"/>
  <c r="D390" i="3"/>
  <c r="D228" i="3"/>
  <c r="D160" i="3"/>
  <c r="D193" i="3"/>
  <c r="D132" i="3"/>
  <c r="D366" i="3"/>
  <c r="D409" i="3"/>
  <c r="D28" i="3"/>
  <c r="D277" i="3"/>
  <c r="D206" i="3"/>
  <c r="D72" i="3"/>
  <c r="D275" i="3"/>
  <c r="D274" i="3"/>
  <c r="D55" i="3"/>
  <c r="D166" i="3"/>
  <c r="D363" i="3"/>
  <c r="D405" i="3"/>
  <c r="D417" i="3"/>
  <c r="D93" i="3"/>
  <c r="D272" i="3"/>
  <c r="D151" i="3"/>
  <c r="D80" i="3"/>
  <c r="D238" i="3"/>
  <c r="D180" i="3"/>
  <c r="D141" i="3"/>
  <c r="D172" i="3"/>
  <c r="D102" i="3"/>
  <c r="D425" i="3"/>
  <c r="D197" i="3"/>
  <c r="D222" i="3"/>
  <c r="D127" i="3"/>
  <c r="D408" i="3"/>
  <c r="D368" i="3"/>
  <c r="D212" i="3"/>
  <c r="D449" i="3"/>
  <c r="D343" i="3"/>
  <c r="D467" i="3"/>
  <c r="D14" i="3"/>
  <c r="D323" i="3"/>
  <c r="D131" i="3"/>
  <c r="D248" i="3"/>
  <c r="D196" i="3"/>
  <c r="D443" i="3"/>
  <c r="D359" i="3"/>
  <c r="D276" i="3"/>
  <c r="D257" i="3"/>
  <c r="D20" i="3"/>
  <c r="D63" i="3"/>
  <c r="D158" i="3"/>
  <c r="D418" i="3"/>
  <c r="D94" i="3"/>
  <c r="D357" i="3"/>
  <c r="D278" i="3"/>
  <c r="D23" i="3"/>
  <c r="D433" i="3"/>
  <c r="D365" i="3"/>
  <c r="D286" i="3"/>
  <c r="D176" i="3"/>
  <c r="D103" i="3"/>
  <c r="D490" i="3"/>
  <c r="D309" i="3"/>
  <c r="D139" i="3"/>
  <c r="D360" i="3"/>
  <c r="D105" i="3"/>
  <c r="D267" i="3"/>
  <c r="D266" i="3"/>
  <c r="D336" i="3"/>
  <c r="D66" i="3"/>
  <c r="D134" i="3"/>
  <c r="D142" i="3"/>
  <c r="D430" i="3"/>
  <c r="D208" i="3"/>
  <c r="D79" i="3"/>
  <c r="D478" i="3"/>
  <c r="D2" i="3"/>
  <c r="D190" i="3"/>
  <c r="D214" i="3"/>
  <c r="D140" i="3"/>
  <c r="D362" i="3"/>
  <c r="D116" i="3"/>
  <c r="D261" i="3"/>
  <c r="D419" i="3"/>
  <c r="D162" i="3"/>
  <c r="D470" i="3"/>
  <c r="D479" i="3"/>
  <c r="D320" i="3"/>
  <c r="D16" i="3"/>
  <c r="D431" i="3"/>
  <c r="D76" i="3"/>
  <c r="D173" i="3"/>
  <c r="D104" i="3"/>
  <c r="D74" i="3"/>
  <c r="D455" i="3"/>
  <c r="D242" i="3"/>
  <c r="D195" i="3"/>
  <c r="D150" i="3"/>
  <c r="D456" i="3"/>
  <c r="D460" i="3"/>
  <c r="D450" i="3"/>
  <c r="D31" i="3"/>
  <c r="D457" i="3"/>
  <c r="D304" i="3"/>
  <c r="D159" i="3"/>
  <c r="D73" i="3"/>
  <c r="D458" i="3"/>
  <c r="D398" i="3"/>
  <c r="D444" i="3"/>
  <c r="D326" i="3"/>
  <c r="D279" i="3"/>
  <c r="D349" i="3"/>
  <c r="D382" i="3"/>
  <c r="D384" i="3"/>
  <c r="D165" i="3"/>
  <c r="D219" i="3"/>
  <c r="D361" i="3"/>
  <c r="D71" i="3"/>
  <c r="D453" i="3"/>
  <c r="D284" i="3"/>
  <c r="D325" i="3"/>
  <c r="D225" i="3"/>
  <c r="D407" i="3"/>
  <c r="D174" i="3"/>
  <c r="D7" i="3"/>
  <c r="D4" i="3"/>
  <c r="D406" i="3"/>
  <c r="D85" i="3"/>
  <c r="D287" i="3"/>
  <c r="D356" i="3"/>
  <c r="D268" i="3"/>
  <c r="D335" i="3"/>
  <c r="D337" i="3"/>
  <c r="D259" i="3"/>
  <c r="D303" i="3"/>
  <c r="D379" i="3"/>
  <c r="D87" i="3"/>
  <c r="D136" i="3"/>
  <c r="D373" i="3"/>
  <c r="D42" i="3"/>
  <c r="D145" i="3"/>
  <c r="D412" i="3"/>
  <c r="D57" i="3"/>
  <c r="D86" i="3"/>
  <c r="D253" i="3"/>
  <c r="D411" i="3"/>
  <c r="D297" i="3"/>
  <c r="D404" i="3"/>
  <c r="D130" i="3"/>
  <c r="D403" i="3"/>
  <c r="D227" i="3"/>
  <c r="D385" i="3"/>
  <c r="D381" i="3"/>
  <c r="D13" i="3"/>
  <c r="D211" i="3"/>
  <c r="D163" i="3"/>
  <c r="D271" i="3"/>
  <c r="D260" i="3"/>
  <c r="D198" i="3"/>
  <c r="D429" i="3"/>
  <c r="D298" i="3"/>
  <c r="D283" i="3"/>
  <c r="D124" i="3"/>
  <c r="D123" i="3"/>
  <c r="D301" i="3"/>
  <c r="D221" i="3"/>
  <c r="D186" i="3"/>
  <c r="D128" i="3"/>
  <c r="D112" i="3"/>
  <c r="D399" i="3"/>
  <c r="D249" i="3"/>
  <c r="D97" i="3"/>
  <c r="D445" i="3"/>
  <c r="D473" i="3"/>
  <c r="D161" i="3"/>
  <c r="D434" i="3"/>
  <c r="D265" i="3"/>
  <c r="D289" i="3"/>
  <c r="D129" i="3"/>
  <c r="D185" i="3"/>
  <c r="D358" i="3"/>
  <c r="D218" i="3"/>
  <c r="D22" i="3"/>
  <c r="D6" i="3"/>
  <c r="D321" i="3"/>
  <c r="D239" i="3"/>
  <c r="D311" i="3"/>
  <c r="D432" i="3"/>
  <c r="D25" i="3"/>
  <c r="D24" i="3"/>
  <c r="D119" i="3"/>
  <c r="D426" i="3"/>
  <c r="D339" i="3"/>
  <c r="D67" i="3"/>
  <c r="D273" i="3"/>
  <c r="D350" i="3"/>
  <c r="D338" i="3"/>
  <c r="D230" i="3"/>
  <c r="D96" i="3"/>
  <c r="D481" i="3"/>
  <c r="D113" i="3"/>
  <c r="D436" i="3"/>
  <c r="D229" i="3"/>
  <c r="D44" i="3"/>
  <c r="D400" i="3"/>
  <c r="D78" i="3"/>
  <c r="D70" i="3"/>
  <c r="D88" i="3"/>
  <c r="D378" i="3"/>
  <c r="D290" i="3"/>
  <c r="D262" i="3"/>
  <c r="D377" i="3"/>
  <c r="D178" i="3"/>
  <c r="D482" i="3"/>
  <c r="D135" i="3"/>
  <c r="D81" i="3"/>
  <c r="D52" i="3"/>
  <c r="D204" i="3"/>
  <c r="D17" i="3"/>
  <c r="D95" i="3"/>
  <c r="D330" i="3"/>
  <c r="D331" i="3"/>
  <c r="D10" i="3"/>
  <c r="D293" i="3"/>
  <c r="D393" i="3"/>
  <c r="D209" i="3"/>
  <c r="D69" i="3"/>
  <c r="D254" i="3"/>
  <c r="D210" i="3"/>
  <c r="D484" i="3"/>
  <c r="D236" i="3"/>
  <c r="D383" i="3"/>
  <c r="D148" i="3"/>
  <c r="D21" i="3"/>
  <c r="D250" i="3"/>
  <c r="D153" i="3"/>
  <c r="D347" i="3"/>
  <c r="D476" i="3"/>
  <c r="D5" i="3"/>
  <c r="D89" i="3"/>
  <c r="D333" i="3"/>
  <c r="D291" i="3"/>
  <c r="D446" i="3"/>
  <c r="D294" i="3"/>
  <c r="D416" i="3"/>
  <c r="D469" i="3"/>
  <c r="D235" i="3"/>
  <c r="D367" i="3"/>
  <c r="D149" i="3"/>
  <c r="D182" i="3"/>
  <c r="D435" i="3"/>
  <c r="D244" i="3"/>
  <c r="D201" i="3"/>
  <c r="D380" i="3"/>
  <c r="D11" i="3"/>
  <c r="D342" i="3"/>
  <c r="D394" i="3"/>
  <c r="D194" i="3"/>
  <c r="D269" i="3"/>
  <c r="D65" i="3"/>
  <c r="D351" i="3"/>
  <c r="D231" i="3"/>
  <c r="D258" i="3"/>
  <c r="D371" i="3"/>
  <c r="D181" i="3"/>
  <c r="D374" i="3"/>
  <c r="D369" i="3"/>
  <c r="D45" i="3"/>
  <c r="D226" i="3"/>
  <c r="D234" i="3"/>
  <c r="D64" i="3"/>
  <c r="D319" i="3"/>
  <c r="D413" i="3"/>
  <c r="D292" i="3"/>
  <c r="D9" i="3"/>
  <c r="D387" i="3"/>
  <c r="D401" i="3"/>
  <c r="D318" i="3"/>
  <c r="D240" i="3"/>
  <c r="D386" i="3"/>
  <c r="D344" i="3"/>
  <c r="D3" i="3"/>
  <c r="D107" i="3"/>
  <c r="D46" i="3"/>
  <c r="D322" i="3"/>
  <c r="D461" i="3"/>
  <c r="D348" i="3"/>
  <c r="D251" i="3"/>
  <c r="D133" i="3"/>
  <c r="D223" i="3"/>
  <c r="D300" i="3"/>
  <c r="D345" i="3"/>
  <c r="D402" i="3"/>
  <c r="D167" i="3"/>
  <c r="D233" i="3"/>
  <c r="D110" i="3"/>
  <c r="D26" i="3"/>
  <c r="D245" i="3"/>
  <c r="D315" i="3"/>
  <c r="D154" i="3"/>
  <c r="D207" i="3"/>
  <c r="D302" i="3"/>
  <c r="E334" i="3"/>
  <c r="E243" i="3"/>
  <c r="E447" i="3"/>
  <c r="E317" i="3"/>
  <c r="E472" i="3"/>
  <c r="E106" i="3"/>
  <c r="E375" i="3"/>
  <c r="E169" i="3"/>
  <c r="E213" i="3"/>
  <c r="E312" i="3"/>
  <c r="E471" i="3"/>
  <c r="E388" i="3"/>
  <c r="E352" i="3"/>
  <c r="E464" i="3"/>
  <c r="E477" i="3"/>
  <c r="E168" i="3"/>
  <c r="E376" i="3"/>
  <c r="E391" i="3"/>
  <c r="E175" i="3"/>
  <c r="E241" i="3"/>
  <c r="E288" i="3"/>
  <c r="E355" i="3"/>
  <c r="E296" i="3"/>
  <c r="E34" i="3"/>
  <c r="E486" i="3"/>
  <c r="E90" i="3"/>
  <c r="E414" i="3"/>
  <c r="E56" i="3"/>
  <c r="E459" i="3"/>
  <c r="E270" i="3"/>
  <c r="E61" i="3"/>
  <c r="E54" i="3"/>
  <c r="E53" i="3"/>
  <c r="E420" i="3"/>
  <c r="E305" i="3"/>
  <c r="E51" i="3"/>
  <c r="E474" i="3"/>
  <c r="E126" i="3"/>
  <c r="E30" i="3"/>
  <c r="E99" i="3"/>
  <c r="E68" i="3"/>
  <c r="E264" i="3"/>
  <c r="E199" i="3"/>
  <c r="E156" i="3"/>
  <c r="E448" i="3"/>
  <c r="E98" i="3"/>
  <c r="E216" i="3"/>
  <c r="E187" i="3"/>
  <c r="E27" i="3"/>
  <c r="E48" i="3"/>
  <c r="E49" i="3"/>
  <c r="E164" i="3"/>
  <c r="E170" i="3"/>
  <c r="E58" i="3"/>
  <c r="E83" i="3"/>
  <c r="E488" i="3"/>
  <c r="E439" i="3"/>
  <c r="E308" i="3"/>
  <c r="E307" i="3"/>
  <c r="E389" i="3"/>
  <c r="E202" i="3"/>
  <c r="E463" i="3"/>
  <c r="E353" i="3"/>
  <c r="E465" i="3"/>
  <c r="E340" i="3"/>
  <c r="E421" i="3"/>
  <c r="E50" i="3"/>
  <c r="E246" i="3"/>
  <c r="E397" i="3"/>
  <c r="E59" i="3"/>
  <c r="E487" i="3"/>
  <c r="E144" i="3"/>
  <c r="E324" i="3"/>
  <c r="E12" i="3"/>
  <c r="E452" i="3"/>
  <c r="E47" i="3"/>
  <c r="E255" i="3"/>
  <c r="E306" i="3"/>
  <c r="E82" i="3"/>
  <c r="E111" i="3"/>
  <c r="E370" i="3"/>
  <c r="E217" i="3"/>
  <c r="E438" i="3"/>
  <c r="E19" i="3"/>
  <c r="E395" i="3"/>
  <c r="E60" i="3"/>
  <c r="E392" i="3"/>
  <c r="E462" i="3"/>
  <c r="E440" i="3"/>
  <c r="E252" i="3"/>
  <c r="E329" i="3"/>
  <c r="E410" i="3"/>
  <c r="E43" i="3"/>
  <c r="E84" i="3"/>
  <c r="E191" i="3"/>
  <c r="E41" i="3"/>
  <c r="E341" i="3"/>
  <c r="E422" i="3"/>
  <c r="E75" i="3"/>
  <c r="E40" i="3"/>
  <c r="E39" i="3"/>
  <c r="E155" i="3"/>
  <c r="E454" i="3"/>
  <c r="E372" i="3"/>
  <c r="E125" i="3"/>
  <c r="E485" i="3"/>
  <c r="E62" i="3"/>
  <c r="E157" i="3"/>
  <c r="E285" i="3"/>
  <c r="E38" i="3"/>
  <c r="E37" i="3"/>
  <c r="E36" i="3"/>
  <c r="E147" i="3"/>
  <c r="E237" i="3"/>
  <c r="E77" i="3"/>
  <c r="E143" i="3"/>
  <c r="E171" i="3"/>
  <c r="E437" i="3"/>
  <c r="E220" i="3"/>
  <c r="E232" i="3"/>
  <c r="E35" i="3"/>
  <c r="E91" i="3"/>
  <c r="E122" i="3"/>
  <c r="E354" i="3"/>
  <c r="E203" i="3"/>
  <c r="E121" i="3"/>
  <c r="E138" i="3"/>
  <c r="E466" i="3"/>
  <c r="E120" i="3"/>
  <c r="E423" i="3"/>
  <c r="E427" i="3"/>
  <c r="E118" i="3"/>
  <c r="E205" i="3"/>
  <c r="E117" i="3"/>
  <c r="E15" i="3"/>
  <c r="E316" i="3"/>
  <c r="E8" i="3"/>
  <c r="E314" i="3"/>
  <c r="E179" i="3"/>
  <c r="E29" i="3"/>
  <c r="E256" i="3"/>
  <c r="E483" i="3"/>
  <c r="E396" i="3"/>
  <c r="E115" i="3"/>
  <c r="E313" i="3"/>
  <c r="E114" i="3"/>
  <c r="E480" i="3"/>
  <c r="E184" i="3"/>
  <c r="E137" i="3"/>
  <c r="E100" i="3"/>
  <c r="E327" i="3"/>
  <c r="E332" i="3"/>
  <c r="E441" i="3"/>
  <c r="E92" i="3"/>
  <c r="E295" i="3"/>
  <c r="E177" i="3"/>
  <c r="E188" i="3"/>
  <c r="E109" i="3"/>
  <c r="E18" i="3"/>
  <c r="E299" i="3"/>
  <c r="E328" i="3"/>
  <c r="E424" i="3"/>
  <c r="E108" i="3"/>
  <c r="E247" i="3"/>
  <c r="E152" i="3"/>
  <c r="E442" i="3"/>
  <c r="E475" i="3"/>
  <c r="E428" i="3"/>
  <c r="E146" i="3"/>
  <c r="E224" i="3"/>
  <c r="E200" i="3"/>
  <c r="E346" i="3"/>
  <c r="E183" i="3"/>
  <c r="E33" i="3"/>
  <c r="E192" i="3"/>
  <c r="E32" i="3"/>
  <c r="E451" i="3"/>
  <c r="E310" i="3"/>
  <c r="E215" i="3"/>
  <c r="E282" i="3"/>
  <c r="E468" i="3"/>
  <c r="E101" i="3"/>
  <c r="E489" i="3"/>
  <c r="E281" i="3"/>
  <c r="E280" i="3"/>
  <c r="E415" i="3"/>
  <c r="E364" i="3"/>
  <c r="E390" i="3"/>
  <c r="E228" i="3"/>
  <c r="E160" i="3"/>
  <c r="E193" i="3"/>
  <c r="E132" i="3"/>
  <c r="E366" i="3"/>
  <c r="E409" i="3"/>
  <c r="E28" i="3"/>
  <c r="E277" i="3"/>
  <c r="E206" i="3"/>
  <c r="E72" i="3"/>
  <c r="E275" i="3"/>
  <c r="E274" i="3"/>
  <c r="E55" i="3"/>
  <c r="E166" i="3"/>
  <c r="E363" i="3"/>
  <c r="E405" i="3"/>
  <c r="E417" i="3"/>
  <c r="E93" i="3"/>
  <c r="E272" i="3"/>
  <c r="E151" i="3"/>
  <c r="E80" i="3"/>
  <c r="E238" i="3"/>
  <c r="E180" i="3"/>
  <c r="E141" i="3"/>
  <c r="E172" i="3"/>
  <c r="E102" i="3"/>
  <c r="E425" i="3"/>
  <c r="E197" i="3"/>
  <c r="E222" i="3"/>
  <c r="E127" i="3"/>
  <c r="E408" i="3"/>
  <c r="E368" i="3"/>
  <c r="E212" i="3"/>
  <c r="E449" i="3"/>
  <c r="E343" i="3"/>
  <c r="E467" i="3"/>
  <c r="E14" i="3"/>
  <c r="E323" i="3"/>
  <c r="E131" i="3"/>
  <c r="E248" i="3"/>
  <c r="E196" i="3"/>
  <c r="E443" i="3"/>
  <c r="E359" i="3"/>
  <c r="E276" i="3"/>
  <c r="E257" i="3"/>
  <c r="E20" i="3"/>
  <c r="E63" i="3"/>
  <c r="E158" i="3"/>
  <c r="E418" i="3"/>
  <c r="E94" i="3"/>
  <c r="E357" i="3"/>
  <c r="E278" i="3"/>
  <c r="E23" i="3"/>
  <c r="E433" i="3"/>
  <c r="E365" i="3"/>
  <c r="E286" i="3"/>
  <c r="E176" i="3"/>
  <c r="E103" i="3"/>
  <c r="E490" i="3"/>
  <c r="E309" i="3"/>
  <c r="E139" i="3"/>
  <c r="E360" i="3"/>
  <c r="E105" i="3"/>
  <c r="E267" i="3"/>
  <c r="E266" i="3"/>
  <c r="E336" i="3"/>
  <c r="E66" i="3"/>
  <c r="E134" i="3"/>
  <c r="E142" i="3"/>
  <c r="E430" i="3"/>
  <c r="E208" i="3"/>
  <c r="E79" i="3"/>
  <c r="E478" i="3"/>
  <c r="E2" i="3"/>
  <c r="E190" i="3"/>
  <c r="E214" i="3"/>
  <c r="E140" i="3"/>
  <c r="E362" i="3"/>
  <c r="E116" i="3"/>
  <c r="E261" i="3"/>
  <c r="E419" i="3"/>
  <c r="E162" i="3"/>
  <c r="E470" i="3"/>
  <c r="E479" i="3"/>
  <c r="E320" i="3"/>
  <c r="E16" i="3"/>
  <c r="E431" i="3"/>
  <c r="E76" i="3"/>
  <c r="E173" i="3"/>
  <c r="E104" i="3"/>
  <c r="E74" i="3"/>
  <c r="E455" i="3"/>
  <c r="E242" i="3"/>
  <c r="E195" i="3"/>
  <c r="E150" i="3"/>
  <c r="E456" i="3"/>
  <c r="E460" i="3"/>
  <c r="E450" i="3"/>
  <c r="E31" i="3"/>
  <c r="E457" i="3"/>
  <c r="E304" i="3"/>
  <c r="E159" i="3"/>
  <c r="E73" i="3"/>
  <c r="E458" i="3"/>
  <c r="E398" i="3"/>
  <c r="E444" i="3"/>
  <c r="E326" i="3"/>
  <c r="E279" i="3"/>
  <c r="E349" i="3"/>
  <c r="E382" i="3"/>
  <c r="E384" i="3"/>
  <c r="E165" i="3"/>
  <c r="E219" i="3"/>
  <c r="E361" i="3"/>
  <c r="E71" i="3"/>
  <c r="E453" i="3"/>
  <c r="E284" i="3"/>
  <c r="E325" i="3"/>
  <c r="E225" i="3"/>
  <c r="E407" i="3"/>
  <c r="E174" i="3"/>
  <c r="E7" i="3"/>
  <c r="E4" i="3"/>
  <c r="E406" i="3"/>
  <c r="E85" i="3"/>
  <c r="E287" i="3"/>
  <c r="E356" i="3"/>
  <c r="E268" i="3"/>
  <c r="E335" i="3"/>
  <c r="E337" i="3"/>
  <c r="E259" i="3"/>
  <c r="E303" i="3"/>
  <c r="E379" i="3"/>
  <c r="E87" i="3"/>
  <c r="E136" i="3"/>
  <c r="E373" i="3"/>
  <c r="E42" i="3"/>
  <c r="E145" i="3"/>
  <c r="E412" i="3"/>
  <c r="E57" i="3"/>
  <c r="E86" i="3"/>
  <c r="E253" i="3"/>
  <c r="E411" i="3"/>
  <c r="E297" i="3"/>
  <c r="E404" i="3"/>
  <c r="E130" i="3"/>
  <c r="E403" i="3"/>
  <c r="E227" i="3"/>
  <c r="E385" i="3"/>
  <c r="E381" i="3"/>
  <c r="E13" i="3"/>
  <c r="E211" i="3"/>
  <c r="E163" i="3"/>
  <c r="E271" i="3"/>
  <c r="E260" i="3"/>
  <c r="E198" i="3"/>
  <c r="E429" i="3"/>
  <c r="E298" i="3"/>
  <c r="E283" i="3"/>
  <c r="E124" i="3"/>
  <c r="E123" i="3"/>
  <c r="E301" i="3"/>
  <c r="E221" i="3"/>
  <c r="E186" i="3"/>
  <c r="E128" i="3"/>
  <c r="E112" i="3"/>
  <c r="E399" i="3"/>
  <c r="E249" i="3"/>
  <c r="E97" i="3"/>
  <c r="E445" i="3"/>
  <c r="E473" i="3"/>
  <c r="E161" i="3"/>
  <c r="E434" i="3"/>
  <c r="E265" i="3"/>
  <c r="E289" i="3"/>
  <c r="E129" i="3"/>
  <c r="E185" i="3"/>
  <c r="E358" i="3"/>
  <c r="E218" i="3"/>
  <c r="E22" i="3"/>
  <c r="E6" i="3"/>
  <c r="E321" i="3"/>
  <c r="E239" i="3"/>
  <c r="E311" i="3"/>
  <c r="E432" i="3"/>
  <c r="E25" i="3"/>
  <c r="E24" i="3"/>
  <c r="E119" i="3"/>
  <c r="E426" i="3"/>
  <c r="E339" i="3"/>
  <c r="E67" i="3"/>
  <c r="E273" i="3"/>
  <c r="E350" i="3"/>
  <c r="E338" i="3"/>
  <c r="E230" i="3"/>
  <c r="E96" i="3"/>
  <c r="E481" i="3"/>
  <c r="E113" i="3"/>
  <c r="E436" i="3"/>
  <c r="E229" i="3"/>
  <c r="E44" i="3"/>
  <c r="E400" i="3"/>
  <c r="E78" i="3"/>
  <c r="E70" i="3"/>
  <c r="E88" i="3"/>
  <c r="E378" i="3"/>
  <c r="E290" i="3"/>
  <c r="E262" i="3"/>
  <c r="E377" i="3"/>
  <c r="E178" i="3"/>
  <c r="E482" i="3"/>
  <c r="E135" i="3"/>
  <c r="E81" i="3"/>
  <c r="E52" i="3"/>
  <c r="E204" i="3"/>
  <c r="E17" i="3"/>
  <c r="E95" i="3"/>
  <c r="E330" i="3"/>
  <c r="E331" i="3"/>
  <c r="E10" i="3"/>
  <c r="E293" i="3"/>
  <c r="E393" i="3"/>
  <c r="E209" i="3"/>
  <c r="E69" i="3"/>
  <c r="E254" i="3"/>
  <c r="E210" i="3"/>
  <c r="E484" i="3"/>
  <c r="E236" i="3"/>
  <c r="E383" i="3"/>
  <c r="E148" i="3"/>
  <c r="E21" i="3"/>
  <c r="E250" i="3"/>
  <c r="E153" i="3"/>
  <c r="E347" i="3"/>
  <c r="E476" i="3"/>
  <c r="E5" i="3"/>
  <c r="E89" i="3"/>
  <c r="E333" i="3"/>
  <c r="E291" i="3"/>
  <c r="E446" i="3"/>
  <c r="E294" i="3"/>
  <c r="E416" i="3"/>
  <c r="E469" i="3"/>
  <c r="E235" i="3"/>
  <c r="E367" i="3"/>
  <c r="E149" i="3"/>
  <c r="E182" i="3"/>
  <c r="E435" i="3"/>
  <c r="E244" i="3"/>
  <c r="E201" i="3"/>
  <c r="E380" i="3"/>
  <c r="E11" i="3"/>
  <c r="E342" i="3"/>
  <c r="E394" i="3"/>
  <c r="E194" i="3"/>
  <c r="E269" i="3"/>
  <c r="E65" i="3"/>
  <c r="E351" i="3"/>
  <c r="E231" i="3"/>
  <c r="E258" i="3"/>
  <c r="E371" i="3"/>
  <c r="E181" i="3"/>
  <c r="E374" i="3"/>
  <c r="E369" i="3"/>
  <c r="E45" i="3"/>
  <c r="E226" i="3"/>
  <c r="E234" i="3"/>
  <c r="E64" i="3"/>
  <c r="E319" i="3"/>
  <c r="E413" i="3"/>
  <c r="E292" i="3"/>
  <c r="E9" i="3"/>
  <c r="E387" i="3"/>
  <c r="E401" i="3"/>
  <c r="E318" i="3"/>
  <c r="E240" i="3"/>
  <c r="E386" i="3"/>
  <c r="E344" i="3"/>
  <c r="E3" i="3"/>
  <c r="E107" i="3"/>
  <c r="E46" i="3"/>
  <c r="E322" i="3"/>
  <c r="E461" i="3"/>
  <c r="E348" i="3"/>
  <c r="E251" i="3"/>
  <c r="E133" i="3"/>
  <c r="E223" i="3"/>
  <c r="E300" i="3"/>
  <c r="E345" i="3"/>
  <c r="E402" i="3"/>
  <c r="E167" i="3"/>
  <c r="E233" i="3"/>
  <c r="E110" i="3"/>
  <c r="E26" i="3"/>
  <c r="E245" i="3"/>
  <c r="E315" i="3"/>
  <c r="E154" i="3"/>
  <c r="E207" i="3"/>
  <c r="E302" i="3"/>
  <c r="F334" i="3"/>
  <c r="F243" i="3"/>
  <c r="F447" i="3"/>
  <c r="F317" i="3"/>
  <c r="F472" i="3"/>
  <c r="F106" i="3"/>
  <c r="F375" i="3"/>
  <c r="F169" i="3"/>
  <c r="F213" i="3"/>
  <c r="F312" i="3"/>
  <c r="F471" i="3"/>
  <c r="F388" i="3"/>
  <c r="F352" i="3"/>
  <c r="F464" i="3"/>
  <c r="F477" i="3"/>
  <c r="F168" i="3"/>
  <c r="F376" i="3"/>
  <c r="F391" i="3"/>
  <c r="F175" i="3"/>
  <c r="F241" i="3"/>
  <c r="F288" i="3"/>
  <c r="F355" i="3"/>
  <c r="F296" i="3"/>
  <c r="F34" i="3"/>
  <c r="F486" i="3"/>
  <c r="F90" i="3"/>
  <c r="F414" i="3"/>
  <c r="F56" i="3"/>
  <c r="F459" i="3"/>
  <c r="F270" i="3"/>
  <c r="F61" i="3"/>
  <c r="F54" i="3"/>
  <c r="F53" i="3"/>
  <c r="F420" i="3"/>
  <c r="F305" i="3"/>
  <c r="F51" i="3"/>
  <c r="F474" i="3"/>
  <c r="F126" i="3"/>
  <c r="F30" i="3"/>
  <c r="F99" i="3"/>
  <c r="F68" i="3"/>
  <c r="F264" i="3"/>
  <c r="F199" i="3"/>
  <c r="F156" i="3"/>
  <c r="F448" i="3"/>
  <c r="F98" i="3"/>
  <c r="F216" i="3"/>
  <c r="F187" i="3"/>
  <c r="F27" i="3"/>
  <c r="F48" i="3"/>
  <c r="F49" i="3"/>
  <c r="F164" i="3"/>
  <c r="F170" i="3"/>
  <c r="F58" i="3"/>
  <c r="F83" i="3"/>
  <c r="F488" i="3"/>
  <c r="F439" i="3"/>
  <c r="F308" i="3"/>
  <c r="F307" i="3"/>
  <c r="F389" i="3"/>
  <c r="F202" i="3"/>
  <c r="F463" i="3"/>
  <c r="F353" i="3"/>
  <c r="F465" i="3"/>
  <c r="F340" i="3"/>
  <c r="F421" i="3"/>
  <c r="F50" i="3"/>
  <c r="F246" i="3"/>
  <c r="F397" i="3"/>
  <c r="F59" i="3"/>
  <c r="F487" i="3"/>
  <c r="F144" i="3"/>
  <c r="F324" i="3"/>
  <c r="F12" i="3"/>
  <c r="F452" i="3"/>
  <c r="F47" i="3"/>
  <c r="F255" i="3"/>
  <c r="F306" i="3"/>
  <c r="F82" i="3"/>
  <c r="F111" i="3"/>
  <c r="F370" i="3"/>
  <c r="F217" i="3"/>
  <c r="F438" i="3"/>
  <c r="F19" i="3"/>
  <c r="F395" i="3"/>
  <c r="F60" i="3"/>
  <c r="F392" i="3"/>
  <c r="F462" i="3"/>
  <c r="F440" i="3"/>
  <c r="F252" i="3"/>
  <c r="F329" i="3"/>
  <c r="F410" i="3"/>
  <c r="F43" i="3"/>
  <c r="F84" i="3"/>
  <c r="F191" i="3"/>
  <c r="F41" i="3"/>
  <c r="F341" i="3"/>
  <c r="F422" i="3"/>
  <c r="F75" i="3"/>
  <c r="F40" i="3"/>
  <c r="F39" i="3"/>
  <c r="F155" i="3"/>
  <c r="F454" i="3"/>
  <c r="F372" i="3"/>
  <c r="F125" i="3"/>
  <c r="F485" i="3"/>
  <c r="F62" i="3"/>
  <c r="F157" i="3"/>
  <c r="F285" i="3"/>
  <c r="F38" i="3"/>
  <c r="F37" i="3"/>
  <c r="F36" i="3"/>
  <c r="F147" i="3"/>
  <c r="F237" i="3"/>
  <c r="F77" i="3"/>
  <c r="F143" i="3"/>
  <c r="F171" i="3"/>
  <c r="F437" i="3"/>
  <c r="F220" i="3"/>
  <c r="F232" i="3"/>
  <c r="F35" i="3"/>
  <c r="F91" i="3"/>
  <c r="F122" i="3"/>
  <c r="F354" i="3"/>
  <c r="F203" i="3"/>
  <c r="F121" i="3"/>
  <c r="F138" i="3"/>
  <c r="F466" i="3"/>
  <c r="F120" i="3"/>
  <c r="F423" i="3"/>
  <c r="F427" i="3"/>
  <c r="F118" i="3"/>
  <c r="F205" i="3"/>
  <c r="F117" i="3"/>
  <c r="F15" i="3"/>
  <c r="F316" i="3"/>
  <c r="F8" i="3"/>
  <c r="F314" i="3"/>
  <c r="F179" i="3"/>
  <c r="F29" i="3"/>
  <c r="F256" i="3"/>
  <c r="F483" i="3"/>
  <c r="F396" i="3"/>
  <c r="F115" i="3"/>
  <c r="F313" i="3"/>
  <c r="F114" i="3"/>
  <c r="F480" i="3"/>
  <c r="F184" i="3"/>
  <c r="F137" i="3"/>
  <c r="F100" i="3"/>
  <c r="F327" i="3"/>
  <c r="F332" i="3"/>
  <c r="F441" i="3"/>
  <c r="F92" i="3"/>
  <c r="F295" i="3"/>
  <c r="F177" i="3"/>
  <c r="F188" i="3"/>
  <c r="F109" i="3"/>
  <c r="F18" i="3"/>
  <c r="F299" i="3"/>
  <c r="F328" i="3"/>
  <c r="F424" i="3"/>
  <c r="F108" i="3"/>
  <c r="F247" i="3"/>
  <c r="F152" i="3"/>
  <c r="F442" i="3"/>
  <c r="F475" i="3"/>
  <c r="F428" i="3"/>
  <c r="F146" i="3"/>
  <c r="F224" i="3"/>
  <c r="F200" i="3"/>
  <c r="F346" i="3"/>
  <c r="F183" i="3"/>
  <c r="F33" i="3"/>
  <c r="F192" i="3"/>
  <c r="F32" i="3"/>
  <c r="F451" i="3"/>
  <c r="F310" i="3"/>
  <c r="F215" i="3"/>
  <c r="F282" i="3"/>
  <c r="F468" i="3"/>
  <c r="F101" i="3"/>
  <c r="F489" i="3"/>
  <c r="F281" i="3"/>
  <c r="F280" i="3"/>
  <c r="F415" i="3"/>
  <c r="F364" i="3"/>
  <c r="F390" i="3"/>
  <c r="F228" i="3"/>
  <c r="F160" i="3"/>
  <c r="F193" i="3"/>
  <c r="F132" i="3"/>
  <c r="F366" i="3"/>
  <c r="F409" i="3"/>
  <c r="F28" i="3"/>
  <c r="F277" i="3"/>
  <c r="F206" i="3"/>
  <c r="F72" i="3"/>
  <c r="F275" i="3"/>
  <c r="F274" i="3"/>
  <c r="F55" i="3"/>
  <c r="F166" i="3"/>
  <c r="F363" i="3"/>
  <c r="F405" i="3"/>
  <c r="F417" i="3"/>
  <c r="F93" i="3"/>
  <c r="F272" i="3"/>
  <c r="F151" i="3"/>
  <c r="F80" i="3"/>
  <c r="F238" i="3"/>
  <c r="F180" i="3"/>
  <c r="F141" i="3"/>
  <c r="F172" i="3"/>
  <c r="F102" i="3"/>
  <c r="F425" i="3"/>
  <c r="F197" i="3"/>
  <c r="F222" i="3"/>
  <c r="F127" i="3"/>
  <c r="F408" i="3"/>
  <c r="F368" i="3"/>
  <c r="F212" i="3"/>
  <c r="F449" i="3"/>
  <c r="F343" i="3"/>
  <c r="F467" i="3"/>
  <c r="F14" i="3"/>
  <c r="F323" i="3"/>
  <c r="F131" i="3"/>
  <c r="F248" i="3"/>
  <c r="F196" i="3"/>
  <c r="F443" i="3"/>
  <c r="F359" i="3"/>
  <c r="F276" i="3"/>
  <c r="F257" i="3"/>
  <c r="F20" i="3"/>
  <c r="F63" i="3"/>
  <c r="F158" i="3"/>
  <c r="F418" i="3"/>
  <c r="F94" i="3"/>
  <c r="F357" i="3"/>
  <c r="F278" i="3"/>
  <c r="F23" i="3"/>
  <c r="F433" i="3"/>
  <c r="F365" i="3"/>
  <c r="F286" i="3"/>
  <c r="F176" i="3"/>
  <c r="F103" i="3"/>
  <c r="F490" i="3"/>
  <c r="F309" i="3"/>
  <c r="F139" i="3"/>
  <c r="F360" i="3"/>
  <c r="F105" i="3"/>
  <c r="F267" i="3"/>
  <c r="F266" i="3"/>
  <c r="F336" i="3"/>
  <c r="F66" i="3"/>
  <c r="F134" i="3"/>
  <c r="F142" i="3"/>
  <c r="F430" i="3"/>
  <c r="F208" i="3"/>
  <c r="F79" i="3"/>
  <c r="F478" i="3"/>
  <c r="F2" i="3"/>
  <c r="F190" i="3"/>
  <c r="F214" i="3"/>
  <c r="F140" i="3"/>
  <c r="F362" i="3"/>
  <c r="F116" i="3"/>
  <c r="F261" i="3"/>
  <c r="F419" i="3"/>
  <c r="F162" i="3"/>
  <c r="F470" i="3"/>
  <c r="F479" i="3"/>
  <c r="F320" i="3"/>
  <c r="F16" i="3"/>
  <c r="F431" i="3"/>
  <c r="F76" i="3"/>
  <c r="F173" i="3"/>
  <c r="F104" i="3"/>
  <c r="F74" i="3"/>
  <c r="F455" i="3"/>
  <c r="F242" i="3"/>
  <c r="F195" i="3"/>
  <c r="F150" i="3"/>
  <c r="F456" i="3"/>
  <c r="F460" i="3"/>
  <c r="F450" i="3"/>
  <c r="F31" i="3"/>
  <c r="F457" i="3"/>
  <c r="F304" i="3"/>
  <c r="F159" i="3"/>
  <c r="F73" i="3"/>
  <c r="F458" i="3"/>
  <c r="F398" i="3"/>
  <c r="F444" i="3"/>
  <c r="F326" i="3"/>
  <c r="F279" i="3"/>
  <c r="F349" i="3"/>
  <c r="F382" i="3"/>
  <c r="F384" i="3"/>
  <c r="F165" i="3"/>
  <c r="F219" i="3"/>
  <c r="F361" i="3"/>
  <c r="F71" i="3"/>
  <c r="F453" i="3"/>
  <c r="F284" i="3"/>
  <c r="F325" i="3"/>
  <c r="F225" i="3"/>
  <c r="F407" i="3"/>
  <c r="F174" i="3"/>
  <c r="F7" i="3"/>
  <c r="F4" i="3"/>
  <c r="F406" i="3"/>
  <c r="F85" i="3"/>
  <c r="F287" i="3"/>
  <c r="F356" i="3"/>
  <c r="F268" i="3"/>
  <c r="F335" i="3"/>
  <c r="F337" i="3"/>
  <c r="F259" i="3"/>
  <c r="F303" i="3"/>
  <c r="F379" i="3"/>
  <c r="F87" i="3"/>
  <c r="F136" i="3"/>
  <c r="F373" i="3"/>
  <c r="F42" i="3"/>
  <c r="F145" i="3"/>
  <c r="F412" i="3"/>
  <c r="F57" i="3"/>
  <c r="F86" i="3"/>
  <c r="F253" i="3"/>
  <c r="F411" i="3"/>
  <c r="F297" i="3"/>
  <c r="F404" i="3"/>
  <c r="F130" i="3"/>
  <c r="F403" i="3"/>
  <c r="F227" i="3"/>
  <c r="F385" i="3"/>
  <c r="F381" i="3"/>
  <c r="F13" i="3"/>
  <c r="F211" i="3"/>
  <c r="F163" i="3"/>
  <c r="F271" i="3"/>
  <c r="F260" i="3"/>
  <c r="F198" i="3"/>
  <c r="F429" i="3"/>
  <c r="F298" i="3"/>
  <c r="F283" i="3"/>
  <c r="F124" i="3"/>
  <c r="F123" i="3"/>
  <c r="F301" i="3"/>
  <c r="F221" i="3"/>
  <c r="F186" i="3"/>
  <c r="F128" i="3"/>
  <c r="F112" i="3"/>
  <c r="F399" i="3"/>
  <c r="F249" i="3"/>
  <c r="F97" i="3"/>
  <c r="F445" i="3"/>
  <c r="F473" i="3"/>
  <c r="F161" i="3"/>
  <c r="F434" i="3"/>
  <c r="F265" i="3"/>
  <c r="F289" i="3"/>
  <c r="F129" i="3"/>
  <c r="F185" i="3"/>
  <c r="F358" i="3"/>
  <c r="F218" i="3"/>
  <c r="F22" i="3"/>
  <c r="F6" i="3"/>
  <c r="F321" i="3"/>
  <c r="F239" i="3"/>
  <c r="F311" i="3"/>
  <c r="F432" i="3"/>
  <c r="F25" i="3"/>
  <c r="F24" i="3"/>
  <c r="F119" i="3"/>
  <c r="F426" i="3"/>
  <c r="F339" i="3"/>
  <c r="F67" i="3"/>
  <c r="F273" i="3"/>
  <c r="F350" i="3"/>
  <c r="F338" i="3"/>
  <c r="F230" i="3"/>
  <c r="F96" i="3"/>
  <c r="F481" i="3"/>
  <c r="F113" i="3"/>
  <c r="F436" i="3"/>
  <c r="F229" i="3"/>
  <c r="F44" i="3"/>
  <c r="F400" i="3"/>
  <c r="F78" i="3"/>
  <c r="F70" i="3"/>
  <c r="F88" i="3"/>
  <c r="F378" i="3"/>
  <c r="F290" i="3"/>
  <c r="F262" i="3"/>
  <c r="F377" i="3"/>
  <c r="F178" i="3"/>
  <c r="F482" i="3"/>
  <c r="F135" i="3"/>
  <c r="F81" i="3"/>
  <c r="F52" i="3"/>
  <c r="F204" i="3"/>
  <c r="F17" i="3"/>
  <c r="F95" i="3"/>
  <c r="F330" i="3"/>
  <c r="F331" i="3"/>
  <c r="F10" i="3"/>
  <c r="F293" i="3"/>
  <c r="F393" i="3"/>
  <c r="F209" i="3"/>
  <c r="F69" i="3"/>
  <c r="F254" i="3"/>
  <c r="F210" i="3"/>
  <c r="F484" i="3"/>
  <c r="F236" i="3"/>
  <c r="F383" i="3"/>
  <c r="F148" i="3"/>
  <c r="F21" i="3"/>
  <c r="F250" i="3"/>
  <c r="F153" i="3"/>
  <c r="F347" i="3"/>
  <c r="F476" i="3"/>
  <c r="F5" i="3"/>
  <c r="F89" i="3"/>
  <c r="F333" i="3"/>
  <c r="F291" i="3"/>
  <c r="F446" i="3"/>
  <c r="F294" i="3"/>
  <c r="F416" i="3"/>
  <c r="F469" i="3"/>
  <c r="F235" i="3"/>
  <c r="F367" i="3"/>
  <c r="F149" i="3"/>
  <c r="F182" i="3"/>
  <c r="F435" i="3"/>
  <c r="F244" i="3"/>
  <c r="F201" i="3"/>
  <c r="F380" i="3"/>
  <c r="F11" i="3"/>
  <c r="F342" i="3"/>
  <c r="F394" i="3"/>
  <c r="F194" i="3"/>
  <c r="F269" i="3"/>
  <c r="F65" i="3"/>
  <c r="F351" i="3"/>
  <c r="F231" i="3"/>
  <c r="F258" i="3"/>
  <c r="F371" i="3"/>
  <c r="F181" i="3"/>
  <c r="F374" i="3"/>
  <c r="F369" i="3"/>
  <c r="F45" i="3"/>
  <c r="F226" i="3"/>
  <c r="F234" i="3"/>
  <c r="F64" i="3"/>
  <c r="F319" i="3"/>
  <c r="F413" i="3"/>
  <c r="F292" i="3"/>
  <c r="F9" i="3"/>
  <c r="F387" i="3"/>
  <c r="F401" i="3"/>
  <c r="F318" i="3"/>
  <c r="F240" i="3"/>
  <c r="F386" i="3"/>
  <c r="F344" i="3"/>
  <c r="F3" i="3"/>
  <c r="F107" i="3"/>
  <c r="F46" i="3"/>
  <c r="F322" i="3"/>
  <c r="F461" i="3"/>
  <c r="F348" i="3"/>
  <c r="F251" i="3"/>
  <c r="F133" i="3"/>
  <c r="F223" i="3"/>
  <c r="F300" i="3"/>
  <c r="F345" i="3"/>
  <c r="F402" i="3"/>
  <c r="F167" i="3"/>
  <c r="F233" i="3"/>
  <c r="F110" i="3"/>
  <c r="F26" i="3"/>
  <c r="F245" i="3"/>
  <c r="F315" i="3"/>
  <c r="F154" i="3"/>
  <c r="F207" i="3"/>
  <c r="F302" i="3"/>
  <c r="G334" i="3"/>
  <c r="G243" i="3"/>
  <c r="G447" i="3"/>
  <c r="G317" i="3"/>
  <c r="G472" i="3"/>
  <c r="G106" i="3"/>
  <c r="G375" i="3"/>
  <c r="G169" i="3"/>
  <c r="G213" i="3"/>
  <c r="G312" i="3"/>
  <c r="G471" i="3"/>
  <c r="G388" i="3"/>
  <c r="G352" i="3"/>
  <c r="G464" i="3"/>
  <c r="G477" i="3"/>
  <c r="G168" i="3"/>
  <c r="G376" i="3"/>
  <c r="G391" i="3"/>
  <c r="G175" i="3"/>
  <c r="G241" i="3"/>
  <c r="G288" i="3"/>
  <c r="G355" i="3"/>
  <c r="G296" i="3"/>
  <c r="G34" i="3"/>
  <c r="G486" i="3"/>
  <c r="G90" i="3"/>
  <c r="G414" i="3"/>
  <c r="G56" i="3"/>
  <c r="G459" i="3"/>
  <c r="G270" i="3"/>
  <c r="G61" i="3"/>
  <c r="G54" i="3"/>
  <c r="G53" i="3"/>
  <c r="G420" i="3"/>
  <c r="G305" i="3"/>
  <c r="G51" i="3"/>
  <c r="G474" i="3"/>
  <c r="G126" i="3"/>
  <c r="G30" i="3"/>
  <c r="G99" i="3"/>
  <c r="G68" i="3"/>
  <c r="G264" i="3"/>
  <c r="G199" i="3"/>
  <c r="G156" i="3"/>
  <c r="G448" i="3"/>
  <c r="G98" i="3"/>
  <c r="G216" i="3"/>
  <c r="G187" i="3"/>
  <c r="G27" i="3"/>
  <c r="G48" i="3"/>
  <c r="G49" i="3"/>
  <c r="G164" i="3"/>
  <c r="G170" i="3"/>
  <c r="G58" i="3"/>
  <c r="G83" i="3"/>
  <c r="G488" i="3"/>
  <c r="G439" i="3"/>
  <c r="G308" i="3"/>
  <c r="G307" i="3"/>
  <c r="G389" i="3"/>
  <c r="G202" i="3"/>
  <c r="G463" i="3"/>
  <c r="G353" i="3"/>
  <c r="G465" i="3"/>
  <c r="G340" i="3"/>
  <c r="G421" i="3"/>
  <c r="G50" i="3"/>
  <c r="G246" i="3"/>
  <c r="G397" i="3"/>
  <c r="G59" i="3"/>
  <c r="G487" i="3"/>
  <c r="G144" i="3"/>
  <c r="G324" i="3"/>
  <c r="G12" i="3"/>
  <c r="G452" i="3"/>
  <c r="G47" i="3"/>
  <c r="G255" i="3"/>
  <c r="G306" i="3"/>
  <c r="G82" i="3"/>
  <c r="G111" i="3"/>
  <c r="G370" i="3"/>
  <c r="G217" i="3"/>
  <c r="G438" i="3"/>
  <c r="G19" i="3"/>
  <c r="G395" i="3"/>
  <c r="G60" i="3"/>
  <c r="G392" i="3"/>
  <c r="G462" i="3"/>
  <c r="G440" i="3"/>
  <c r="G252" i="3"/>
  <c r="G329" i="3"/>
  <c r="G410" i="3"/>
  <c r="G43" i="3"/>
  <c r="G84" i="3"/>
  <c r="G191" i="3"/>
  <c r="G41" i="3"/>
  <c r="G341" i="3"/>
  <c r="G422" i="3"/>
  <c r="G75" i="3"/>
  <c r="G40" i="3"/>
  <c r="G39" i="3"/>
  <c r="G155" i="3"/>
  <c r="G454" i="3"/>
  <c r="G372" i="3"/>
  <c r="G125" i="3"/>
  <c r="G485" i="3"/>
  <c r="G62" i="3"/>
  <c r="G157" i="3"/>
  <c r="G285" i="3"/>
  <c r="G38" i="3"/>
  <c r="G37" i="3"/>
  <c r="G36" i="3"/>
  <c r="G147" i="3"/>
  <c r="G237" i="3"/>
  <c r="G77" i="3"/>
  <c r="G143" i="3"/>
  <c r="G171" i="3"/>
  <c r="G437" i="3"/>
  <c r="G220" i="3"/>
  <c r="G232" i="3"/>
  <c r="G35" i="3"/>
  <c r="G91" i="3"/>
  <c r="G122" i="3"/>
  <c r="G354" i="3"/>
  <c r="G203" i="3"/>
  <c r="G121" i="3"/>
  <c r="G138" i="3"/>
  <c r="G466" i="3"/>
  <c r="G120" i="3"/>
  <c r="G423" i="3"/>
  <c r="G427" i="3"/>
  <c r="G118" i="3"/>
  <c r="G205" i="3"/>
  <c r="G117" i="3"/>
  <c r="G15" i="3"/>
  <c r="G316" i="3"/>
  <c r="G8" i="3"/>
  <c r="G314" i="3"/>
  <c r="G179" i="3"/>
  <c r="G29" i="3"/>
  <c r="G256" i="3"/>
  <c r="G483" i="3"/>
  <c r="G396" i="3"/>
  <c r="G115" i="3"/>
  <c r="G313" i="3"/>
  <c r="G114" i="3"/>
  <c r="G480" i="3"/>
  <c r="G184" i="3"/>
  <c r="G137" i="3"/>
  <c r="G100" i="3"/>
  <c r="G327" i="3"/>
  <c r="G332" i="3"/>
  <c r="G441" i="3"/>
  <c r="G92" i="3"/>
  <c r="G295" i="3"/>
  <c r="G177" i="3"/>
  <c r="G188" i="3"/>
  <c r="G109" i="3"/>
  <c r="G18" i="3"/>
  <c r="G299" i="3"/>
  <c r="G328" i="3"/>
  <c r="G424" i="3"/>
  <c r="G108" i="3"/>
  <c r="G247" i="3"/>
  <c r="G152" i="3"/>
  <c r="G442" i="3"/>
  <c r="G475" i="3"/>
  <c r="G428" i="3"/>
  <c r="G146" i="3"/>
  <c r="G224" i="3"/>
  <c r="G200" i="3"/>
  <c r="G346" i="3"/>
  <c r="G183" i="3"/>
  <c r="G33" i="3"/>
  <c r="G192" i="3"/>
  <c r="G32" i="3"/>
  <c r="G451" i="3"/>
  <c r="G310" i="3"/>
  <c r="G215" i="3"/>
  <c r="G282" i="3"/>
  <c r="G468" i="3"/>
  <c r="G101" i="3"/>
  <c r="G489" i="3"/>
  <c r="G281" i="3"/>
  <c r="G280" i="3"/>
  <c r="G415" i="3"/>
  <c r="G364" i="3"/>
  <c r="G390" i="3"/>
  <c r="G228" i="3"/>
  <c r="G160" i="3"/>
  <c r="G193" i="3"/>
  <c r="G132" i="3"/>
  <c r="G366" i="3"/>
  <c r="G409" i="3"/>
  <c r="G28" i="3"/>
  <c r="G277" i="3"/>
  <c r="G206" i="3"/>
  <c r="G72" i="3"/>
  <c r="G275" i="3"/>
  <c r="G274" i="3"/>
  <c r="G55" i="3"/>
  <c r="G166" i="3"/>
  <c r="G363" i="3"/>
  <c r="G405" i="3"/>
  <c r="G417" i="3"/>
  <c r="G93" i="3"/>
  <c r="G272" i="3"/>
  <c r="G151" i="3"/>
  <c r="G80" i="3"/>
  <c r="G238" i="3"/>
  <c r="G180" i="3"/>
  <c r="G141" i="3"/>
  <c r="G172" i="3"/>
  <c r="G102" i="3"/>
  <c r="G425" i="3"/>
  <c r="G197" i="3"/>
  <c r="G222" i="3"/>
  <c r="G127" i="3"/>
  <c r="G408" i="3"/>
  <c r="G368" i="3"/>
  <c r="G212" i="3"/>
  <c r="G449" i="3"/>
  <c r="G343" i="3"/>
  <c r="G467" i="3"/>
  <c r="G14" i="3"/>
  <c r="G323" i="3"/>
  <c r="G131" i="3"/>
  <c r="G248" i="3"/>
  <c r="G196" i="3"/>
  <c r="G443" i="3"/>
  <c r="G359" i="3"/>
  <c r="G276" i="3"/>
  <c r="G257" i="3"/>
  <c r="G20" i="3"/>
  <c r="G63" i="3"/>
  <c r="G158" i="3"/>
  <c r="G418" i="3"/>
  <c r="G94" i="3"/>
  <c r="G357" i="3"/>
  <c r="G278" i="3"/>
  <c r="G23" i="3"/>
  <c r="G433" i="3"/>
  <c r="G365" i="3"/>
  <c r="G286" i="3"/>
  <c r="G176" i="3"/>
  <c r="G103" i="3"/>
  <c r="G490" i="3"/>
  <c r="G309" i="3"/>
  <c r="G139" i="3"/>
  <c r="G360" i="3"/>
  <c r="G105" i="3"/>
  <c r="G267" i="3"/>
  <c r="G266" i="3"/>
  <c r="G336" i="3"/>
  <c r="G66" i="3"/>
  <c r="G134" i="3"/>
  <c r="G142" i="3"/>
  <c r="G430" i="3"/>
  <c r="G208" i="3"/>
  <c r="G79" i="3"/>
  <c r="G478" i="3"/>
  <c r="G2" i="3"/>
  <c r="G190" i="3"/>
  <c r="G214" i="3"/>
  <c r="G140" i="3"/>
  <c r="G362" i="3"/>
  <c r="G116" i="3"/>
  <c r="G261" i="3"/>
  <c r="G419" i="3"/>
  <c r="G162" i="3"/>
  <c r="G470" i="3"/>
  <c r="G479" i="3"/>
  <c r="G320" i="3"/>
  <c r="G16" i="3"/>
  <c r="G431" i="3"/>
  <c r="G76" i="3"/>
  <c r="G173" i="3"/>
  <c r="G104" i="3"/>
  <c r="G74" i="3"/>
  <c r="G455" i="3"/>
  <c r="G242" i="3"/>
  <c r="G195" i="3"/>
  <c r="G150" i="3"/>
  <c r="G456" i="3"/>
  <c r="G460" i="3"/>
  <c r="G450" i="3"/>
  <c r="G31" i="3"/>
  <c r="G457" i="3"/>
  <c r="G304" i="3"/>
  <c r="G159" i="3"/>
  <c r="G73" i="3"/>
  <c r="G458" i="3"/>
  <c r="G398" i="3"/>
  <c r="G444" i="3"/>
  <c r="G326" i="3"/>
  <c r="G279" i="3"/>
  <c r="G349" i="3"/>
  <c r="G382" i="3"/>
  <c r="G384" i="3"/>
  <c r="G165" i="3"/>
  <c r="G219" i="3"/>
  <c r="G361" i="3"/>
  <c r="G71" i="3"/>
  <c r="G453" i="3"/>
  <c r="G284" i="3"/>
  <c r="G325" i="3"/>
  <c r="G225" i="3"/>
  <c r="G407" i="3"/>
  <c r="G174" i="3"/>
  <c r="G7" i="3"/>
  <c r="G4" i="3"/>
  <c r="G406" i="3"/>
  <c r="G85" i="3"/>
  <c r="G287" i="3"/>
  <c r="G356" i="3"/>
  <c r="G268" i="3"/>
  <c r="G335" i="3"/>
  <c r="G337" i="3"/>
  <c r="G259" i="3"/>
  <c r="G303" i="3"/>
  <c r="G379" i="3"/>
  <c r="G87" i="3"/>
  <c r="G136" i="3"/>
  <c r="G373" i="3"/>
  <c r="G42" i="3"/>
  <c r="G145" i="3"/>
  <c r="G412" i="3"/>
  <c r="G57" i="3"/>
  <c r="G86" i="3"/>
  <c r="G253" i="3"/>
  <c r="G411" i="3"/>
  <c r="G297" i="3"/>
  <c r="G404" i="3"/>
  <c r="G130" i="3"/>
  <c r="G403" i="3"/>
  <c r="G227" i="3"/>
  <c r="G385" i="3"/>
  <c r="G381" i="3"/>
  <c r="G13" i="3"/>
  <c r="G211" i="3"/>
  <c r="G163" i="3"/>
  <c r="G271" i="3"/>
  <c r="G260" i="3"/>
  <c r="G198" i="3"/>
  <c r="G429" i="3"/>
  <c r="G298" i="3"/>
  <c r="G283" i="3"/>
  <c r="G124" i="3"/>
  <c r="G123" i="3"/>
  <c r="G301" i="3"/>
  <c r="G221" i="3"/>
  <c r="G186" i="3"/>
  <c r="G128" i="3"/>
  <c r="G112" i="3"/>
  <c r="G399" i="3"/>
  <c r="G249" i="3"/>
  <c r="G97" i="3"/>
  <c r="G445" i="3"/>
  <c r="G473" i="3"/>
  <c r="G161" i="3"/>
  <c r="G434" i="3"/>
  <c r="G265" i="3"/>
  <c r="G289" i="3"/>
  <c r="G129" i="3"/>
  <c r="G185" i="3"/>
  <c r="G358" i="3"/>
  <c r="G218" i="3"/>
  <c r="G22" i="3"/>
  <c r="G6" i="3"/>
  <c r="G321" i="3"/>
  <c r="G239" i="3"/>
  <c r="G311" i="3"/>
  <c r="G432" i="3"/>
  <c r="G25" i="3"/>
  <c r="G24" i="3"/>
  <c r="G119" i="3"/>
  <c r="G426" i="3"/>
  <c r="G339" i="3"/>
  <c r="G67" i="3"/>
  <c r="G273" i="3"/>
  <c r="G350" i="3"/>
  <c r="G338" i="3"/>
  <c r="G230" i="3"/>
  <c r="G96" i="3"/>
  <c r="G481" i="3"/>
  <c r="G113" i="3"/>
  <c r="G436" i="3"/>
  <c r="G229" i="3"/>
  <c r="G44" i="3"/>
  <c r="G400" i="3"/>
  <c r="G78" i="3"/>
  <c r="G70" i="3"/>
  <c r="G88" i="3"/>
  <c r="G378" i="3"/>
  <c r="G290" i="3"/>
  <c r="G262" i="3"/>
  <c r="G377" i="3"/>
  <c r="G178" i="3"/>
  <c r="G482" i="3"/>
  <c r="G135" i="3"/>
  <c r="G81" i="3"/>
  <c r="G52" i="3"/>
  <c r="G204" i="3"/>
  <c r="G17" i="3"/>
  <c r="G95" i="3"/>
  <c r="G330" i="3"/>
  <c r="G331" i="3"/>
  <c r="G10" i="3"/>
  <c r="G293" i="3"/>
  <c r="G393" i="3"/>
  <c r="G209" i="3"/>
  <c r="G69" i="3"/>
  <c r="G254" i="3"/>
  <c r="G210" i="3"/>
  <c r="G484" i="3"/>
  <c r="G236" i="3"/>
  <c r="G383" i="3"/>
  <c r="G148" i="3"/>
  <c r="G21" i="3"/>
  <c r="G250" i="3"/>
  <c r="G153" i="3"/>
  <c r="G347" i="3"/>
  <c r="G476" i="3"/>
  <c r="G5" i="3"/>
  <c r="G89" i="3"/>
  <c r="G333" i="3"/>
  <c r="G291" i="3"/>
  <c r="G446" i="3"/>
  <c r="G294" i="3"/>
  <c r="G416" i="3"/>
  <c r="G469" i="3"/>
  <c r="G235" i="3"/>
  <c r="G367" i="3"/>
  <c r="G149" i="3"/>
  <c r="G182" i="3"/>
  <c r="G435" i="3"/>
  <c r="G244" i="3"/>
  <c r="G201" i="3"/>
  <c r="G380" i="3"/>
  <c r="G11" i="3"/>
  <c r="G342" i="3"/>
  <c r="G394" i="3"/>
  <c r="G194" i="3"/>
  <c r="G269" i="3"/>
  <c r="G65" i="3"/>
  <c r="G351" i="3"/>
  <c r="G231" i="3"/>
  <c r="G258" i="3"/>
  <c r="G371" i="3"/>
  <c r="G181" i="3"/>
  <c r="G374" i="3"/>
  <c r="G369" i="3"/>
  <c r="G45" i="3"/>
  <c r="G226" i="3"/>
  <c r="G234" i="3"/>
  <c r="G64" i="3"/>
  <c r="G319" i="3"/>
  <c r="G413" i="3"/>
  <c r="G292" i="3"/>
  <c r="G9" i="3"/>
  <c r="G387" i="3"/>
  <c r="G401" i="3"/>
  <c r="G318" i="3"/>
  <c r="G240" i="3"/>
  <c r="G386" i="3"/>
  <c r="G344" i="3"/>
  <c r="G3" i="3"/>
  <c r="G107" i="3"/>
  <c r="G46" i="3"/>
  <c r="G322" i="3"/>
  <c r="G461" i="3"/>
  <c r="G348" i="3"/>
  <c r="G251" i="3"/>
  <c r="G133" i="3"/>
  <c r="G223" i="3"/>
  <c r="G300" i="3"/>
  <c r="G345" i="3"/>
  <c r="G402" i="3"/>
  <c r="G167" i="3"/>
  <c r="G233" i="3"/>
  <c r="G110" i="3"/>
  <c r="G26" i="3"/>
  <c r="G245" i="3"/>
  <c r="G315" i="3"/>
  <c r="G154" i="3"/>
  <c r="G207" i="3"/>
  <c r="G302" i="3"/>
  <c r="H334" i="3"/>
  <c r="H243" i="3"/>
  <c r="H447" i="3"/>
  <c r="H317" i="3"/>
  <c r="H472" i="3"/>
  <c r="H106" i="3"/>
  <c r="H375" i="3"/>
  <c r="H169" i="3"/>
  <c r="H213" i="3"/>
  <c r="H312" i="3"/>
  <c r="H471" i="3"/>
  <c r="H388" i="3"/>
  <c r="H352" i="3"/>
  <c r="H464" i="3"/>
  <c r="H477" i="3"/>
  <c r="H168" i="3"/>
  <c r="H376" i="3"/>
  <c r="H391" i="3"/>
  <c r="H175" i="3"/>
  <c r="H241" i="3"/>
  <c r="H288" i="3"/>
  <c r="H355" i="3"/>
  <c r="H296" i="3"/>
  <c r="H34" i="3"/>
  <c r="H486" i="3"/>
  <c r="H90" i="3"/>
  <c r="H414" i="3"/>
  <c r="H56" i="3"/>
  <c r="H459" i="3"/>
  <c r="H270" i="3"/>
  <c r="H61" i="3"/>
  <c r="H54" i="3"/>
  <c r="H53" i="3"/>
  <c r="H420" i="3"/>
  <c r="H305" i="3"/>
  <c r="H51" i="3"/>
  <c r="H474" i="3"/>
  <c r="H126" i="3"/>
  <c r="H30" i="3"/>
  <c r="H99" i="3"/>
  <c r="H68" i="3"/>
  <c r="H264" i="3"/>
  <c r="H199" i="3"/>
  <c r="H156" i="3"/>
  <c r="H448" i="3"/>
  <c r="H98" i="3"/>
  <c r="H216" i="3"/>
  <c r="H187" i="3"/>
  <c r="H27" i="3"/>
  <c r="H48" i="3"/>
  <c r="H49" i="3"/>
  <c r="H164" i="3"/>
  <c r="H170" i="3"/>
  <c r="H58" i="3"/>
  <c r="H83" i="3"/>
  <c r="H488" i="3"/>
  <c r="H439" i="3"/>
  <c r="H308" i="3"/>
  <c r="H307" i="3"/>
  <c r="H389" i="3"/>
  <c r="H202" i="3"/>
  <c r="H463" i="3"/>
  <c r="H353" i="3"/>
  <c r="H465" i="3"/>
  <c r="H340" i="3"/>
  <c r="H421" i="3"/>
  <c r="H50" i="3"/>
  <c r="H246" i="3"/>
  <c r="H397" i="3"/>
  <c r="H59" i="3"/>
  <c r="H487" i="3"/>
  <c r="H144" i="3"/>
  <c r="H324" i="3"/>
  <c r="H12" i="3"/>
  <c r="H452" i="3"/>
  <c r="H47" i="3"/>
  <c r="H255" i="3"/>
  <c r="H306" i="3"/>
  <c r="H82" i="3"/>
  <c r="H111" i="3"/>
  <c r="H370" i="3"/>
  <c r="H217" i="3"/>
  <c r="H438" i="3"/>
  <c r="H19" i="3"/>
  <c r="H395" i="3"/>
  <c r="H60" i="3"/>
  <c r="H392" i="3"/>
  <c r="H462" i="3"/>
  <c r="H440" i="3"/>
  <c r="H252" i="3"/>
  <c r="H329" i="3"/>
  <c r="H410" i="3"/>
  <c r="H43" i="3"/>
  <c r="H84" i="3"/>
  <c r="H191" i="3"/>
  <c r="H41" i="3"/>
  <c r="H341" i="3"/>
  <c r="H422" i="3"/>
  <c r="H75" i="3"/>
  <c r="H40" i="3"/>
  <c r="H39" i="3"/>
  <c r="H155" i="3"/>
  <c r="H454" i="3"/>
  <c r="H372" i="3"/>
  <c r="H125" i="3"/>
  <c r="H485" i="3"/>
  <c r="H62" i="3"/>
  <c r="H157" i="3"/>
  <c r="H285" i="3"/>
  <c r="H38" i="3"/>
  <c r="H37" i="3"/>
  <c r="H36" i="3"/>
  <c r="H147" i="3"/>
  <c r="H237" i="3"/>
  <c r="H77" i="3"/>
  <c r="H143" i="3"/>
  <c r="H171" i="3"/>
  <c r="H437" i="3"/>
  <c r="H220" i="3"/>
  <c r="H232" i="3"/>
  <c r="H35" i="3"/>
  <c r="H91" i="3"/>
  <c r="H122" i="3"/>
  <c r="H354" i="3"/>
  <c r="H203" i="3"/>
  <c r="H121" i="3"/>
  <c r="H138" i="3"/>
  <c r="H466" i="3"/>
  <c r="H120" i="3"/>
  <c r="H423" i="3"/>
  <c r="H427" i="3"/>
  <c r="H118" i="3"/>
  <c r="H205" i="3"/>
  <c r="H117" i="3"/>
  <c r="H15" i="3"/>
  <c r="H316" i="3"/>
  <c r="H8" i="3"/>
  <c r="H314" i="3"/>
  <c r="H179" i="3"/>
  <c r="H29" i="3"/>
  <c r="H256" i="3"/>
  <c r="H483" i="3"/>
  <c r="H396" i="3"/>
  <c r="H115" i="3"/>
  <c r="H313" i="3"/>
  <c r="H114" i="3"/>
  <c r="H480" i="3"/>
  <c r="H184" i="3"/>
  <c r="H137" i="3"/>
  <c r="H100" i="3"/>
  <c r="H327" i="3"/>
  <c r="H332" i="3"/>
  <c r="H441" i="3"/>
  <c r="H92" i="3"/>
  <c r="H295" i="3"/>
  <c r="H177" i="3"/>
  <c r="H188" i="3"/>
  <c r="H109" i="3"/>
  <c r="H18" i="3"/>
  <c r="H299" i="3"/>
  <c r="H328" i="3"/>
  <c r="H424" i="3"/>
  <c r="H108" i="3"/>
  <c r="H247" i="3"/>
  <c r="H152" i="3"/>
  <c r="H442" i="3"/>
  <c r="H475" i="3"/>
  <c r="H428" i="3"/>
  <c r="H146" i="3"/>
  <c r="H224" i="3"/>
  <c r="H200" i="3"/>
  <c r="H346" i="3"/>
  <c r="H183" i="3"/>
  <c r="H33" i="3"/>
  <c r="H192" i="3"/>
  <c r="H32" i="3"/>
  <c r="H451" i="3"/>
  <c r="H310" i="3"/>
  <c r="H215" i="3"/>
  <c r="H282" i="3"/>
  <c r="H468" i="3"/>
  <c r="H101" i="3"/>
  <c r="H489" i="3"/>
  <c r="H281" i="3"/>
  <c r="H280" i="3"/>
  <c r="H415" i="3"/>
  <c r="H364" i="3"/>
  <c r="H390" i="3"/>
  <c r="H228" i="3"/>
  <c r="H160" i="3"/>
  <c r="H193" i="3"/>
  <c r="H132" i="3"/>
  <c r="H366" i="3"/>
  <c r="H409" i="3"/>
  <c r="H28" i="3"/>
  <c r="H277" i="3"/>
  <c r="H206" i="3"/>
  <c r="H72" i="3"/>
  <c r="H275" i="3"/>
  <c r="H274" i="3"/>
  <c r="H55" i="3"/>
  <c r="H166" i="3"/>
  <c r="H363" i="3"/>
  <c r="H405" i="3"/>
  <c r="H417" i="3"/>
  <c r="H93" i="3"/>
  <c r="H272" i="3"/>
  <c r="H151" i="3"/>
  <c r="H80" i="3"/>
  <c r="H238" i="3"/>
  <c r="H180" i="3"/>
  <c r="H141" i="3"/>
  <c r="H172" i="3"/>
  <c r="H102" i="3"/>
  <c r="H425" i="3"/>
  <c r="H197" i="3"/>
  <c r="H222" i="3"/>
  <c r="H127" i="3"/>
  <c r="H408" i="3"/>
  <c r="H368" i="3"/>
  <c r="H212" i="3"/>
  <c r="H449" i="3"/>
  <c r="H343" i="3"/>
  <c r="H467" i="3"/>
  <c r="H14" i="3"/>
  <c r="H323" i="3"/>
  <c r="H131" i="3"/>
  <c r="H248" i="3"/>
  <c r="H196" i="3"/>
  <c r="H443" i="3"/>
  <c r="H359" i="3"/>
  <c r="H276" i="3"/>
  <c r="H257" i="3"/>
  <c r="H20" i="3"/>
  <c r="H63" i="3"/>
  <c r="H158" i="3"/>
  <c r="H418" i="3"/>
  <c r="H94" i="3"/>
  <c r="H357" i="3"/>
  <c r="H278" i="3"/>
  <c r="H23" i="3"/>
  <c r="H433" i="3"/>
  <c r="H365" i="3"/>
  <c r="H286" i="3"/>
  <c r="H176" i="3"/>
  <c r="H103" i="3"/>
  <c r="H490" i="3"/>
  <c r="H309" i="3"/>
  <c r="H139" i="3"/>
  <c r="H360" i="3"/>
  <c r="H105" i="3"/>
  <c r="H267" i="3"/>
  <c r="H266" i="3"/>
  <c r="H336" i="3"/>
  <c r="H66" i="3"/>
  <c r="H134" i="3"/>
  <c r="H142" i="3"/>
  <c r="H430" i="3"/>
  <c r="H208" i="3"/>
  <c r="H79" i="3"/>
  <c r="H478" i="3"/>
  <c r="H2" i="3"/>
  <c r="H190" i="3"/>
  <c r="H214" i="3"/>
  <c r="H140" i="3"/>
  <c r="H362" i="3"/>
  <c r="H116" i="3"/>
  <c r="H261" i="3"/>
  <c r="H419" i="3"/>
  <c r="H162" i="3"/>
  <c r="H470" i="3"/>
  <c r="H479" i="3"/>
  <c r="H320" i="3"/>
  <c r="H16" i="3"/>
  <c r="H431" i="3"/>
  <c r="H76" i="3"/>
  <c r="H173" i="3"/>
  <c r="H104" i="3"/>
  <c r="H74" i="3"/>
  <c r="H455" i="3"/>
  <c r="H242" i="3"/>
  <c r="H195" i="3"/>
  <c r="H150" i="3"/>
  <c r="H456" i="3"/>
  <c r="H460" i="3"/>
  <c r="H450" i="3"/>
  <c r="H31" i="3"/>
  <c r="H457" i="3"/>
  <c r="H304" i="3"/>
  <c r="H159" i="3"/>
  <c r="H73" i="3"/>
  <c r="H458" i="3"/>
  <c r="H398" i="3"/>
  <c r="H444" i="3"/>
  <c r="H326" i="3"/>
  <c r="H279" i="3"/>
  <c r="H349" i="3"/>
  <c r="H382" i="3"/>
  <c r="H384" i="3"/>
  <c r="H165" i="3"/>
  <c r="H219" i="3"/>
  <c r="H361" i="3"/>
  <c r="H71" i="3"/>
  <c r="H453" i="3"/>
  <c r="H284" i="3"/>
  <c r="H325" i="3"/>
  <c r="H225" i="3"/>
  <c r="H407" i="3"/>
  <c r="H174" i="3"/>
  <c r="H7" i="3"/>
  <c r="H4" i="3"/>
  <c r="H406" i="3"/>
  <c r="H85" i="3"/>
  <c r="H287" i="3"/>
  <c r="H356" i="3"/>
  <c r="H268" i="3"/>
  <c r="H335" i="3"/>
  <c r="H337" i="3"/>
  <c r="H259" i="3"/>
  <c r="H303" i="3"/>
  <c r="H379" i="3"/>
  <c r="H87" i="3"/>
  <c r="H136" i="3"/>
  <c r="H373" i="3"/>
  <c r="H42" i="3"/>
  <c r="H145" i="3"/>
  <c r="H412" i="3"/>
  <c r="H57" i="3"/>
  <c r="H86" i="3"/>
  <c r="H253" i="3"/>
  <c r="H411" i="3"/>
  <c r="H297" i="3"/>
  <c r="H404" i="3"/>
  <c r="H130" i="3"/>
  <c r="H403" i="3"/>
  <c r="H227" i="3"/>
  <c r="H385" i="3"/>
  <c r="H381" i="3"/>
  <c r="H13" i="3"/>
  <c r="H211" i="3"/>
  <c r="H163" i="3"/>
  <c r="H271" i="3"/>
  <c r="H260" i="3"/>
  <c r="H198" i="3"/>
  <c r="H429" i="3"/>
  <c r="H298" i="3"/>
  <c r="H283" i="3"/>
  <c r="H124" i="3"/>
  <c r="H123" i="3"/>
  <c r="H301" i="3"/>
  <c r="H221" i="3"/>
  <c r="H186" i="3"/>
  <c r="H128" i="3"/>
  <c r="H112" i="3"/>
  <c r="H399" i="3"/>
  <c r="H249" i="3"/>
  <c r="H97" i="3"/>
  <c r="H445" i="3"/>
  <c r="H473" i="3"/>
  <c r="H161" i="3"/>
  <c r="H434" i="3"/>
  <c r="H265" i="3"/>
  <c r="H289" i="3"/>
  <c r="H129" i="3"/>
  <c r="H185" i="3"/>
  <c r="H358" i="3"/>
  <c r="H218" i="3"/>
  <c r="H22" i="3"/>
  <c r="H6" i="3"/>
  <c r="H321" i="3"/>
  <c r="H239" i="3"/>
  <c r="H311" i="3"/>
  <c r="H432" i="3"/>
  <c r="H25" i="3"/>
  <c r="H24" i="3"/>
  <c r="H119" i="3"/>
  <c r="H426" i="3"/>
  <c r="H339" i="3"/>
  <c r="H67" i="3"/>
  <c r="H273" i="3"/>
  <c r="H350" i="3"/>
  <c r="H338" i="3"/>
  <c r="H230" i="3"/>
  <c r="H96" i="3"/>
  <c r="H481" i="3"/>
  <c r="H113" i="3"/>
  <c r="H436" i="3"/>
  <c r="H229" i="3"/>
  <c r="H44" i="3"/>
  <c r="H400" i="3"/>
  <c r="H78" i="3"/>
  <c r="H70" i="3"/>
  <c r="H88" i="3"/>
  <c r="H378" i="3"/>
  <c r="H290" i="3"/>
  <c r="H262" i="3"/>
  <c r="H377" i="3"/>
  <c r="H178" i="3"/>
  <c r="H482" i="3"/>
  <c r="H135" i="3"/>
  <c r="H81" i="3"/>
  <c r="H52" i="3"/>
  <c r="H204" i="3"/>
  <c r="H17" i="3"/>
  <c r="H95" i="3"/>
  <c r="H330" i="3"/>
  <c r="H331" i="3"/>
  <c r="H10" i="3"/>
  <c r="H293" i="3"/>
  <c r="H393" i="3"/>
  <c r="H209" i="3"/>
  <c r="H69" i="3"/>
  <c r="H254" i="3"/>
  <c r="H210" i="3"/>
  <c r="H484" i="3"/>
  <c r="H236" i="3"/>
  <c r="H383" i="3"/>
  <c r="H148" i="3"/>
  <c r="H21" i="3"/>
  <c r="H250" i="3"/>
  <c r="H153" i="3"/>
  <c r="H347" i="3"/>
  <c r="H476" i="3"/>
  <c r="H5" i="3"/>
  <c r="H89" i="3"/>
  <c r="H333" i="3"/>
  <c r="H291" i="3"/>
  <c r="H446" i="3"/>
  <c r="H294" i="3"/>
  <c r="H416" i="3"/>
  <c r="H469" i="3"/>
  <c r="H235" i="3"/>
  <c r="H367" i="3"/>
  <c r="H149" i="3"/>
  <c r="H182" i="3"/>
  <c r="H435" i="3"/>
  <c r="H244" i="3"/>
  <c r="H201" i="3"/>
  <c r="H380" i="3"/>
  <c r="H11" i="3"/>
  <c r="H342" i="3"/>
  <c r="H394" i="3"/>
  <c r="H194" i="3"/>
  <c r="H269" i="3"/>
  <c r="H65" i="3"/>
  <c r="H351" i="3"/>
  <c r="H231" i="3"/>
  <c r="H258" i="3"/>
  <c r="H371" i="3"/>
  <c r="H181" i="3"/>
  <c r="H374" i="3"/>
  <c r="H369" i="3"/>
  <c r="H45" i="3"/>
  <c r="H226" i="3"/>
  <c r="H234" i="3"/>
  <c r="H64" i="3"/>
  <c r="H319" i="3"/>
  <c r="H413" i="3"/>
  <c r="H292" i="3"/>
  <c r="H9" i="3"/>
  <c r="H387" i="3"/>
  <c r="H401" i="3"/>
  <c r="H318" i="3"/>
  <c r="H240" i="3"/>
  <c r="H386" i="3"/>
  <c r="H344" i="3"/>
  <c r="H3" i="3"/>
  <c r="H107" i="3"/>
  <c r="H46" i="3"/>
  <c r="H322" i="3"/>
  <c r="H461" i="3"/>
  <c r="H348" i="3"/>
  <c r="H251" i="3"/>
  <c r="H133" i="3"/>
  <c r="H223" i="3"/>
  <c r="H300" i="3"/>
  <c r="H345" i="3"/>
  <c r="H402" i="3"/>
  <c r="H167" i="3"/>
  <c r="H233" i="3"/>
  <c r="H110" i="3"/>
  <c r="H26" i="3"/>
  <c r="H245" i="3"/>
  <c r="H315" i="3"/>
  <c r="H154" i="3"/>
  <c r="H207" i="3"/>
  <c r="H302" i="3"/>
  <c r="I334" i="3"/>
  <c r="I243" i="3"/>
  <c r="I447" i="3"/>
  <c r="I317" i="3"/>
  <c r="I472" i="3"/>
  <c r="I106" i="3"/>
  <c r="I375" i="3"/>
  <c r="I169" i="3"/>
  <c r="I213" i="3"/>
  <c r="I312" i="3"/>
  <c r="I471" i="3"/>
  <c r="I388" i="3"/>
  <c r="I352" i="3"/>
  <c r="I464" i="3"/>
  <c r="I477" i="3"/>
  <c r="I168" i="3"/>
  <c r="I376" i="3"/>
  <c r="I391" i="3"/>
  <c r="I175" i="3"/>
  <c r="I241" i="3"/>
  <c r="I288" i="3"/>
  <c r="I355" i="3"/>
  <c r="I296" i="3"/>
  <c r="I34" i="3"/>
  <c r="I486" i="3"/>
  <c r="I90" i="3"/>
  <c r="I414" i="3"/>
  <c r="I56" i="3"/>
  <c r="I459" i="3"/>
  <c r="I270" i="3"/>
  <c r="I61" i="3"/>
  <c r="I54" i="3"/>
  <c r="I53" i="3"/>
  <c r="I420" i="3"/>
  <c r="I305" i="3"/>
  <c r="I51" i="3"/>
  <c r="I474" i="3"/>
  <c r="I126" i="3"/>
  <c r="I30" i="3"/>
  <c r="I99" i="3"/>
  <c r="I68" i="3"/>
  <c r="I264" i="3"/>
  <c r="I199" i="3"/>
  <c r="I156" i="3"/>
  <c r="I448" i="3"/>
  <c r="I98" i="3"/>
  <c r="I216" i="3"/>
  <c r="I187" i="3"/>
  <c r="I27" i="3"/>
  <c r="I48" i="3"/>
  <c r="I49" i="3"/>
  <c r="I164" i="3"/>
  <c r="I170" i="3"/>
  <c r="I58" i="3"/>
  <c r="I83" i="3"/>
  <c r="I488" i="3"/>
  <c r="I439" i="3"/>
  <c r="I308" i="3"/>
  <c r="I307" i="3"/>
  <c r="I389" i="3"/>
  <c r="I202" i="3"/>
  <c r="I463" i="3"/>
  <c r="I353" i="3"/>
  <c r="I465" i="3"/>
  <c r="I340" i="3"/>
  <c r="I421" i="3"/>
  <c r="I50" i="3"/>
  <c r="I246" i="3"/>
  <c r="I397" i="3"/>
  <c r="I59" i="3"/>
  <c r="I487" i="3"/>
  <c r="I144" i="3"/>
  <c r="I324" i="3"/>
  <c r="I12" i="3"/>
  <c r="I452" i="3"/>
  <c r="I47" i="3"/>
  <c r="I255" i="3"/>
  <c r="I306" i="3"/>
  <c r="I82" i="3"/>
  <c r="I111" i="3"/>
  <c r="I370" i="3"/>
  <c r="I217" i="3"/>
  <c r="I438" i="3"/>
  <c r="I19" i="3"/>
  <c r="I395" i="3"/>
  <c r="I60" i="3"/>
  <c r="I392" i="3"/>
  <c r="I462" i="3"/>
  <c r="I440" i="3"/>
  <c r="I252" i="3"/>
  <c r="I329" i="3"/>
  <c r="I410" i="3"/>
  <c r="I43" i="3"/>
  <c r="I84" i="3"/>
  <c r="I191" i="3"/>
  <c r="I41" i="3"/>
  <c r="I341" i="3"/>
  <c r="I422" i="3"/>
  <c r="I75" i="3"/>
  <c r="I40" i="3"/>
  <c r="I39" i="3"/>
  <c r="I155" i="3"/>
  <c r="I454" i="3"/>
  <c r="I372" i="3"/>
  <c r="I125" i="3"/>
  <c r="I485" i="3"/>
  <c r="I62" i="3"/>
  <c r="I157" i="3"/>
  <c r="I285" i="3"/>
  <c r="I38" i="3"/>
  <c r="I37" i="3"/>
  <c r="I36" i="3"/>
  <c r="I147" i="3"/>
  <c r="I237" i="3"/>
  <c r="I77" i="3"/>
  <c r="I143" i="3"/>
  <c r="I171" i="3"/>
  <c r="I437" i="3"/>
  <c r="I220" i="3"/>
  <c r="I232" i="3"/>
  <c r="I35" i="3"/>
  <c r="I91" i="3"/>
  <c r="I122" i="3"/>
  <c r="I354" i="3"/>
  <c r="I203" i="3"/>
  <c r="I121" i="3"/>
  <c r="I138" i="3"/>
  <c r="I466" i="3"/>
  <c r="I120" i="3"/>
  <c r="I423" i="3"/>
  <c r="I427" i="3"/>
  <c r="I118" i="3"/>
  <c r="I205" i="3"/>
  <c r="I117" i="3"/>
  <c r="I15" i="3"/>
  <c r="I316" i="3"/>
  <c r="I8" i="3"/>
  <c r="I314" i="3"/>
  <c r="I179" i="3"/>
  <c r="I29" i="3"/>
  <c r="I256" i="3"/>
  <c r="I483" i="3"/>
  <c r="I396" i="3"/>
  <c r="I115" i="3"/>
  <c r="I313" i="3"/>
  <c r="I114" i="3"/>
  <c r="I480" i="3"/>
  <c r="I184" i="3"/>
  <c r="I137" i="3"/>
  <c r="I100" i="3"/>
  <c r="I327" i="3"/>
  <c r="I332" i="3"/>
  <c r="I441" i="3"/>
  <c r="I92" i="3"/>
  <c r="I295" i="3"/>
  <c r="I177" i="3"/>
  <c r="I188" i="3"/>
  <c r="I109" i="3"/>
  <c r="I18" i="3"/>
  <c r="I299" i="3"/>
  <c r="I328" i="3"/>
  <c r="I424" i="3"/>
  <c r="I108" i="3"/>
  <c r="I247" i="3"/>
  <c r="I152" i="3"/>
  <c r="I442" i="3"/>
  <c r="I475" i="3"/>
  <c r="I428" i="3"/>
  <c r="I146" i="3"/>
  <c r="I224" i="3"/>
  <c r="I200" i="3"/>
  <c r="I346" i="3"/>
  <c r="I183" i="3"/>
  <c r="I33" i="3"/>
  <c r="I192" i="3"/>
  <c r="I32" i="3"/>
  <c r="I451" i="3"/>
  <c r="I310" i="3"/>
  <c r="I215" i="3"/>
  <c r="I282" i="3"/>
  <c r="I468" i="3"/>
  <c r="I101" i="3"/>
  <c r="I489" i="3"/>
  <c r="I281" i="3"/>
  <c r="I280" i="3"/>
  <c r="I415" i="3"/>
  <c r="I364" i="3"/>
  <c r="I390" i="3"/>
  <c r="I228" i="3"/>
  <c r="I160" i="3"/>
  <c r="I193" i="3"/>
  <c r="I132" i="3"/>
  <c r="I366" i="3"/>
  <c r="I409" i="3"/>
  <c r="I28" i="3"/>
  <c r="I277" i="3"/>
  <c r="I206" i="3"/>
  <c r="I72" i="3"/>
  <c r="I275" i="3"/>
  <c r="I274" i="3"/>
  <c r="I55" i="3"/>
  <c r="I166" i="3"/>
  <c r="I363" i="3"/>
  <c r="I405" i="3"/>
  <c r="I417" i="3"/>
  <c r="I93" i="3"/>
  <c r="I272" i="3"/>
  <c r="I151" i="3"/>
  <c r="I80" i="3"/>
  <c r="I238" i="3"/>
  <c r="I180" i="3"/>
  <c r="I141" i="3"/>
  <c r="I172" i="3"/>
  <c r="I102" i="3"/>
  <c r="I425" i="3"/>
  <c r="I197" i="3"/>
  <c r="I222" i="3"/>
  <c r="I127" i="3"/>
  <c r="I408" i="3"/>
  <c r="I368" i="3"/>
  <c r="I212" i="3"/>
  <c r="I449" i="3"/>
  <c r="I343" i="3"/>
  <c r="I467" i="3"/>
  <c r="I14" i="3"/>
  <c r="I323" i="3"/>
  <c r="I131" i="3"/>
  <c r="I248" i="3"/>
  <c r="I196" i="3"/>
  <c r="I443" i="3"/>
  <c r="I359" i="3"/>
  <c r="I276" i="3"/>
  <c r="I257" i="3"/>
  <c r="I20" i="3"/>
  <c r="I63" i="3"/>
  <c r="I158" i="3"/>
  <c r="I418" i="3"/>
  <c r="I94" i="3"/>
  <c r="I357" i="3"/>
  <c r="I278" i="3"/>
  <c r="I23" i="3"/>
  <c r="I433" i="3"/>
  <c r="I365" i="3"/>
  <c r="I286" i="3"/>
  <c r="I176" i="3"/>
  <c r="I103" i="3"/>
  <c r="I490" i="3"/>
  <c r="I309" i="3"/>
  <c r="I139" i="3"/>
  <c r="I360" i="3"/>
  <c r="I105" i="3"/>
  <c r="I267" i="3"/>
  <c r="I266" i="3"/>
  <c r="I336" i="3"/>
  <c r="I66" i="3"/>
  <c r="I134" i="3"/>
  <c r="I142" i="3"/>
  <c r="I430" i="3"/>
  <c r="I208" i="3"/>
  <c r="I79" i="3"/>
  <c r="I478" i="3"/>
  <c r="I2" i="3"/>
  <c r="I190" i="3"/>
  <c r="I214" i="3"/>
  <c r="I140" i="3"/>
  <c r="I362" i="3"/>
  <c r="I116" i="3"/>
  <c r="I261" i="3"/>
  <c r="I419" i="3"/>
  <c r="I162" i="3"/>
  <c r="I470" i="3"/>
  <c r="I479" i="3"/>
  <c r="I320" i="3"/>
  <c r="I16" i="3"/>
  <c r="I431" i="3"/>
  <c r="I76" i="3"/>
  <c r="I173" i="3"/>
  <c r="I104" i="3"/>
  <c r="I74" i="3"/>
  <c r="I455" i="3"/>
  <c r="I242" i="3"/>
  <c r="I195" i="3"/>
  <c r="I150" i="3"/>
  <c r="I456" i="3"/>
  <c r="I460" i="3"/>
  <c r="I450" i="3"/>
  <c r="I31" i="3"/>
  <c r="I457" i="3"/>
  <c r="I304" i="3"/>
  <c r="I159" i="3"/>
  <c r="I73" i="3"/>
  <c r="I458" i="3"/>
  <c r="I398" i="3"/>
  <c r="I444" i="3"/>
  <c r="I326" i="3"/>
  <c r="I279" i="3"/>
  <c r="I349" i="3"/>
  <c r="I382" i="3"/>
  <c r="I384" i="3"/>
  <c r="I165" i="3"/>
  <c r="I219" i="3"/>
  <c r="I361" i="3"/>
  <c r="I71" i="3"/>
  <c r="I453" i="3"/>
  <c r="I284" i="3"/>
  <c r="I325" i="3"/>
  <c r="I225" i="3"/>
  <c r="I407" i="3"/>
  <c r="I174" i="3"/>
  <c r="I7" i="3"/>
  <c r="I4" i="3"/>
  <c r="I406" i="3"/>
  <c r="I85" i="3"/>
  <c r="I287" i="3"/>
  <c r="I356" i="3"/>
  <c r="I268" i="3"/>
  <c r="I335" i="3"/>
  <c r="I337" i="3"/>
  <c r="I259" i="3"/>
  <c r="I303" i="3"/>
  <c r="I379" i="3"/>
  <c r="I87" i="3"/>
  <c r="I136" i="3"/>
  <c r="I373" i="3"/>
  <c r="I42" i="3"/>
  <c r="I145" i="3"/>
  <c r="I412" i="3"/>
  <c r="I57" i="3"/>
  <c r="I86" i="3"/>
  <c r="I253" i="3"/>
  <c r="I411" i="3"/>
  <c r="I297" i="3"/>
  <c r="I404" i="3"/>
  <c r="I130" i="3"/>
  <c r="I403" i="3"/>
  <c r="I227" i="3"/>
  <c r="I385" i="3"/>
  <c r="I381" i="3"/>
  <c r="I13" i="3"/>
  <c r="I211" i="3"/>
  <c r="I163" i="3"/>
  <c r="I271" i="3"/>
  <c r="I260" i="3"/>
  <c r="I198" i="3"/>
  <c r="I429" i="3"/>
  <c r="I298" i="3"/>
  <c r="I283" i="3"/>
  <c r="I124" i="3"/>
  <c r="I123" i="3"/>
  <c r="I301" i="3"/>
  <c r="I221" i="3"/>
  <c r="I186" i="3"/>
  <c r="I128" i="3"/>
  <c r="I112" i="3"/>
  <c r="I399" i="3"/>
  <c r="I249" i="3"/>
  <c r="I97" i="3"/>
  <c r="I445" i="3"/>
  <c r="I473" i="3"/>
  <c r="I161" i="3"/>
  <c r="I434" i="3"/>
  <c r="I265" i="3"/>
  <c r="I289" i="3"/>
  <c r="I129" i="3"/>
  <c r="I185" i="3"/>
  <c r="I358" i="3"/>
  <c r="I218" i="3"/>
  <c r="I22" i="3"/>
  <c r="I6" i="3"/>
  <c r="I321" i="3"/>
  <c r="I239" i="3"/>
  <c r="I311" i="3"/>
  <c r="I432" i="3"/>
  <c r="I25" i="3"/>
  <c r="I24" i="3"/>
  <c r="I119" i="3"/>
  <c r="I426" i="3"/>
  <c r="I339" i="3"/>
  <c r="I67" i="3"/>
  <c r="I273" i="3"/>
  <c r="I350" i="3"/>
  <c r="I338" i="3"/>
  <c r="I230" i="3"/>
  <c r="I96" i="3"/>
  <c r="I481" i="3"/>
  <c r="I113" i="3"/>
  <c r="I436" i="3"/>
  <c r="I229" i="3"/>
  <c r="I44" i="3"/>
  <c r="I400" i="3"/>
  <c r="I78" i="3"/>
  <c r="I70" i="3"/>
  <c r="I88" i="3"/>
  <c r="I378" i="3"/>
  <c r="I290" i="3"/>
  <c r="I262" i="3"/>
  <c r="I377" i="3"/>
  <c r="I178" i="3"/>
  <c r="I482" i="3"/>
  <c r="I135" i="3"/>
  <c r="I81" i="3"/>
  <c r="I52" i="3"/>
  <c r="I204" i="3"/>
  <c r="I17" i="3"/>
  <c r="I95" i="3"/>
  <c r="I330" i="3"/>
  <c r="I331" i="3"/>
  <c r="I10" i="3"/>
  <c r="I293" i="3"/>
  <c r="I393" i="3"/>
  <c r="I209" i="3"/>
  <c r="I69" i="3"/>
  <c r="I254" i="3"/>
  <c r="I210" i="3"/>
  <c r="I484" i="3"/>
  <c r="I236" i="3"/>
  <c r="I383" i="3"/>
  <c r="I148" i="3"/>
  <c r="I21" i="3"/>
  <c r="I250" i="3"/>
  <c r="I153" i="3"/>
  <c r="I347" i="3"/>
  <c r="I476" i="3"/>
  <c r="I5" i="3"/>
  <c r="I89" i="3"/>
  <c r="I333" i="3"/>
  <c r="I291" i="3"/>
  <c r="I446" i="3"/>
  <c r="I294" i="3"/>
  <c r="I416" i="3"/>
  <c r="I469" i="3"/>
  <c r="I235" i="3"/>
  <c r="I367" i="3"/>
  <c r="I149" i="3"/>
  <c r="I182" i="3"/>
  <c r="I435" i="3"/>
  <c r="I244" i="3"/>
  <c r="I201" i="3"/>
  <c r="I380" i="3"/>
  <c r="I11" i="3"/>
  <c r="I342" i="3"/>
  <c r="I394" i="3"/>
  <c r="I194" i="3"/>
  <c r="I269" i="3"/>
  <c r="I65" i="3"/>
  <c r="I351" i="3"/>
  <c r="I231" i="3"/>
  <c r="I258" i="3"/>
  <c r="I371" i="3"/>
  <c r="I181" i="3"/>
  <c r="I374" i="3"/>
  <c r="I369" i="3"/>
  <c r="I45" i="3"/>
  <c r="I226" i="3"/>
  <c r="I234" i="3"/>
  <c r="I64" i="3"/>
  <c r="I319" i="3"/>
  <c r="I413" i="3"/>
  <c r="I292" i="3"/>
  <c r="I9" i="3"/>
  <c r="I387" i="3"/>
  <c r="I401" i="3"/>
  <c r="I318" i="3"/>
  <c r="I240" i="3"/>
  <c r="I386" i="3"/>
  <c r="I344" i="3"/>
  <c r="I3" i="3"/>
  <c r="I107" i="3"/>
  <c r="I46" i="3"/>
  <c r="I322" i="3"/>
  <c r="I461" i="3"/>
  <c r="I348" i="3"/>
  <c r="I251" i="3"/>
  <c r="I133" i="3"/>
  <c r="I223" i="3"/>
  <c r="I300" i="3"/>
  <c r="I345" i="3"/>
  <c r="I402" i="3"/>
  <c r="I167" i="3"/>
  <c r="I233" i="3"/>
  <c r="I110" i="3"/>
  <c r="I26" i="3"/>
  <c r="I245" i="3"/>
  <c r="I315" i="3"/>
  <c r="I154" i="3"/>
  <c r="I207" i="3"/>
  <c r="I302" i="3"/>
  <c r="J334" i="3"/>
  <c r="J243" i="3"/>
  <c r="J447" i="3"/>
  <c r="J317" i="3"/>
  <c r="J472" i="3"/>
  <c r="J106" i="3"/>
  <c r="J375" i="3"/>
  <c r="J169" i="3"/>
  <c r="J213" i="3"/>
  <c r="J312" i="3"/>
  <c r="J471" i="3"/>
  <c r="J388" i="3"/>
  <c r="J352" i="3"/>
  <c r="J464" i="3"/>
  <c r="J477" i="3"/>
  <c r="J168" i="3"/>
  <c r="J376" i="3"/>
  <c r="J391" i="3"/>
  <c r="J175" i="3"/>
  <c r="J241" i="3"/>
  <c r="J288" i="3"/>
  <c r="J355" i="3"/>
  <c r="J296" i="3"/>
  <c r="J34" i="3"/>
  <c r="J486" i="3"/>
  <c r="J90" i="3"/>
  <c r="J414" i="3"/>
  <c r="J56" i="3"/>
  <c r="J459" i="3"/>
  <c r="J270" i="3"/>
  <c r="J61" i="3"/>
  <c r="J54" i="3"/>
  <c r="J53" i="3"/>
  <c r="J420" i="3"/>
  <c r="J305" i="3"/>
  <c r="J51" i="3"/>
  <c r="J474" i="3"/>
  <c r="J126" i="3"/>
  <c r="J30" i="3"/>
  <c r="J99" i="3"/>
  <c r="J68" i="3"/>
  <c r="J264" i="3"/>
  <c r="J199" i="3"/>
  <c r="J156" i="3"/>
  <c r="J448" i="3"/>
  <c r="J98" i="3"/>
  <c r="J216" i="3"/>
  <c r="J187" i="3"/>
  <c r="J27" i="3"/>
  <c r="J48" i="3"/>
  <c r="J49" i="3"/>
  <c r="J164" i="3"/>
  <c r="J170" i="3"/>
  <c r="J58" i="3"/>
  <c r="J83" i="3"/>
  <c r="J488" i="3"/>
  <c r="J439" i="3"/>
  <c r="J308" i="3"/>
  <c r="J307" i="3"/>
  <c r="J389" i="3"/>
  <c r="J202" i="3"/>
  <c r="J463" i="3"/>
  <c r="J353" i="3"/>
  <c r="J465" i="3"/>
  <c r="J340" i="3"/>
  <c r="J421" i="3"/>
  <c r="J50" i="3"/>
  <c r="J246" i="3"/>
  <c r="J397" i="3"/>
  <c r="J59" i="3"/>
  <c r="J487" i="3"/>
  <c r="J144" i="3"/>
  <c r="J324" i="3"/>
  <c r="J12" i="3"/>
  <c r="J452" i="3"/>
  <c r="J47" i="3"/>
  <c r="J255" i="3"/>
  <c r="J306" i="3"/>
  <c r="J82" i="3"/>
  <c r="J111" i="3"/>
  <c r="J370" i="3"/>
  <c r="J217" i="3"/>
  <c r="J438" i="3"/>
  <c r="J19" i="3"/>
  <c r="J395" i="3"/>
  <c r="J60" i="3"/>
  <c r="J392" i="3"/>
  <c r="J462" i="3"/>
  <c r="J440" i="3"/>
  <c r="J252" i="3"/>
  <c r="J329" i="3"/>
  <c r="J410" i="3"/>
  <c r="J43" i="3"/>
  <c r="J84" i="3"/>
  <c r="J191" i="3"/>
  <c r="J41" i="3"/>
  <c r="J341" i="3"/>
  <c r="J422" i="3"/>
  <c r="J75" i="3"/>
  <c r="J40" i="3"/>
  <c r="J39" i="3"/>
  <c r="J155" i="3"/>
  <c r="J454" i="3"/>
  <c r="J372" i="3"/>
  <c r="J125" i="3"/>
  <c r="J485" i="3"/>
  <c r="J62" i="3"/>
  <c r="J157" i="3"/>
  <c r="J285" i="3"/>
  <c r="J38" i="3"/>
  <c r="J37" i="3"/>
  <c r="J36" i="3"/>
  <c r="J147" i="3"/>
  <c r="J237" i="3"/>
  <c r="J77" i="3"/>
  <c r="J143" i="3"/>
  <c r="J171" i="3"/>
  <c r="J437" i="3"/>
  <c r="J220" i="3"/>
  <c r="J232" i="3"/>
  <c r="J35" i="3"/>
  <c r="J91" i="3"/>
  <c r="J122" i="3"/>
  <c r="J354" i="3"/>
  <c r="J203" i="3"/>
  <c r="J121" i="3"/>
  <c r="J138" i="3"/>
  <c r="J466" i="3"/>
  <c r="J120" i="3"/>
  <c r="J423" i="3"/>
  <c r="J427" i="3"/>
  <c r="J118" i="3"/>
  <c r="J205" i="3"/>
  <c r="J117" i="3"/>
  <c r="J15" i="3"/>
  <c r="J316" i="3"/>
  <c r="J8" i="3"/>
  <c r="J314" i="3"/>
  <c r="J179" i="3"/>
  <c r="J29" i="3"/>
  <c r="J256" i="3"/>
  <c r="J483" i="3"/>
  <c r="J396" i="3"/>
  <c r="J115" i="3"/>
  <c r="J313" i="3"/>
  <c r="J114" i="3"/>
  <c r="J480" i="3"/>
  <c r="J184" i="3"/>
  <c r="J137" i="3"/>
  <c r="J100" i="3"/>
  <c r="J327" i="3"/>
  <c r="J332" i="3"/>
  <c r="J441" i="3"/>
  <c r="J92" i="3"/>
  <c r="J295" i="3"/>
  <c r="J177" i="3"/>
  <c r="J188" i="3"/>
  <c r="J109" i="3"/>
  <c r="J18" i="3"/>
  <c r="J299" i="3"/>
  <c r="J328" i="3"/>
  <c r="J424" i="3"/>
  <c r="J108" i="3"/>
  <c r="J247" i="3"/>
  <c r="J152" i="3"/>
  <c r="J442" i="3"/>
  <c r="J475" i="3"/>
  <c r="J428" i="3"/>
  <c r="J146" i="3"/>
  <c r="J224" i="3"/>
  <c r="J200" i="3"/>
  <c r="J346" i="3"/>
  <c r="J183" i="3"/>
  <c r="J33" i="3"/>
  <c r="J192" i="3"/>
  <c r="J32" i="3"/>
  <c r="J451" i="3"/>
  <c r="J310" i="3"/>
  <c r="J215" i="3"/>
  <c r="J282" i="3"/>
  <c r="J468" i="3"/>
  <c r="J101" i="3"/>
  <c r="J489" i="3"/>
  <c r="J281" i="3"/>
  <c r="J280" i="3"/>
  <c r="J415" i="3"/>
  <c r="J364" i="3"/>
  <c r="J390" i="3"/>
  <c r="J228" i="3"/>
  <c r="J160" i="3"/>
  <c r="J193" i="3"/>
  <c r="J132" i="3"/>
  <c r="J366" i="3"/>
  <c r="J409" i="3"/>
  <c r="J28" i="3"/>
  <c r="J277" i="3"/>
  <c r="J206" i="3"/>
  <c r="J72" i="3"/>
  <c r="J275" i="3"/>
  <c r="J274" i="3"/>
  <c r="J55" i="3"/>
  <c r="J166" i="3"/>
  <c r="J363" i="3"/>
  <c r="J405" i="3"/>
  <c r="J417" i="3"/>
  <c r="J93" i="3"/>
  <c r="J272" i="3"/>
  <c r="J151" i="3"/>
  <c r="J80" i="3"/>
  <c r="J238" i="3"/>
  <c r="J180" i="3"/>
  <c r="J141" i="3"/>
  <c r="J172" i="3"/>
  <c r="J102" i="3"/>
  <c r="J425" i="3"/>
  <c r="J197" i="3"/>
  <c r="J222" i="3"/>
  <c r="J127" i="3"/>
  <c r="J408" i="3"/>
  <c r="J368" i="3"/>
  <c r="J212" i="3"/>
  <c r="J449" i="3"/>
  <c r="J343" i="3"/>
  <c r="J467" i="3"/>
  <c r="J14" i="3"/>
  <c r="J323" i="3"/>
  <c r="J131" i="3"/>
  <c r="J248" i="3"/>
  <c r="J196" i="3"/>
  <c r="J443" i="3"/>
  <c r="J359" i="3"/>
  <c r="J276" i="3"/>
  <c r="J257" i="3"/>
  <c r="J20" i="3"/>
  <c r="J63" i="3"/>
  <c r="J158" i="3"/>
  <c r="J418" i="3"/>
  <c r="J94" i="3"/>
  <c r="J357" i="3"/>
  <c r="J278" i="3"/>
  <c r="J23" i="3"/>
  <c r="J433" i="3"/>
  <c r="J365" i="3"/>
  <c r="J286" i="3"/>
  <c r="J176" i="3"/>
  <c r="J103" i="3"/>
  <c r="J490" i="3"/>
  <c r="J309" i="3"/>
  <c r="J139" i="3"/>
  <c r="J360" i="3"/>
  <c r="J105" i="3"/>
  <c r="J267" i="3"/>
  <c r="J266" i="3"/>
  <c r="J336" i="3"/>
  <c r="J66" i="3"/>
  <c r="J134" i="3"/>
  <c r="J142" i="3"/>
  <c r="J430" i="3"/>
  <c r="J208" i="3"/>
  <c r="J79" i="3"/>
  <c r="J478" i="3"/>
  <c r="J2" i="3"/>
  <c r="J190" i="3"/>
  <c r="J214" i="3"/>
  <c r="J140" i="3"/>
  <c r="J362" i="3"/>
  <c r="J116" i="3"/>
  <c r="J261" i="3"/>
  <c r="J419" i="3"/>
  <c r="J162" i="3"/>
  <c r="J470" i="3"/>
  <c r="J479" i="3"/>
  <c r="J320" i="3"/>
  <c r="J16" i="3"/>
  <c r="J431" i="3"/>
  <c r="J76" i="3"/>
  <c r="J173" i="3"/>
  <c r="J104" i="3"/>
  <c r="J74" i="3"/>
  <c r="J455" i="3"/>
  <c r="J242" i="3"/>
  <c r="J195" i="3"/>
  <c r="J150" i="3"/>
  <c r="J456" i="3"/>
  <c r="J460" i="3"/>
  <c r="J450" i="3"/>
  <c r="J31" i="3"/>
  <c r="J457" i="3"/>
  <c r="J304" i="3"/>
  <c r="J159" i="3"/>
  <c r="J73" i="3"/>
  <c r="J458" i="3"/>
  <c r="J398" i="3"/>
  <c r="J444" i="3"/>
  <c r="J326" i="3"/>
  <c r="J279" i="3"/>
  <c r="J349" i="3"/>
  <c r="J382" i="3"/>
  <c r="J384" i="3"/>
  <c r="J165" i="3"/>
  <c r="J219" i="3"/>
  <c r="J361" i="3"/>
  <c r="J71" i="3"/>
  <c r="J453" i="3"/>
  <c r="J284" i="3"/>
  <c r="J325" i="3"/>
  <c r="J225" i="3"/>
  <c r="J407" i="3"/>
  <c r="J174" i="3"/>
  <c r="J7" i="3"/>
  <c r="J4" i="3"/>
  <c r="J406" i="3"/>
  <c r="J85" i="3"/>
  <c r="J287" i="3"/>
  <c r="J356" i="3"/>
  <c r="J268" i="3"/>
  <c r="J335" i="3"/>
  <c r="J337" i="3"/>
  <c r="J259" i="3"/>
  <c r="J303" i="3"/>
  <c r="J379" i="3"/>
  <c r="J87" i="3"/>
  <c r="J136" i="3"/>
  <c r="J373" i="3"/>
  <c r="J42" i="3"/>
  <c r="J145" i="3"/>
  <c r="J412" i="3"/>
  <c r="J57" i="3"/>
  <c r="J86" i="3"/>
  <c r="J253" i="3"/>
  <c r="J411" i="3"/>
  <c r="J297" i="3"/>
  <c r="J404" i="3"/>
  <c r="J130" i="3"/>
  <c r="J403" i="3"/>
  <c r="J227" i="3"/>
  <c r="J385" i="3"/>
  <c r="J381" i="3"/>
  <c r="J13" i="3"/>
  <c r="J211" i="3"/>
  <c r="J163" i="3"/>
  <c r="J271" i="3"/>
  <c r="J260" i="3"/>
  <c r="J198" i="3"/>
  <c r="J429" i="3"/>
  <c r="J298" i="3"/>
  <c r="J283" i="3"/>
  <c r="J124" i="3"/>
  <c r="J123" i="3"/>
  <c r="J301" i="3"/>
  <c r="J221" i="3"/>
  <c r="J186" i="3"/>
  <c r="J128" i="3"/>
  <c r="J112" i="3"/>
  <c r="J399" i="3"/>
  <c r="J249" i="3"/>
  <c r="J97" i="3"/>
  <c r="J445" i="3"/>
  <c r="J473" i="3"/>
  <c r="J161" i="3"/>
  <c r="J434" i="3"/>
  <c r="J265" i="3"/>
  <c r="J289" i="3"/>
  <c r="J129" i="3"/>
  <c r="J185" i="3"/>
  <c r="J358" i="3"/>
  <c r="J218" i="3"/>
  <c r="J22" i="3"/>
  <c r="J6" i="3"/>
  <c r="J321" i="3"/>
  <c r="J239" i="3"/>
  <c r="J311" i="3"/>
  <c r="J432" i="3"/>
  <c r="J25" i="3"/>
  <c r="J24" i="3"/>
  <c r="J119" i="3"/>
  <c r="J426" i="3"/>
  <c r="J339" i="3"/>
  <c r="J67" i="3"/>
  <c r="J273" i="3"/>
  <c r="J350" i="3"/>
  <c r="J338" i="3"/>
  <c r="J230" i="3"/>
  <c r="J96" i="3"/>
  <c r="J481" i="3"/>
  <c r="J113" i="3"/>
  <c r="J436" i="3"/>
  <c r="J229" i="3"/>
  <c r="J44" i="3"/>
  <c r="J400" i="3"/>
  <c r="J78" i="3"/>
  <c r="J70" i="3"/>
  <c r="J88" i="3"/>
  <c r="J378" i="3"/>
  <c r="J290" i="3"/>
  <c r="J262" i="3"/>
  <c r="J377" i="3"/>
  <c r="J178" i="3"/>
  <c r="J482" i="3"/>
  <c r="J135" i="3"/>
  <c r="J81" i="3"/>
  <c r="J52" i="3"/>
  <c r="J204" i="3"/>
  <c r="J17" i="3"/>
  <c r="J95" i="3"/>
  <c r="J330" i="3"/>
  <c r="J331" i="3"/>
  <c r="J10" i="3"/>
  <c r="J293" i="3"/>
  <c r="J393" i="3"/>
  <c r="J209" i="3"/>
  <c r="J69" i="3"/>
  <c r="J254" i="3"/>
  <c r="J210" i="3"/>
  <c r="J484" i="3"/>
  <c r="J236" i="3"/>
  <c r="J383" i="3"/>
  <c r="J148" i="3"/>
  <c r="J21" i="3"/>
  <c r="J250" i="3"/>
  <c r="J153" i="3"/>
  <c r="J347" i="3"/>
  <c r="J476" i="3"/>
  <c r="J5" i="3"/>
  <c r="J89" i="3"/>
  <c r="J333" i="3"/>
  <c r="J291" i="3"/>
  <c r="J446" i="3"/>
  <c r="J294" i="3"/>
  <c r="J416" i="3"/>
  <c r="J469" i="3"/>
  <c r="J235" i="3"/>
  <c r="J367" i="3"/>
  <c r="J149" i="3"/>
  <c r="J182" i="3"/>
  <c r="J435" i="3"/>
  <c r="J244" i="3"/>
  <c r="J201" i="3"/>
  <c r="J380" i="3"/>
  <c r="J11" i="3"/>
  <c r="J342" i="3"/>
  <c r="J394" i="3"/>
  <c r="J194" i="3"/>
  <c r="J269" i="3"/>
  <c r="J65" i="3"/>
  <c r="J351" i="3"/>
  <c r="J231" i="3"/>
  <c r="J258" i="3"/>
  <c r="J371" i="3"/>
  <c r="J181" i="3"/>
  <c r="J374" i="3"/>
  <c r="J369" i="3"/>
  <c r="J45" i="3"/>
  <c r="J226" i="3"/>
  <c r="J234" i="3"/>
  <c r="J64" i="3"/>
  <c r="J319" i="3"/>
  <c r="J413" i="3"/>
  <c r="J292" i="3"/>
  <c r="J9" i="3"/>
  <c r="J387" i="3"/>
  <c r="J401" i="3"/>
  <c r="J318" i="3"/>
  <c r="J240" i="3"/>
  <c r="J386" i="3"/>
  <c r="J344" i="3"/>
  <c r="J3" i="3"/>
  <c r="J107" i="3"/>
  <c r="J46" i="3"/>
  <c r="J322" i="3"/>
  <c r="J461" i="3"/>
  <c r="J348" i="3"/>
  <c r="J251" i="3"/>
  <c r="J133" i="3"/>
  <c r="J223" i="3"/>
  <c r="J300" i="3"/>
  <c r="J345" i="3"/>
  <c r="J402" i="3"/>
  <c r="J167" i="3"/>
  <c r="J233" i="3"/>
  <c r="J110" i="3"/>
  <c r="J26" i="3"/>
  <c r="J245" i="3"/>
  <c r="J315" i="3"/>
  <c r="J154" i="3"/>
  <c r="J207" i="3"/>
  <c r="J302" i="3"/>
  <c r="K334" i="3"/>
  <c r="K243" i="3"/>
  <c r="K447" i="3"/>
  <c r="K317" i="3"/>
  <c r="K472" i="3"/>
  <c r="K106" i="3"/>
  <c r="K375" i="3"/>
  <c r="K169" i="3"/>
  <c r="K213" i="3"/>
  <c r="K312" i="3"/>
  <c r="K471" i="3"/>
  <c r="K388" i="3"/>
  <c r="K352" i="3"/>
  <c r="K464" i="3"/>
  <c r="K477" i="3"/>
  <c r="K168" i="3"/>
  <c r="K376" i="3"/>
  <c r="K391" i="3"/>
  <c r="K175" i="3"/>
  <c r="K241" i="3"/>
  <c r="K288" i="3"/>
  <c r="K355" i="3"/>
  <c r="K296" i="3"/>
  <c r="K34" i="3"/>
  <c r="K486" i="3"/>
  <c r="K90" i="3"/>
  <c r="K414" i="3"/>
  <c r="K56" i="3"/>
  <c r="K459" i="3"/>
  <c r="K270" i="3"/>
  <c r="K61" i="3"/>
  <c r="K54" i="3"/>
  <c r="K53" i="3"/>
  <c r="K420" i="3"/>
  <c r="K305" i="3"/>
  <c r="K51" i="3"/>
  <c r="K474" i="3"/>
  <c r="K126" i="3"/>
  <c r="K30" i="3"/>
  <c r="K99" i="3"/>
  <c r="K68" i="3"/>
  <c r="K264" i="3"/>
  <c r="K199" i="3"/>
  <c r="K156" i="3"/>
  <c r="K448" i="3"/>
  <c r="K98" i="3"/>
  <c r="K216" i="3"/>
  <c r="K187" i="3"/>
  <c r="K27" i="3"/>
  <c r="K48" i="3"/>
  <c r="K49" i="3"/>
  <c r="K164" i="3"/>
  <c r="K170" i="3"/>
  <c r="K58" i="3"/>
  <c r="K83" i="3"/>
  <c r="K488" i="3"/>
  <c r="K439" i="3"/>
  <c r="K308" i="3"/>
  <c r="K307" i="3"/>
  <c r="K389" i="3"/>
  <c r="K202" i="3"/>
  <c r="K463" i="3"/>
  <c r="K353" i="3"/>
  <c r="K465" i="3"/>
  <c r="K340" i="3"/>
  <c r="K421" i="3"/>
  <c r="K50" i="3"/>
  <c r="K246" i="3"/>
  <c r="K397" i="3"/>
  <c r="K59" i="3"/>
  <c r="K487" i="3"/>
  <c r="K144" i="3"/>
  <c r="K324" i="3"/>
  <c r="K12" i="3"/>
  <c r="K452" i="3"/>
  <c r="K47" i="3"/>
  <c r="K255" i="3"/>
  <c r="K306" i="3"/>
  <c r="K82" i="3"/>
  <c r="K111" i="3"/>
  <c r="K370" i="3"/>
  <c r="K217" i="3"/>
  <c r="K438" i="3"/>
  <c r="K19" i="3"/>
  <c r="K395" i="3"/>
  <c r="K60" i="3"/>
  <c r="K392" i="3"/>
  <c r="K462" i="3"/>
  <c r="K440" i="3"/>
  <c r="K252" i="3"/>
  <c r="K329" i="3"/>
  <c r="K410" i="3"/>
  <c r="K43" i="3"/>
  <c r="K84" i="3"/>
  <c r="K191" i="3"/>
  <c r="K41" i="3"/>
  <c r="K341" i="3"/>
  <c r="K422" i="3"/>
  <c r="K75" i="3"/>
  <c r="K40" i="3"/>
  <c r="K39" i="3"/>
  <c r="K155" i="3"/>
  <c r="K454" i="3"/>
  <c r="K372" i="3"/>
  <c r="K125" i="3"/>
  <c r="K485" i="3"/>
  <c r="K62" i="3"/>
  <c r="K157" i="3"/>
  <c r="K285" i="3"/>
  <c r="K38" i="3"/>
  <c r="K37" i="3"/>
  <c r="K36" i="3"/>
  <c r="K147" i="3"/>
  <c r="K237" i="3"/>
  <c r="K77" i="3"/>
  <c r="K143" i="3"/>
  <c r="K171" i="3"/>
  <c r="K437" i="3"/>
  <c r="K220" i="3"/>
  <c r="K232" i="3"/>
  <c r="K35" i="3"/>
  <c r="K91" i="3"/>
  <c r="K122" i="3"/>
  <c r="K354" i="3"/>
  <c r="K203" i="3"/>
  <c r="K121" i="3"/>
  <c r="K138" i="3"/>
  <c r="K466" i="3"/>
  <c r="K120" i="3"/>
  <c r="K423" i="3"/>
  <c r="K427" i="3"/>
  <c r="K118" i="3"/>
  <c r="K205" i="3"/>
  <c r="K117" i="3"/>
  <c r="K15" i="3"/>
  <c r="K316" i="3"/>
  <c r="K8" i="3"/>
  <c r="K314" i="3"/>
  <c r="K179" i="3"/>
  <c r="K29" i="3"/>
  <c r="K256" i="3"/>
  <c r="K483" i="3"/>
  <c r="K396" i="3"/>
  <c r="K115" i="3"/>
  <c r="K313" i="3"/>
  <c r="K114" i="3"/>
  <c r="K480" i="3"/>
  <c r="K184" i="3"/>
  <c r="K137" i="3"/>
  <c r="K100" i="3"/>
  <c r="K327" i="3"/>
  <c r="K332" i="3"/>
  <c r="K441" i="3"/>
  <c r="K92" i="3"/>
  <c r="K295" i="3"/>
  <c r="K177" i="3"/>
  <c r="K188" i="3"/>
  <c r="K109" i="3"/>
  <c r="K18" i="3"/>
  <c r="K299" i="3"/>
  <c r="K328" i="3"/>
  <c r="K424" i="3"/>
  <c r="K108" i="3"/>
  <c r="K247" i="3"/>
  <c r="K152" i="3"/>
  <c r="K442" i="3"/>
  <c r="K475" i="3"/>
  <c r="K428" i="3"/>
  <c r="K146" i="3"/>
  <c r="K224" i="3"/>
  <c r="K200" i="3"/>
  <c r="K346" i="3"/>
  <c r="K183" i="3"/>
  <c r="K33" i="3"/>
  <c r="K192" i="3"/>
  <c r="K32" i="3"/>
  <c r="K451" i="3"/>
  <c r="K310" i="3"/>
  <c r="K215" i="3"/>
  <c r="K282" i="3"/>
  <c r="K468" i="3"/>
  <c r="K101" i="3"/>
  <c r="K489" i="3"/>
  <c r="K281" i="3"/>
  <c r="K280" i="3"/>
  <c r="K415" i="3"/>
  <c r="K364" i="3"/>
  <c r="K390" i="3"/>
  <c r="K228" i="3"/>
  <c r="K160" i="3"/>
  <c r="K193" i="3"/>
  <c r="K132" i="3"/>
  <c r="K366" i="3"/>
  <c r="K409" i="3"/>
  <c r="K28" i="3"/>
  <c r="K277" i="3"/>
  <c r="K206" i="3"/>
  <c r="K72" i="3"/>
  <c r="K275" i="3"/>
  <c r="K274" i="3"/>
  <c r="K55" i="3"/>
  <c r="K166" i="3"/>
  <c r="K363" i="3"/>
  <c r="K405" i="3"/>
  <c r="K417" i="3"/>
  <c r="K93" i="3"/>
  <c r="K272" i="3"/>
  <c r="K151" i="3"/>
  <c r="K80" i="3"/>
  <c r="K238" i="3"/>
  <c r="K180" i="3"/>
  <c r="K141" i="3"/>
  <c r="K172" i="3"/>
  <c r="K102" i="3"/>
  <c r="K425" i="3"/>
  <c r="K197" i="3"/>
  <c r="K222" i="3"/>
  <c r="K127" i="3"/>
  <c r="K408" i="3"/>
  <c r="K368" i="3"/>
  <c r="K212" i="3"/>
  <c r="K449" i="3"/>
  <c r="K343" i="3"/>
  <c r="K467" i="3"/>
  <c r="K14" i="3"/>
  <c r="K323" i="3"/>
  <c r="K131" i="3"/>
  <c r="K248" i="3"/>
  <c r="K196" i="3"/>
  <c r="K443" i="3"/>
  <c r="K359" i="3"/>
  <c r="K276" i="3"/>
  <c r="K257" i="3"/>
  <c r="K20" i="3"/>
  <c r="K63" i="3"/>
  <c r="K158" i="3"/>
  <c r="K418" i="3"/>
  <c r="K94" i="3"/>
  <c r="K357" i="3"/>
  <c r="K278" i="3"/>
  <c r="K23" i="3"/>
  <c r="K433" i="3"/>
  <c r="K365" i="3"/>
  <c r="K286" i="3"/>
  <c r="K176" i="3"/>
  <c r="K103" i="3"/>
  <c r="K490" i="3"/>
  <c r="K309" i="3"/>
  <c r="K139" i="3"/>
  <c r="K360" i="3"/>
  <c r="K105" i="3"/>
  <c r="K267" i="3"/>
  <c r="K266" i="3"/>
  <c r="K336" i="3"/>
  <c r="K66" i="3"/>
  <c r="K134" i="3"/>
  <c r="K142" i="3"/>
  <c r="K430" i="3"/>
  <c r="K208" i="3"/>
  <c r="K79" i="3"/>
  <c r="K478" i="3"/>
  <c r="K2" i="3"/>
  <c r="K190" i="3"/>
  <c r="K214" i="3"/>
  <c r="K140" i="3"/>
  <c r="K362" i="3"/>
  <c r="K116" i="3"/>
  <c r="K261" i="3"/>
  <c r="K419" i="3"/>
  <c r="K162" i="3"/>
  <c r="K470" i="3"/>
  <c r="K479" i="3"/>
  <c r="K320" i="3"/>
  <c r="K16" i="3"/>
  <c r="K431" i="3"/>
  <c r="K76" i="3"/>
  <c r="K173" i="3"/>
  <c r="K104" i="3"/>
  <c r="K74" i="3"/>
  <c r="K455" i="3"/>
  <c r="K242" i="3"/>
  <c r="K195" i="3"/>
  <c r="K150" i="3"/>
  <c r="K456" i="3"/>
  <c r="K460" i="3"/>
  <c r="K450" i="3"/>
  <c r="K31" i="3"/>
  <c r="K457" i="3"/>
  <c r="K304" i="3"/>
  <c r="K159" i="3"/>
  <c r="K73" i="3"/>
  <c r="K458" i="3"/>
  <c r="K398" i="3"/>
  <c r="K444" i="3"/>
  <c r="K326" i="3"/>
  <c r="K279" i="3"/>
  <c r="K349" i="3"/>
  <c r="K382" i="3"/>
  <c r="K384" i="3"/>
  <c r="K165" i="3"/>
  <c r="K219" i="3"/>
  <c r="K361" i="3"/>
  <c r="K71" i="3"/>
  <c r="K453" i="3"/>
  <c r="K284" i="3"/>
  <c r="K325" i="3"/>
  <c r="K225" i="3"/>
  <c r="K407" i="3"/>
  <c r="K174" i="3"/>
  <c r="K7" i="3"/>
  <c r="K4" i="3"/>
  <c r="K406" i="3"/>
  <c r="K85" i="3"/>
  <c r="K287" i="3"/>
  <c r="K356" i="3"/>
  <c r="K268" i="3"/>
  <c r="K335" i="3"/>
  <c r="K337" i="3"/>
  <c r="K259" i="3"/>
  <c r="K303" i="3"/>
  <c r="K379" i="3"/>
  <c r="K87" i="3"/>
  <c r="K136" i="3"/>
  <c r="K373" i="3"/>
  <c r="K42" i="3"/>
  <c r="K145" i="3"/>
  <c r="K412" i="3"/>
  <c r="K57" i="3"/>
  <c r="K86" i="3"/>
  <c r="K253" i="3"/>
  <c r="K411" i="3"/>
  <c r="K297" i="3"/>
  <c r="K404" i="3"/>
  <c r="K130" i="3"/>
  <c r="K403" i="3"/>
  <c r="K227" i="3"/>
  <c r="K385" i="3"/>
  <c r="K381" i="3"/>
  <c r="K13" i="3"/>
  <c r="K211" i="3"/>
  <c r="K163" i="3"/>
  <c r="K271" i="3"/>
  <c r="K260" i="3"/>
  <c r="K198" i="3"/>
  <c r="K429" i="3"/>
  <c r="K298" i="3"/>
  <c r="K283" i="3"/>
  <c r="K124" i="3"/>
  <c r="K123" i="3"/>
  <c r="K301" i="3"/>
  <c r="K221" i="3"/>
  <c r="K186" i="3"/>
  <c r="K128" i="3"/>
  <c r="K112" i="3"/>
  <c r="K399" i="3"/>
  <c r="K249" i="3"/>
  <c r="K97" i="3"/>
  <c r="K445" i="3"/>
  <c r="K473" i="3"/>
  <c r="K161" i="3"/>
  <c r="K434" i="3"/>
  <c r="K265" i="3"/>
  <c r="K289" i="3"/>
  <c r="K129" i="3"/>
  <c r="K185" i="3"/>
  <c r="K358" i="3"/>
  <c r="K218" i="3"/>
  <c r="K22" i="3"/>
  <c r="K6" i="3"/>
  <c r="K321" i="3"/>
  <c r="K239" i="3"/>
  <c r="K311" i="3"/>
  <c r="K432" i="3"/>
  <c r="K25" i="3"/>
  <c r="K24" i="3"/>
  <c r="K119" i="3"/>
  <c r="K426" i="3"/>
  <c r="K339" i="3"/>
  <c r="K67" i="3"/>
  <c r="K273" i="3"/>
  <c r="K350" i="3"/>
  <c r="K338" i="3"/>
  <c r="K230" i="3"/>
  <c r="K96" i="3"/>
  <c r="K481" i="3"/>
  <c r="K113" i="3"/>
  <c r="K436" i="3"/>
  <c r="K229" i="3"/>
  <c r="K44" i="3"/>
  <c r="K400" i="3"/>
  <c r="K78" i="3"/>
  <c r="K70" i="3"/>
  <c r="K88" i="3"/>
  <c r="K378" i="3"/>
  <c r="K290" i="3"/>
  <c r="K262" i="3"/>
  <c r="K377" i="3"/>
  <c r="K178" i="3"/>
  <c r="K482" i="3"/>
  <c r="K135" i="3"/>
  <c r="K81" i="3"/>
  <c r="K52" i="3"/>
  <c r="K204" i="3"/>
  <c r="K17" i="3"/>
  <c r="K95" i="3"/>
  <c r="K330" i="3"/>
  <c r="K331" i="3"/>
  <c r="K10" i="3"/>
  <c r="K293" i="3"/>
  <c r="K393" i="3"/>
  <c r="K209" i="3"/>
  <c r="K69" i="3"/>
  <c r="K254" i="3"/>
  <c r="K210" i="3"/>
  <c r="K484" i="3"/>
  <c r="K236" i="3"/>
  <c r="K383" i="3"/>
  <c r="K148" i="3"/>
  <c r="K21" i="3"/>
  <c r="K250" i="3"/>
  <c r="K153" i="3"/>
  <c r="K347" i="3"/>
  <c r="K476" i="3"/>
  <c r="K5" i="3"/>
  <c r="K89" i="3"/>
  <c r="K333" i="3"/>
  <c r="K291" i="3"/>
  <c r="K446" i="3"/>
  <c r="K294" i="3"/>
  <c r="K416" i="3"/>
  <c r="K469" i="3"/>
  <c r="K235" i="3"/>
  <c r="K367" i="3"/>
  <c r="K149" i="3"/>
  <c r="K182" i="3"/>
  <c r="K435" i="3"/>
  <c r="K244" i="3"/>
  <c r="K201" i="3"/>
  <c r="K380" i="3"/>
  <c r="K11" i="3"/>
  <c r="K342" i="3"/>
  <c r="K394" i="3"/>
  <c r="K194" i="3"/>
  <c r="K269" i="3"/>
  <c r="K65" i="3"/>
  <c r="K351" i="3"/>
  <c r="K231" i="3"/>
  <c r="K258" i="3"/>
  <c r="K371" i="3"/>
  <c r="K181" i="3"/>
  <c r="K374" i="3"/>
  <c r="K369" i="3"/>
  <c r="K45" i="3"/>
  <c r="K226" i="3"/>
  <c r="K234" i="3"/>
  <c r="K64" i="3"/>
  <c r="K319" i="3"/>
  <c r="K413" i="3"/>
  <c r="K292" i="3"/>
  <c r="K9" i="3"/>
  <c r="K387" i="3"/>
  <c r="K401" i="3"/>
  <c r="K318" i="3"/>
  <c r="K240" i="3"/>
  <c r="K386" i="3"/>
  <c r="K344" i="3"/>
  <c r="K3" i="3"/>
  <c r="K107" i="3"/>
  <c r="K46" i="3"/>
  <c r="K322" i="3"/>
  <c r="K461" i="3"/>
  <c r="K348" i="3"/>
  <c r="K251" i="3"/>
  <c r="K133" i="3"/>
  <c r="K223" i="3"/>
  <c r="K300" i="3"/>
  <c r="K345" i="3"/>
  <c r="K402" i="3"/>
  <c r="K167" i="3"/>
  <c r="K233" i="3"/>
  <c r="K110" i="3"/>
  <c r="K26" i="3"/>
  <c r="K245" i="3"/>
  <c r="K315" i="3"/>
  <c r="K154" i="3"/>
  <c r="K207" i="3"/>
  <c r="K302" i="3"/>
  <c r="L334" i="3"/>
  <c r="L243" i="3"/>
  <c r="L447" i="3"/>
  <c r="L317" i="3"/>
  <c r="L472" i="3"/>
  <c r="L106" i="3"/>
  <c r="L375" i="3"/>
  <c r="L169" i="3"/>
  <c r="L213" i="3"/>
  <c r="L312" i="3"/>
  <c r="L471" i="3"/>
  <c r="L388" i="3"/>
  <c r="L352" i="3"/>
  <c r="L464" i="3"/>
  <c r="L477" i="3"/>
  <c r="L168" i="3"/>
  <c r="L376" i="3"/>
  <c r="L391" i="3"/>
  <c r="L175" i="3"/>
  <c r="L241" i="3"/>
  <c r="L288" i="3"/>
  <c r="L355" i="3"/>
  <c r="L296" i="3"/>
  <c r="L34" i="3"/>
  <c r="L486" i="3"/>
  <c r="L90" i="3"/>
  <c r="L414" i="3"/>
  <c r="L56" i="3"/>
  <c r="L459" i="3"/>
  <c r="L270" i="3"/>
  <c r="L61" i="3"/>
  <c r="L54" i="3"/>
  <c r="L53" i="3"/>
  <c r="L420" i="3"/>
  <c r="L305" i="3"/>
  <c r="L51" i="3"/>
  <c r="L474" i="3"/>
  <c r="L126" i="3"/>
  <c r="L30" i="3"/>
  <c r="L99" i="3"/>
  <c r="L68" i="3"/>
  <c r="L264" i="3"/>
  <c r="L199" i="3"/>
  <c r="L156" i="3"/>
  <c r="L448" i="3"/>
  <c r="L98" i="3"/>
  <c r="L216" i="3"/>
  <c r="L187" i="3"/>
  <c r="L27" i="3"/>
  <c r="L48" i="3"/>
  <c r="L49" i="3"/>
  <c r="L164" i="3"/>
  <c r="L170" i="3"/>
  <c r="L58" i="3"/>
  <c r="L83" i="3"/>
  <c r="L488" i="3"/>
  <c r="L439" i="3"/>
  <c r="L308" i="3"/>
  <c r="L307" i="3"/>
  <c r="L389" i="3"/>
  <c r="L202" i="3"/>
  <c r="L463" i="3"/>
  <c r="L353" i="3"/>
  <c r="L465" i="3"/>
  <c r="L340" i="3"/>
  <c r="L421" i="3"/>
  <c r="L50" i="3"/>
  <c r="L246" i="3"/>
  <c r="L397" i="3"/>
  <c r="L59" i="3"/>
  <c r="L487" i="3"/>
  <c r="L144" i="3"/>
  <c r="L324" i="3"/>
  <c r="L12" i="3"/>
  <c r="L452" i="3"/>
  <c r="L47" i="3"/>
  <c r="L255" i="3"/>
  <c r="L306" i="3"/>
  <c r="L82" i="3"/>
  <c r="L111" i="3"/>
  <c r="L370" i="3"/>
  <c r="L217" i="3"/>
  <c r="L438" i="3"/>
  <c r="L19" i="3"/>
  <c r="L395" i="3"/>
  <c r="L60" i="3"/>
  <c r="L392" i="3"/>
  <c r="L462" i="3"/>
  <c r="L440" i="3"/>
  <c r="L252" i="3"/>
  <c r="L329" i="3"/>
  <c r="L410" i="3"/>
  <c r="L43" i="3"/>
  <c r="L84" i="3"/>
  <c r="L191" i="3"/>
  <c r="L41" i="3"/>
  <c r="L341" i="3"/>
  <c r="L422" i="3"/>
  <c r="L75" i="3"/>
  <c r="L40" i="3"/>
  <c r="L39" i="3"/>
  <c r="L155" i="3"/>
  <c r="L454" i="3"/>
  <c r="L372" i="3"/>
  <c r="L125" i="3"/>
  <c r="L485" i="3"/>
  <c r="L62" i="3"/>
  <c r="L157" i="3"/>
  <c r="L285" i="3"/>
  <c r="L38" i="3"/>
  <c r="L37" i="3"/>
  <c r="L36" i="3"/>
  <c r="L147" i="3"/>
  <c r="L237" i="3"/>
  <c r="L77" i="3"/>
  <c r="L143" i="3"/>
  <c r="L171" i="3"/>
  <c r="L437" i="3"/>
  <c r="L220" i="3"/>
  <c r="L232" i="3"/>
  <c r="L35" i="3"/>
  <c r="L91" i="3"/>
  <c r="L122" i="3"/>
  <c r="L354" i="3"/>
  <c r="L203" i="3"/>
  <c r="L121" i="3"/>
  <c r="L138" i="3"/>
  <c r="L466" i="3"/>
  <c r="L120" i="3"/>
  <c r="L423" i="3"/>
  <c r="L427" i="3"/>
  <c r="L118" i="3"/>
  <c r="L205" i="3"/>
  <c r="L117" i="3"/>
  <c r="L15" i="3"/>
  <c r="L316" i="3"/>
  <c r="L8" i="3"/>
  <c r="L314" i="3"/>
  <c r="L179" i="3"/>
  <c r="L29" i="3"/>
  <c r="L256" i="3"/>
  <c r="L483" i="3"/>
  <c r="L396" i="3"/>
  <c r="L115" i="3"/>
  <c r="L313" i="3"/>
  <c r="L114" i="3"/>
  <c r="L480" i="3"/>
  <c r="L184" i="3"/>
  <c r="L137" i="3"/>
  <c r="L100" i="3"/>
  <c r="L327" i="3"/>
  <c r="L332" i="3"/>
  <c r="L441" i="3"/>
  <c r="L92" i="3"/>
  <c r="L295" i="3"/>
  <c r="L177" i="3"/>
  <c r="L188" i="3"/>
  <c r="L109" i="3"/>
  <c r="L18" i="3"/>
  <c r="L299" i="3"/>
  <c r="L328" i="3"/>
  <c r="L424" i="3"/>
  <c r="L108" i="3"/>
  <c r="L247" i="3"/>
  <c r="L152" i="3"/>
  <c r="L442" i="3"/>
  <c r="L475" i="3"/>
  <c r="L428" i="3"/>
  <c r="L146" i="3"/>
  <c r="L224" i="3"/>
  <c r="L200" i="3"/>
  <c r="L346" i="3"/>
  <c r="L183" i="3"/>
  <c r="L33" i="3"/>
  <c r="L192" i="3"/>
  <c r="L32" i="3"/>
  <c r="L451" i="3"/>
  <c r="L310" i="3"/>
  <c r="L215" i="3"/>
  <c r="L282" i="3"/>
  <c r="L468" i="3"/>
  <c r="L101" i="3"/>
  <c r="L489" i="3"/>
  <c r="L281" i="3"/>
  <c r="L280" i="3"/>
  <c r="L415" i="3"/>
  <c r="L364" i="3"/>
  <c r="L390" i="3"/>
  <c r="L228" i="3"/>
  <c r="L160" i="3"/>
  <c r="L193" i="3"/>
  <c r="L132" i="3"/>
  <c r="L366" i="3"/>
  <c r="L409" i="3"/>
  <c r="L28" i="3"/>
  <c r="L277" i="3"/>
  <c r="L206" i="3"/>
  <c r="L72" i="3"/>
  <c r="L275" i="3"/>
  <c r="L274" i="3"/>
  <c r="L55" i="3"/>
  <c r="L166" i="3"/>
  <c r="L363" i="3"/>
  <c r="L405" i="3"/>
  <c r="L417" i="3"/>
  <c r="L93" i="3"/>
  <c r="L272" i="3"/>
  <c r="L151" i="3"/>
  <c r="L80" i="3"/>
  <c r="L238" i="3"/>
  <c r="L180" i="3"/>
  <c r="L141" i="3"/>
  <c r="L172" i="3"/>
  <c r="L102" i="3"/>
  <c r="L425" i="3"/>
  <c r="L197" i="3"/>
  <c r="L222" i="3"/>
  <c r="L127" i="3"/>
  <c r="L408" i="3"/>
  <c r="L368" i="3"/>
  <c r="L212" i="3"/>
  <c r="L449" i="3"/>
  <c r="L343" i="3"/>
  <c r="L467" i="3"/>
  <c r="L14" i="3"/>
  <c r="L323" i="3"/>
  <c r="L131" i="3"/>
  <c r="L248" i="3"/>
  <c r="L196" i="3"/>
  <c r="L443" i="3"/>
  <c r="L359" i="3"/>
  <c r="L276" i="3"/>
  <c r="L257" i="3"/>
  <c r="L20" i="3"/>
  <c r="L63" i="3"/>
  <c r="L158" i="3"/>
  <c r="L418" i="3"/>
  <c r="L94" i="3"/>
  <c r="L357" i="3"/>
  <c r="L278" i="3"/>
  <c r="L23" i="3"/>
  <c r="L433" i="3"/>
  <c r="L365" i="3"/>
  <c r="L286" i="3"/>
  <c r="L176" i="3"/>
  <c r="L103" i="3"/>
  <c r="L490" i="3"/>
  <c r="L309" i="3"/>
  <c r="L139" i="3"/>
  <c r="L360" i="3"/>
  <c r="L105" i="3"/>
  <c r="L267" i="3"/>
  <c r="L266" i="3"/>
  <c r="L336" i="3"/>
  <c r="L66" i="3"/>
  <c r="L134" i="3"/>
  <c r="L142" i="3"/>
  <c r="L430" i="3"/>
  <c r="L208" i="3"/>
  <c r="L79" i="3"/>
  <c r="L478" i="3"/>
  <c r="L2" i="3"/>
  <c r="L190" i="3"/>
  <c r="L214" i="3"/>
  <c r="L140" i="3"/>
  <c r="L362" i="3"/>
  <c r="L116" i="3"/>
  <c r="L261" i="3"/>
  <c r="L419" i="3"/>
  <c r="L162" i="3"/>
  <c r="L470" i="3"/>
  <c r="L479" i="3"/>
  <c r="L320" i="3"/>
  <c r="L16" i="3"/>
  <c r="L431" i="3"/>
  <c r="L76" i="3"/>
  <c r="L173" i="3"/>
  <c r="L104" i="3"/>
  <c r="L74" i="3"/>
  <c r="L455" i="3"/>
  <c r="L242" i="3"/>
  <c r="L195" i="3"/>
  <c r="L150" i="3"/>
  <c r="L456" i="3"/>
  <c r="L460" i="3"/>
  <c r="L450" i="3"/>
  <c r="L31" i="3"/>
  <c r="L457" i="3"/>
  <c r="L304" i="3"/>
  <c r="L159" i="3"/>
  <c r="L73" i="3"/>
  <c r="L458" i="3"/>
  <c r="L398" i="3"/>
  <c r="L444" i="3"/>
  <c r="L326" i="3"/>
  <c r="L279" i="3"/>
  <c r="L349" i="3"/>
  <c r="L382" i="3"/>
  <c r="L384" i="3"/>
  <c r="L165" i="3"/>
  <c r="L219" i="3"/>
  <c r="L361" i="3"/>
  <c r="L71" i="3"/>
  <c r="L453" i="3"/>
  <c r="L284" i="3"/>
  <c r="L325" i="3"/>
  <c r="L225" i="3"/>
  <c r="L407" i="3"/>
  <c r="L174" i="3"/>
  <c r="L7" i="3"/>
  <c r="L4" i="3"/>
  <c r="L406" i="3"/>
  <c r="L85" i="3"/>
  <c r="L287" i="3"/>
  <c r="L356" i="3"/>
  <c r="L268" i="3"/>
  <c r="L335" i="3"/>
  <c r="L337" i="3"/>
  <c r="L259" i="3"/>
  <c r="L303" i="3"/>
  <c r="L379" i="3"/>
  <c r="L87" i="3"/>
  <c r="L136" i="3"/>
  <c r="L373" i="3"/>
  <c r="L42" i="3"/>
  <c r="L145" i="3"/>
  <c r="L412" i="3"/>
  <c r="L57" i="3"/>
  <c r="L86" i="3"/>
  <c r="L253" i="3"/>
  <c r="L411" i="3"/>
  <c r="L297" i="3"/>
  <c r="L404" i="3"/>
  <c r="L130" i="3"/>
  <c r="L403" i="3"/>
  <c r="L227" i="3"/>
  <c r="L385" i="3"/>
  <c r="L381" i="3"/>
  <c r="L13" i="3"/>
  <c r="L211" i="3"/>
  <c r="L163" i="3"/>
  <c r="L271" i="3"/>
  <c r="L260" i="3"/>
  <c r="L198" i="3"/>
  <c r="L429" i="3"/>
  <c r="L298" i="3"/>
  <c r="L283" i="3"/>
  <c r="L124" i="3"/>
  <c r="L123" i="3"/>
  <c r="L301" i="3"/>
  <c r="L221" i="3"/>
  <c r="L186" i="3"/>
  <c r="L128" i="3"/>
  <c r="L112" i="3"/>
  <c r="L399" i="3"/>
  <c r="L249" i="3"/>
  <c r="L97" i="3"/>
  <c r="L445" i="3"/>
  <c r="L473" i="3"/>
  <c r="L161" i="3"/>
  <c r="L434" i="3"/>
  <c r="L265" i="3"/>
  <c r="L289" i="3"/>
  <c r="L129" i="3"/>
  <c r="L185" i="3"/>
  <c r="L358" i="3"/>
  <c r="L218" i="3"/>
  <c r="L22" i="3"/>
  <c r="L6" i="3"/>
  <c r="L321" i="3"/>
  <c r="L239" i="3"/>
  <c r="L311" i="3"/>
  <c r="L432" i="3"/>
  <c r="L25" i="3"/>
  <c r="L24" i="3"/>
  <c r="L119" i="3"/>
  <c r="L426" i="3"/>
  <c r="L339" i="3"/>
  <c r="L67" i="3"/>
  <c r="L273" i="3"/>
  <c r="L350" i="3"/>
  <c r="L338" i="3"/>
  <c r="L230" i="3"/>
  <c r="L96" i="3"/>
  <c r="L481" i="3"/>
  <c r="L113" i="3"/>
  <c r="L436" i="3"/>
  <c r="L229" i="3"/>
  <c r="L44" i="3"/>
  <c r="L400" i="3"/>
  <c r="L78" i="3"/>
  <c r="L70" i="3"/>
  <c r="L88" i="3"/>
  <c r="L378" i="3"/>
  <c r="L290" i="3"/>
  <c r="L262" i="3"/>
  <c r="L377" i="3"/>
  <c r="L178" i="3"/>
  <c r="L482" i="3"/>
  <c r="L135" i="3"/>
  <c r="L81" i="3"/>
  <c r="L52" i="3"/>
  <c r="L204" i="3"/>
  <c r="L17" i="3"/>
  <c r="L95" i="3"/>
  <c r="L330" i="3"/>
  <c r="L331" i="3"/>
  <c r="L10" i="3"/>
  <c r="L293" i="3"/>
  <c r="L393" i="3"/>
  <c r="L209" i="3"/>
  <c r="L69" i="3"/>
  <c r="L254" i="3"/>
  <c r="L210" i="3"/>
  <c r="L484" i="3"/>
  <c r="L236" i="3"/>
  <c r="L383" i="3"/>
  <c r="L148" i="3"/>
  <c r="L21" i="3"/>
  <c r="L250" i="3"/>
  <c r="L153" i="3"/>
  <c r="L347" i="3"/>
  <c r="L476" i="3"/>
  <c r="L5" i="3"/>
  <c r="L89" i="3"/>
  <c r="L333" i="3"/>
  <c r="L291" i="3"/>
  <c r="L446" i="3"/>
  <c r="L294" i="3"/>
  <c r="L416" i="3"/>
  <c r="L469" i="3"/>
  <c r="L235" i="3"/>
  <c r="L367" i="3"/>
  <c r="L149" i="3"/>
  <c r="L182" i="3"/>
  <c r="L435" i="3"/>
  <c r="L244" i="3"/>
  <c r="L201" i="3"/>
  <c r="L380" i="3"/>
  <c r="L11" i="3"/>
  <c r="L342" i="3"/>
  <c r="L394" i="3"/>
  <c r="L194" i="3"/>
  <c r="L269" i="3"/>
  <c r="L65" i="3"/>
  <c r="L351" i="3"/>
  <c r="L231" i="3"/>
  <c r="L258" i="3"/>
  <c r="L371" i="3"/>
  <c r="L181" i="3"/>
  <c r="L374" i="3"/>
  <c r="L369" i="3"/>
  <c r="L45" i="3"/>
  <c r="L226" i="3"/>
  <c r="L234" i="3"/>
  <c r="L64" i="3"/>
  <c r="L319" i="3"/>
  <c r="L413" i="3"/>
  <c r="L292" i="3"/>
  <c r="L9" i="3"/>
  <c r="L387" i="3"/>
  <c r="L401" i="3"/>
  <c r="L318" i="3"/>
  <c r="L240" i="3"/>
  <c r="L386" i="3"/>
  <c r="L344" i="3"/>
  <c r="L3" i="3"/>
  <c r="L107" i="3"/>
  <c r="L46" i="3"/>
  <c r="L322" i="3"/>
  <c r="L461" i="3"/>
  <c r="L348" i="3"/>
  <c r="L251" i="3"/>
  <c r="L133" i="3"/>
  <c r="L223" i="3"/>
  <c r="L300" i="3"/>
  <c r="L345" i="3"/>
  <c r="L402" i="3"/>
  <c r="L167" i="3"/>
  <c r="L233" i="3"/>
  <c r="L110" i="3"/>
  <c r="L26" i="3"/>
  <c r="L245" i="3"/>
  <c r="L315" i="3"/>
  <c r="L154" i="3"/>
  <c r="L207" i="3"/>
  <c r="L302" i="3"/>
  <c r="M334" i="3"/>
  <c r="M243" i="3"/>
  <c r="M447" i="3"/>
  <c r="M317" i="3"/>
  <c r="M472" i="3"/>
  <c r="M106" i="3"/>
  <c r="M375" i="3"/>
  <c r="M169" i="3"/>
  <c r="M213" i="3"/>
  <c r="M312" i="3"/>
  <c r="M471" i="3"/>
  <c r="M388" i="3"/>
  <c r="M352" i="3"/>
  <c r="M464" i="3"/>
  <c r="M477" i="3"/>
  <c r="M168" i="3"/>
  <c r="M376" i="3"/>
  <c r="M391" i="3"/>
  <c r="M175" i="3"/>
  <c r="M241" i="3"/>
  <c r="M288" i="3"/>
  <c r="M355" i="3"/>
  <c r="M296" i="3"/>
  <c r="M34" i="3"/>
  <c r="M486" i="3"/>
  <c r="M90" i="3"/>
  <c r="M414" i="3"/>
  <c r="M56" i="3"/>
  <c r="M459" i="3"/>
  <c r="M270" i="3"/>
  <c r="M61" i="3"/>
  <c r="M54" i="3"/>
  <c r="M53" i="3"/>
  <c r="M420" i="3"/>
  <c r="M305" i="3"/>
  <c r="M51" i="3"/>
  <c r="M474" i="3"/>
  <c r="M126" i="3"/>
  <c r="M30" i="3"/>
  <c r="M99" i="3"/>
  <c r="M68" i="3"/>
  <c r="M264" i="3"/>
  <c r="M199" i="3"/>
  <c r="M156" i="3"/>
  <c r="M448" i="3"/>
  <c r="M98" i="3"/>
  <c r="M216" i="3"/>
  <c r="M187" i="3"/>
  <c r="M27" i="3"/>
  <c r="M48" i="3"/>
  <c r="M49" i="3"/>
  <c r="M164" i="3"/>
  <c r="M170" i="3"/>
  <c r="M58" i="3"/>
  <c r="M83" i="3"/>
  <c r="M488" i="3"/>
  <c r="M439" i="3"/>
  <c r="M308" i="3"/>
  <c r="M307" i="3"/>
  <c r="M389" i="3"/>
  <c r="M202" i="3"/>
  <c r="M463" i="3"/>
  <c r="M353" i="3"/>
  <c r="M465" i="3"/>
  <c r="M340" i="3"/>
  <c r="M421" i="3"/>
  <c r="M50" i="3"/>
  <c r="M246" i="3"/>
  <c r="M397" i="3"/>
  <c r="M59" i="3"/>
  <c r="M487" i="3"/>
  <c r="M144" i="3"/>
  <c r="M324" i="3"/>
  <c r="M12" i="3"/>
  <c r="M452" i="3"/>
  <c r="M47" i="3"/>
  <c r="M255" i="3"/>
  <c r="M306" i="3"/>
  <c r="M82" i="3"/>
  <c r="M111" i="3"/>
  <c r="M370" i="3"/>
  <c r="M217" i="3"/>
  <c r="M438" i="3"/>
  <c r="M19" i="3"/>
  <c r="M395" i="3"/>
  <c r="M60" i="3"/>
  <c r="M392" i="3"/>
  <c r="M462" i="3"/>
  <c r="M440" i="3"/>
  <c r="M252" i="3"/>
  <c r="M329" i="3"/>
  <c r="M410" i="3"/>
  <c r="M43" i="3"/>
  <c r="M84" i="3"/>
  <c r="M191" i="3"/>
  <c r="M41" i="3"/>
  <c r="M341" i="3"/>
  <c r="M422" i="3"/>
  <c r="M75" i="3"/>
  <c r="M40" i="3"/>
  <c r="M39" i="3"/>
  <c r="M155" i="3"/>
  <c r="M454" i="3"/>
  <c r="M372" i="3"/>
  <c r="M125" i="3"/>
  <c r="M485" i="3"/>
  <c r="M62" i="3"/>
  <c r="M157" i="3"/>
  <c r="M285" i="3"/>
  <c r="M38" i="3"/>
  <c r="M37" i="3"/>
  <c r="M36" i="3"/>
  <c r="M147" i="3"/>
  <c r="M237" i="3"/>
  <c r="M77" i="3"/>
  <c r="M143" i="3"/>
  <c r="M171" i="3"/>
  <c r="M437" i="3"/>
  <c r="M220" i="3"/>
  <c r="M232" i="3"/>
  <c r="M35" i="3"/>
  <c r="M91" i="3"/>
  <c r="M122" i="3"/>
  <c r="M354" i="3"/>
  <c r="M203" i="3"/>
  <c r="M121" i="3"/>
  <c r="M138" i="3"/>
  <c r="M466" i="3"/>
  <c r="M120" i="3"/>
  <c r="M423" i="3"/>
  <c r="M427" i="3"/>
  <c r="M118" i="3"/>
  <c r="M205" i="3"/>
  <c r="M117" i="3"/>
  <c r="M15" i="3"/>
  <c r="M316" i="3"/>
  <c r="M8" i="3"/>
  <c r="M314" i="3"/>
  <c r="M179" i="3"/>
  <c r="M29" i="3"/>
  <c r="M256" i="3"/>
  <c r="M483" i="3"/>
  <c r="M396" i="3"/>
  <c r="M115" i="3"/>
  <c r="M313" i="3"/>
  <c r="M114" i="3"/>
  <c r="M480" i="3"/>
  <c r="M184" i="3"/>
  <c r="M137" i="3"/>
  <c r="M100" i="3"/>
  <c r="M327" i="3"/>
  <c r="M332" i="3"/>
  <c r="M441" i="3"/>
  <c r="M92" i="3"/>
  <c r="M295" i="3"/>
  <c r="M177" i="3"/>
  <c r="M188" i="3"/>
  <c r="M109" i="3"/>
  <c r="M18" i="3"/>
  <c r="M299" i="3"/>
  <c r="M328" i="3"/>
  <c r="M424" i="3"/>
  <c r="M108" i="3"/>
  <c r="M247" i="3"/>
  <c r="M152" i="3"/>
  <c r="M442" i="3"/>
  <c r="M475" i="3"/>
  <c r="M428" i="3"/>
  <c r="M146" i="3"/>
  <c r="M224" i="3"/>
  <c r="M200" i="3"/>
  <c r="M346" i="3"/>
  <c r="M183" i="3"/>
  <c r="M33" i="3"/>
  <c r="M192" i="3"/>
  <c r="M32" i="3"/>
  <c r="M451" i="3"/>
  <c r="M310" i="3"/>
  <c r="M215" i="3"/>
  <c r="M282" i="3"/>
  <c r="M468" i="3"/>
  <c r="M101" i="3"/>
  <c r="M489" i="3"/>
  <c r="M281" i="3"/>
  <c r="M280" i="3"/>
  <c r="M415" i="3"/>
  <c r="M364" i="3"/>
  <c r="M390" i="3"/>
  <c r="M228" i="3"/>
  <c r="M160" i="3"/>
  <c r="M193" i="3"/>
  <c r="M132" i="3"/>
  <c r="M366" i="3"/>
  <c r="M409" i="3"/>
  <c r="M28" i="3"/>
  <c r="M277" i="3"/>
  <c r="M206" i="3"/>
  <c r="M72" i="3"/>
  <c r="M275" i="3"/>
  <c r="M274" i="3"/>
  <c r="M55" i="3"/>
  <c r="M166" i="3"/>
  <c r="M363" i="3"/>
  <c r="M405" i="3"/>
  <c r="M417" i="3"/>
  <c r="M93" i="3"/>
  <c r="M272" i="3"/>
  <c r="M151" i="3"/>
  <c r="M80" i="3"/>
  <c r="M238" i="3"/>
  <c r="M180" i="3"/>
  <c r="M141" i="3"/>
  <c r="M172" i="3"/>
  <c r="M102" i="3"/>
  <c r="M425" i="3"/>
  <c r="M197" i="3"/>
  <c r="M222" i="3"/>
  <c r="M127" i="3"/>
  <c r="M408" i="3"/>
  <c r="M368" i="3"/>
  <c r="M212" i="3"/>
  <c r="M449" i="3"/>
  <c r="M343" i="3"/>
  <c r="M467" i="3"/>
  <c r="M14" i="3"/>
  <c r="M323" i="3"/>
  <c r="M131" i="3"/>
  <c r="M248" i="3"/>
  <c r="M196" i="3"/>
  <c r="M443" i="3"/>
  <c r="M359" i="3"/>
  <c r="M276" i="3"/>
  <c r="M257" i="3"/>
  <c r="M20" i="3"/>
  <c r="M63" i="3"/>
  <c r="M158" i="3"/>
  <c r="M418" i="3"/>
  <c r="M94" i="3"/>
  <c r="M357" i="3"/>
  <c r="M278" i="3"/>
  <c r="M23" i="3"/>
  <c r="M433" i="3"/>
  <c r="M365" i="3"/>
  <c r="M286" i="3"/>
  <c r="M176" i="3"/>
  <c r="M103" i="3"/>
  <c r="M490" i="3"/>
  <c r="M309" i="3"/>
  <c r="M139" i="3"/>
  <c r="M360" i="3"/>
  <c r="M105" i="3"/>
  <c r="M267" i="3"/>
  <c r="M266" i="3"/>
  <c r="M336" i="3"/>
  <c r="M66" i="3"/>
  <c r="M134" i="3"/>
  <c r="M142" i="3"/>
  <c r="M430" i="3"/>
  <c r="M208" i="3"/>
  <c r="M79" i="3"/>
  <c r="M478" i="3"/>
  <c r="M2" i="3"/>
  <c r="M190" i="3"/>
  <c r="M214" i="3"/>
  <c r="M140" i="3"/>
  <c r="M362" i="3"/>
  <c r="M116" i="3"/>
  <c r="M261" i="3"/>
  <c r="M419" i="3"/>
  <c r="M162" i="3"/>
  <c r="M470" i="3"/>
  <c r="M479" i="3"/>
  <c r="M320" i="3"/>
  <c r="M16" i="3"/>
  <c r="M431" i="3"/>
  <c r="M76" i="3"/>
  <c r="M173" i="3"/>
  <c r="M104" i="3"/>
  <c r="M74" i="3"/>
  <c r="M455" i="3"/>
  <c r="M242" i="3"/>
  <c r="M195" i="3"/>
  <c r="M150" i="3"/>
  <c r="M456" i="3"/>
  <c r="M460" i="3"/>
  <c r="M450" i="3"/>
  <c r="M31" i="3"/>
  <c r="M457" i="3"/>
  <c r="M304" i="3"/>
  <c r="M159" i="3"/>
  <c r="M73" i="3"/>
  <c r="M458" i="3"/>
  <c r="M398" i="3"/>
  <c r="M444" i="3"/>
  <c r="M326" i="3"/>
  <c r="M279" i="3"/>
  <c r="M349" i="3"/>
  <c r="M382" i="3"/>
  <c r="M384" i="3"/>
  <c r="M165" i="3"/>
  <c r="M219" i="3"/>
  <c r="M361" i="3"/>
  <c r="M71" i="3"/>
  <c r="M453" i="3"/>
  <c r="M284" i="3"/>
  <c r="M325" i="3"/>
  <c r="M225" i="3"/>
  <c r="M407" i="3"/>
  <c r="M174" i="3"/>
  <c r="M7" i="3"/>
  <c r="M4" i="3"/>
  <c r="M406" i="3"/>
  <c r="M85" i="3"/>
  <c r="M287" i="3"/>
  <c r="M356" i="3"/>
  <c r="M268" i="3"/>
  <c r="M335" i="3"/>
  <c r="M337" i="3"/>
  <c r="M259" i="3"/>
  <c r="M303" i="3"/>
  <c r="M379" i="3"/>
  <c r="M87" i="3"/>
  <c r="M136" i="3"/>
  <c r="M373" i="3"/>
  <c r="M42" i="3"/>
  <c r="M145" i="3"/>
  <c r="M412" i="3"/>
  <c r="M57" i="3"/>
  <c r="M86" i="3"/>
  <c r="M253" i="3"/>
  <c r="M411" i="3"/>
  <c r="M297" i="3"/>
  <c r="M404" i="3"/>
  <c r="M130" i="3"/>
  <c r="M403" i="3"/>
  <c r="M227" i="3"/>
  <c r="M385" i="3"/>
  <c r="M381" i="3"/>
  <c r="M13" i="3"/>
  <c r="M211" i="3"/>
  <c r="M163" i="3"/>
  <c r="M271" i="3"/>
  <c r="M260" i="3"/>
  <c r="M198" i="3"/>
  <c r="M429" i="3"/>
  <c r="M298" i="3"/>
  <c r="M283" i="3"/>
  <c r="M124" i="3"/>
  <c r="M123" i="3"/>
  <c r="M301" i="3"/>
  <c r="M221" i="3"/>
  <c r="M186" i="3"/>
  <c r="M128" i="3"/>
  <c r="M112" i="3"/>
  <c r="M399" i="3"/>
  <c r="M249" i="3"/>
  <c r="M97" i="3"/>
  <c r="M445" i="3"/>
  <c r="M473" i="3"/>
  <c r="M161" i="3"/>
  <c r="M434" i="3"/>
  <c r="M265" i="3"/>
  <c r="M289" i="3"/>
  <c r="M129" i="3"/>
  <c r="M185" i="3"/>
  <c r="M358" i="3"/>
  <c r="M218" i="3"/>
  <c r="M22" i="3"/>
  <c r="M6" i="3"/>
  <c r="M321" i="3"/>
  <c r="M239" i="3"/>
  <c r="M311" i="3"/>
  <c r="M432" i="3"/>
  <c r="M25" i="3"/>
  <c r="M24" i="3"/>
  <c r="M119" i="3"/>
  <c r="M426" i="3"/>
  <c r="M339" i="3"/>
  <c r="M67" i="3"/>
  <c r="M273" i="3"/>
  <c r="M350" i="3"/>
  <c r="M338" i="3"/>
  <c r="M230" i="3"/>
  <c r="M96" i="3"/>
  <c r="M481" i="3"/>
  <c r="M113" i="3"/>
  <c r="M436" i="3"/>
  <c r="M229" i="3"/>
  <c r="M44" i="3"/>
  <c r="M400" i="3"/>
  <c r="M78" i="3"/>
  <c r="M70" i="3"/>
  <c r="M88" i="3"/>
  <c r="M378" i="3"/>
  <c r="M290" i="3"/>
  <c r="M262" i="3"/>
  <c r="M377" i="3"/>
  <c r="M178" i="3"/>
  <c r="M482" i="3"/>
  <c r="M135" i="3"/>
  <c r="M81" i="3"/>
  <c r="M52" i="3"/>
  <c r="M204" i="3"/>
  <c r="M17" i="3"/>
  <c r="M95" i="3"/>
  <c r="M330" i="3"/>
  <c r="M331" i="3"/>
  <c r="M10" i="3"/>
  <c r="M293" i="3"/>
  <c r="M393" i="3"/>
  <c r="M209" i="3"/>
  <c r="M69" i="3"/>
  <c r="M254" i="3"/>
  <c r="M210" i="3"/>
  <c r="M484" i="3"/>
  <c r="M236" i="3"/>
  <c r="M383" i="3"/>
  <c r="M148" i="3"/>
  <c r="M21" i="3"/>
  <c r="M250" i="3"/>
  <c r="M153" i="3"/>
  <c r="M347" i="3"/>
  <c r="M476" i="3"/>
  <c r="M5" i="3"/>
  <c r="M89" i="3"/>
  <c r="M333" i="3"/>
  <c r="M291" i="3"/>
  <c r="M446" i="3"/>
  <c r="M294" i="3"/>
  <c r="M416" i="3"/>
  <c r="M469" i="3"/>
  <c r="M235" i="3"/>
  <c r="M367" i="3"/>
  <c r="M149" i="3"/>
  <c r="M182" i="3"/>
  <c r="M435" i="3"/>
  <c r="M244" i="3"/>
  <c r="M201" i="3"/>
  <c r="M380" i="3"/>
  <c r="M11" i="3"/>
  <c r="M342" i="3"/>
  <c r="M394" i="3"/>
  <c r="M194" i="3"/>
  <c r="M269" i="3"/>
  <c r="M65" i="3"/>
  <c r="M351" i="3"/>
  <c r="M231" i="3"/>
  <c r="M258" i="3"/>
  <c r="M371" i="3"/>
  <c r="M181" i="3"/>
  <c r="M374" i="3"/>
  <c r="M369" i="3"/>
  <c r="M45" i="3"/>
  <c r="M226" i="3"/>
  <c r="M234" i="3"/>
  <c r="M64" i="3"/>
  <c r="M319" i="3"/>
  <c r="M413" i="3"/>
  <c r="M292" i="3"/>
  <c r="M9" i="3"/>
  <c r="M387" i="3"/>
  <c r="M401" i="3"/>
  <c r="M318" i="3"/>
  <c r="M240" i="3"/>
  <c r="M386" i="3"/>
  <c r="M344" i="3"/>
  <c r="M3" i="3"/>
  <c r="M107" i="3"/>
  <c r="M46" i="3"/>
  <c r="M322" i="3"/>
  <c r="M461" i="3"/>
  <c r="M348" i="3"/>
  <c r="M251" i="3"/>
  <c r="M133" i="3"/>
  <c r="M223" i="3"/>
  <c r="M300" i="3"/>
  <c r="M345" i="3"/>
  <c r="M402" i="3"/>
  <c r="M167" i="3"/>
  <c r="M233" i="3"/>
  <c r="M110" i="3"/>
  <c r="M26" i="3"/>
  <c r="M245" i="3"/>
  <c r="M315" i="3"/>
  <c r="M154" i="3"/>
  <c r="M207" i="3"/>
  <c r="M302" i="3"/>
  <c r="B364" i="1"/>
  <c r="E364" i="1" s="1"/>
  <c r="C364" i="1"/>
  <c r="D364" i="1"/>
  <c r="F364" i="1" s="1"/>
  <c r="B365" i="1"/>
  <c r="E365" i="1" s="1"/>
  <c r="C365" i="1"/>
  <c r="D365" i="1" s="1"/>
  <c r="B366" i="1"/>
  <c r="C366" i="1"/>
  <c r="D366" i="1"/>
  <c r="E366" i="1"/>
  <c r="F366" i="1"/>
  <c r="B367" i="1"/>
  <c r="E367" i="1" s="1"/>
  <c r="C367" i="1"/>
  <c r="F367" i="1" s="1"/>
  <c r="D367" i="1"/>
  <c r="B368" i="1"/>
  <c r="E368" i="1" s="1"/>
  <c r="C368" i="1"/>
  <c r="F368" i="1" s="1"/>
  <c r="D368" i="1"/>
  <c r="B369" i="1"/>
  <c r="C369" i="1"/>
  <c r="D369" i="1"/>
  <c r="E369" i="1"/>
  <c r="F369" i="1"/>
  <c r="B370" i="1"/>
  <c r="E370" i="1" s="1"/>
  <c r="C370" i="1"/>
  <c r="D370" i="1" s="1"/>
  <c r="B371" i="1"/>
  <c r="C371" i="1"/>
  <c r="F371" i="1" s="1"/>
  <c r="D371" i="1"/>
  <c r="E371" i="1"/>
  <c r="B372" i="1"/>
  <c r="C372" i="1"/>
  <c r="D372" i="1"/>
  <c r="E372" i="1"/>
  <c r="F372" i="1"/>
  <c r="B373" i="1"/>
  <c r="E373" i="1" s="1"/>
  <c r="C373" i="1"/>
  <c r="B374" i="1"/>
  <c r="C374" i="1"/>
  <c r="D374" i="1"/>
  <c r="E374" i="1"/>
  <c r="F374" i="1"/>
  <c r="B375" i="1"/>
  <c r="C375" i="1"/>
  <c r="D375" i="1"/>
  <c r="E375" i="1"/>
  <c r="F375" i="1"/>
  <c r="B376" i="1"/>
  <c r="E376" i="1" s="1"/>
  <c r="C376" i="1"/>
  <c r="F376" i="1" s="1"/>
  <c r="D376" i="1"/>
  <c r="B377" i="1"/>
  <c r="C377" i="1"/>
  <c r="D377" i="1" s="1"/>
  <c r="F377" i="1" s="1"/>
  <c r="E377" i="1"/>
  <c r="B378" i="1"/>
  <c r="E378" i="1" s="1"/>
  <c r="C378" i="1"/>
  <c r="D378" i="1" s="1"/>
  <c r="F378" i="1" s="1"/>
  <c r="B379" i="1"/>
  <c r="C379" i="1"/>
  <c r="F379" i="1" s="1"/>
  <c r="D379" i="1"/>
  <c r="E379" i="1"/>
  <c r="B380" i="1"/>
  <c r="C380" i="1"/>
  <c r="D380" i="1"/>
  <c r="E380" i="1"/>
  <c r="F380" i="1"/>
  <c r="B381" i="1"/>
  <c r="E381" i="1" s="1"/>
  <c r="C381" i="1"/>
  <c r="D381" i="1" s="1"/>
  <c r="B382" i="1"/>
  <c r="C382" i="1"/>
  <c r="D382" i="1"/>
  <c r="E382" i="1"/>
  <c r="F382" i="1"/>
  <c r="B383" i="1"/>
  <c r="E383" i="1" s="1"/>
  <c r="C383" i="1"/>
  <c r="D383" i="1"/>
  <c r="F383" i="1" s="1"/>
  <c r="B384" i="1"/>
  <c r="E384" i="1" s="1"/>
  <c r="C384" i="1"/>
  <c r="F384" i="1" s="1"/>
  <c r="D384" i="1"/>
  <c r="B385" i="1"/>
  <c r="C385" i="1"/>
  <c r="D385" i="1"/>
  <c r="E385" i="1"/>
  <c r="F385" i="1"/>
  <c r="B386" i="1"/>
  <c r="E386" i="1" s="1"/>
  <c r="C386" i="1"/>
  <c r="D386" i="1" s="1"/>
  <c r="B387" i="1"/>
  <c r="C387" i="1"/>
  <c r="F387" i="1" s="1"/>
  <c r="D387" i="1"/>
  <c r="E387" i="1"/>
  <c r="B388" i="1"/>
  <c r="C388" i="1"/>
  <c r="D388" i="1"/>
  <c r="E388" i="1"/>
  <c r="F388" i="1"/>
  <c r="B389" i="1"/>
  <c r="E389" i="1" s="1"/>
  <c r="C389" i="1"/>
  <c r="B390" i="1"/>
  <c r="C390" i="1"/>
  <c r="D390" i="1"/>
  <c r="E390" i="1"/>
  <c r="F390" i="1"/>
  <c r="B391" i="1"/>
  <c r="C391" i="1"/>
  <c r="D391" i="1"/>
  <c r="E391" i="1"/>
  <c r="F391" i="1"/>
  <c r="B392" i="1"/>
  <c r="E392" i="1" s="1"/>
  <c r="C392" i="1"/>
  <c r="F392" i="1" s="1"/>
  <c r="D392" i="1"/>
  <c r="B393" i="1"/>
  <c r="C393" i="1"/>
  <c r="D393" i="1" s="1"/>
  <c r="F393" i="1" s="1"/>
  <c r="E393" i="1"/>
  <c r="B394" i="1"/>
  <c r="E394" i="1" s="1"/>
  <c r="C394" i="1"/>
  <c r="D394" i="1" s="1"/>
  <c r="F394" i="1" s="1"/>
  <c r="B395" i="1"/>
  <c r="C395" i="1"/>
  <c r="D395" i="1" s="1"/>
  <c r="E395" i="1"/>
  <c r="B396" i="1"/>
  <c r="C396" i="1"/>
  <c r="D396" i="1"/>
  <c r="E396" i="1"/>
  <c r="F396" i="1"/>
  <c r="B397" i="1"/>
  <c r="E397" i="1" s="1"/>
  <c r="C397" i="1"/>
  <c r="D397" i="1" s="1"/>
  <c r="B398" i="1"/>
  <c r="C398" i="1"/>
  <c r="D398" i="1"/>
  <c r="E398" i="1"/>
  <c r="F398" i="1"/>
  <c r="B399" i="1"/>
  <c r="E399" i="1" s="1"/>
  <c r="C399" i="1"/>
  <c r="D399" i="1"/>
  <c r="F399" i="1" s="1"/>
  <c r="B400" i="1"/>
  <c r="E400" i="1" s="1"/>
  <c r="C400" i="1"/>
  <c r="F400" i="1" s="1"/>
  <c r="D400" i="1"/>
  <c r="B401" i="1"/>
  <c r="C401" i="1"/>
  <c r="D401" i="1"/>
  <c r="E401" i="1"/>
  <c r="F401" i="1"/>
  <c r="B402" i="1"/>
  <c r="E402" i="1" s="1"/>
  <c r="C402" i="1"/>
  <c r="D402" i="1" s="1"/>
  <c r="B403" i="1"/>
  <c r="C403" i="1"/>
  <c r="F403" i="1" s="1"/>
  <c r="D403" i="1"/>
  <c r="E403" i="1"/>
  <c r="B404" i="1"/>
  <c r="C404" i="1"/>
  <c r="D404" i="1"/>
  <c r="E404" i="1"/>
  <c r="F404" i="1"/>
  <c r="B405" i="1"/>
  <c r="E405" i="1" s="1"/>
  <c r="C405" i="1"/>
  <c r="B406" i="1"/>
  <c r="C406" i="1"/>
  <c r="D406" i="1"/>
  <c r="E406" i="1"/>
  <c r="F406" i="1"/>
  <c r="B407" i="1"/>
  <c r="C407" i="1"/>
  <c r="D407" i="1"/>
  <c r="E407" i="1"/>
  <c r="F407" i="1"/>
  <c r="B408" i="1"/>
  <c r="E408" i="1" s="1"/>
  <c r="C408" i="1"/>
  <c r="F408" i="1" s="1"/>
  <c r="D408" i="1"/>
  <c r="B409" i="1"/>
  <c r="C409" i="1"/>
  <c r="D409" i="1" s="1"/>
  <c r="F409" i="1" s="1"/>
  <c r="E409" i="1"/>
  <c r="B410" i="1"/>
  <c r="E410" i="1" s="1"/>
  <c r="C410" i="1"/>
  <c r="D410" i="1" s="1"/>
  <c r="F410" i="1" s="1"/>
  <c r="B411" i="1"/>
  <c r="C411" i="1"/>
  <c r="F411" i="1" s="1"/>
  <c r="D411" i="1"/>
  <c r="E411" i="1"/>
  <c r="B412" i="1"/>
  <c r="C412" i="1"/>
  <c r="D412" i="1"/>
  <c r="E412" i="1"/>
  <c r="F412" i="1"/>
  <c r="B413" i="1"/>
  <c r="E413" i="1" s="1"/>
  <c r="C413" i="1"/>
  <c r="D413" i="1" s="1"/>
  <c r="B414" i="1"/>
  <c r="C414" i="1"/>
  <c r="D414" i="1"/>
  <c r="E414" i="1"/>
  <c r="F414" i="1"/>
  <c r="B415" i="1"/>
  <c r="E415" i="1" s="1"/>
  <c r="C415" i="1"/>
  <c r="D415" i="1"/>
  <c r="F415" i="1" s="1"/>
  <c r="B416" i="1"/>
  <c r="E416" i="1" s="1"/>
  <c r="C416" i="1"/>
  <c r="F416" i="1" s="1"/>
  <c r="D416" i="1"/>
  <c r="B417" i="1"/>
  <c r="C417" i="1"/>
  <c r="D417" i="1"/>
  <c r="E417" i="1"/>
  <c r="F417" i="1"/>
  <c r="B418" i="1"/>
  <c r="E418" i="1" s="1"/>
  <c r="C418" i="1"/>
  <c r="D418" i="1" s="1"/>
  <c r="B419" i="1"/>
  <c r="C419" i="1"/>
  <c r="F419" i="1" s="1"/>
  <c r="D419" i="1"/>
  <c r="E419" i="1"/>
  <c r="B420" i="1"/>
  <c r="C420" i="1"/>
  <c r="D420" i="1"/>
  <c r="E420" i="1"/>
  <c r="F420" i="1"/>
  <c r="B421" i="1"/>
  <c r="E421" i="1" s="1"/>
  <c r="C421" i="1"/>
  <c r="B422" i="1"/>
  <c r="C422" i="1"/>
  <c r="D422" i="1"/>
  <c r="E422" i="1"/>
  <c r="F422" i="1"/>
  <c r="B423" i="1"/>
  <c r="C423" i="1"/>
  <c r="D423" i="1"/>
  <c r="E423" i="1"/>
  <c r="F423" i="1"/>
  <c r="B424" i="1"/>
  <c r="E424" i="1" s="1"/>
  <c r="C424" i="1"/>
  <c r="F424" i="1" s="1"/>
  <c r="D424" i="1"/>
  <c r="B425" i="1"/>
  <c r="C425" i="1"/>
  <c r="D425" i="1" s="1"/>
  <c r="F425" i="1" s="1"/>
  <c r="E425" i="1"/>
  <c r="B426" i="1"/>
  <c r="E426" i="1" s="1"/>
  <c r="C426" i="1"/>
  <c r="D426" i="1" s="1"/>
  <c r="F426" i="1" s="1"/>
  <c r="B427" i="1"/>
  <c r="C427" i="1"/>
  <c r="F427" i="1" s="1"/>
  <c r="D427" i="1"/>
  <c r="E427" i="1"/>
  <c r="B428" i="1"/>
  <c r="C428" i="1"/>
  <c r="D428" i="1"/>
  <c r="E428" i="1"/>
  <c r="F428" i="1"/>
  <c r="B429" i="1"/>
  <c r="E429" i="1" s="1"/>
  <c r="C429" i="1"/>
  <c r="D429" i="1" s="1"/>
  <c r="B430" i="1"/>
  <c r="C430" i="1"/>
  <c r="D430" i="1"/>
  <c r="E430" i="1"/>
  <c r="F430" i="1"/>
  <c r="B431" i="1"/>
  <c r="E431" i="1" s="1"/>
  <c r="C431" i="1"/>
  <c r="D431" i="1"/>
  <c r="F431" i="1" s="1"/>
  <c r="B432" i="1"/>
  <c r="E432" i="1" s="1"/>
  <c r="C432" i="1"/>
  <c r="F432" i="1" s="1"/>
  <c r="D432" i="1"/>
  <c r="B433" i="1"/>
  <c r="C433" i="1"/>
  <c r="D433" i="1"/>
  <c r="E433" i="1"/>
  <c r="F433" i="1"/>
  <c r="B434" i="1"/>
  <c r="E434" i="1" s="1"/>
  <c r="C434" i="1"/>
  <c r="D434" i="1" s="1"/>
  <c r="B435" i="1"/>
  <c r="C435" i="1"/>
  <c r="F435" i="1" s="1"/>
  <c r="D435" i="1"/>
  <c r="E435" i="1"/>
  <c r="B436" i="1"/>
  <c r="C436" i="1"/>
  <c r="D436" i="1"/>
  <c r="E436" i="1"/>
  <c r="F436" i="1"/>
  <c r="B437" i="1"/>
  <c r="E437" i="1" s="1"/>
  <c r="C437" i="1"/>
  <c r="B438" i="1"/>
  <c r="C438" i="1"/>
  <c r="D438" i="1"/>
  <c r="E438" i="1"/>
  <c r="F438" i="1"/>
  <c r="B439" i="1"/>
  <c r="C439" i="1"/>
  <c r="D439" i="1"/>
  <c r="E439" i="1"/>
  <c r="F439" i="1"/>
  <c r="B440" i="1"/>
  <c r="E440" i="1" s="1"/>
  <c r="C440" i="1"/>
  <c r="F440" i="1" s="1"/>
  <c r="D440" i="1"/>
  <c r="B441" i="1"/>
  <c r="C441" i="1"/>
  <c r="D441" i="1" s="1"/>
  <c r="F441" i="1" s="1"/>
  <c r="E441" i="1"/>
  <c r="B442" i="1"/>
  <c r="E442" i="1" s="1"/>
  <c r="C442" i="1"/>
  <c r="D442" i="1" s="1"/>
  <c r="F442" i="1" s="1"/>
  <c r="B443" i="1"/>
  <c r="C443" i="1"/>
  <c r="F443" i="1" s="1"/>
  <c r="D443" i="1"/>
  <c r="E443" i="1"/>
  <c r="B444" i="1"/>
  <c r="C444" i="1"/>
  <c r="D444" i="1"/>
  <c r="E444" i="1"/>
  <c r="F444" i="1"/>
  <c r="B445" i="1"/>
  <c r="E445" i="1" s="1"/>
  <c r="C445" i="1"/>
  <c r="D445" i="1" s="1"/>
  <c r="B446" i="1"/>
  <c r="C446" i="1"/>
  <c r="D446" i="1"/>
  <c r="E446" i="1"/>
  <c r="F446" i="1"/>
  <c r="B447" i="1"/>
  <c r="E447" i="1" s="1"/>
  <c r="C447" i="1"/>
  <c r="D447" i="1"/>
  <c r="F447" i="1" s="1"/>
  <c r="B448" i="1"/>
  <c r="E448" i="1" s="1"/>
  <c r="C448" i="1"/>
  <c r="F448" i="1" s="1"/>
  <c r="D448" i="1"/>
  <c r="B449" i="1"/>
  <c r="C449" i="1"/>
  <c r="D449" i="1"/>
  <c r="E449" i="1"/>
  <c r="F449" i="1"/>
  <c r="B450" i="1"/>
  <c r="E450" i="1" s="1"/>
  <c r="C450" i="1"/>
  <c r="D450" i="1" s="1"/>
  <c r="B451" i="1"/>
  <c r="C451" i="1"/>
  <c r="F451" i="1" s="1"/>
  <c r="D451" i="1"/>
  <c r="E451" i="1"/>
  <c r="B452" i="1"/>
  <c r="C452" i="1"/>
  <c r="D452" i="1"/>
  <c r="E452" i="1"/>
  <c r="F452" i="1"/>
  <c r="B453" i="1"/>
  <c r="E453" i="1" s="1"/>
  <c r="C453" i="1"/>
  <c r="B454" i="1"/>
  <c r="C454" i="1"/>
  <c r="D454" i="1"/>
  <c r="E454" i="1"/>
  <c r="F454" i="1"/>
  <c r="B455" i="1"/>
  <c r="C455" i="1"/>
  <c r="D455" i="1"/>
  <c r="E455" i="1"/>
  <c r="F455" i="1"/>
  <c r="B456" i="1"/>
  <c r="E456" i="1" s="1"/>
  <c r="C456" i="1"/>
  <c r="F456" i="1" s="1"/>
  <c r="D456" i="1"/>
  <c r="B457" i="1"/>
  <c r="C457" i="1"/>
  <c r="D457" i="1" s="1"/>
  <c r="F457" i="1" s="1"/>
  <c r="E457" i="1"/>
  <c r="B458" i="1"/>
  <c r="E458" i="1" s="1"/>
  <c r="C458" i="1"/>
  <c r="D458" i="1" s="1"/>
  <c r="F458" i="1" s="1"/>
  <c r="B459" i="1"/>
  <c r="C459" i="1"/>
  <c r="F459" i="1" s="1"/>
  <c r="D459" i="1"/>
  <c r="E459" i="1"/>
  <c r="B460" i="1"/>
  <c r="C460" i="1"/>
  <c r="D460" i="1"/>
  <c r="E460" i="1"/>
  <c r="F460" i="1"/>
  <c r="B461" i="1"/>
  <c r="E461" i="1" s="1"/>
  <c r="C461" i="1"/>
  <c r="D461" i="1" s="1"/>
  <c r="B462" i="1"/>
  <c r="C462" i="1"/>
  <c r="D462" i="1"/>
  <c r="E462" i="1"/>
  <c r="F462" i="1"/>
  <c r="B463" i="1"/>
  <c r="E463" i="1" s="1"/>
  <c r="C463" i="1"/>
  <c r="D463" i="1"/>
  <c r="F463" i="1" s="1"/>
  <c r="B464" i="1"/>
  <c r="E464" i="1" s="1"/>
  <c r="C464" i="1"/>
  <c r="F464" i="1" s="1"/>
  <c r="D464" i="1"/>
  <c r="B465" i="1"/>
  <c r="C465" i="1"/>
  <c r="D465" i="1"/>
  <c r="E465" i="1"/>
  <c r="F465" i="1"/>
  <c r="B466" i="1"/>
  <c r="E466" i="1" s="1"/>
  <c r="C466" i="1"/>
  <c r="D466" i="1" s="1"/>
  <c r="B467" i="1"/>
  <c r="C467" i="1"/>
  <c r="F467" i="1" s="1"/>
  <c r="D467" i="1"/>
  <c r="E467" i="1"/>
  <c r="B468" i="1"/>
  <c r="C468" i="1"/>
  <c r="D468" i="1"/>
  <c r="E468" i="1"/>
  <c r="F468" i="1"/>
  <c r="B469" i="1"/>
  <c r="E469" i="1" s="1"/>
  <c r="C469" i="1"/>
  <c r="B470" i="1"/>
  <c r="C470" i="1"/>
  <c r="D470" i="1"/>
  <c r="E470" i="1"/>
  <c r="F470" i="1"/>
  <c r="B471" i="1"/>
  <c r="C471" i="1"/>
  <c r="D471" i="1"/>
  <c r="E471" i="1"/>
  <c r="F471" i="1"/>
  <c r="B472" i="1"/>
  <c r="E472" i="1" s="1"/>
  <c r="C472" i="1"/>
  <c r="F472" i="1" s="1"/>
  <c r="D472" i="1"/>
  <c r="B473" i="1"/>
  <c r="C473" i="1"/>
  <c r="D473" i="1" s="1"/>
  <c r="F473" i="1" s="1"/>
  <c r="E473" i="1"/>
  <c r="B474" i="1"/>
  <c r="E474" i="1" s="1"/>
  <c r="C474" i="1"/>
  <c r="D474" i="1" s="1"/>
  <c r="F474" i="1" s="1"/>
  <c r="B475" i="1"/>
  <c r="C475" i="1"/>
  <c r="F475" i="1" s="1"/>
  <c r="D475" i="1"/>
  <c r="E475" i="1"/>
  <c r="B476" i="1"/>
  <c r="C476" i="1"/>
  <c r="D476" i="1"/>
  <c r="E476" i="1"/>
  <c r="F476" i="1"/>
  <c r="B477" i="1"/>
  <c r="E477" i="1" s="1"/>
  <c r="C477" i="1"/>
  <c r="D477" i="1" s="1"/>
  <c r="B478" i="1"/>
  <c r="C478" i="1"/>
  <c r="D478" i="1"/>
  <c r="E478" i="1"/>
  <c r="F478" i="1"/>
  <c r="B479" i="1"/>
  <c r="E479" i="1" s="1"/>
  <c r="C479" i="1"/>
  <c r="D479" i="1"/>
  <c r="F479" i="1" s="1"/>
  <c r="B480" i="1"/>
  <c r="E480" i="1" s="1"/>
  <c r="C480" i="1"/>
  <c r="F480" i="1" s="1"/>
  <c r="D480" i="1"/>
  <c r="B481" i="1"/>
  <c r="C481" i="1"/>
  <c r="D481" i="1"/>
  <c r="E481" i="1"/>
  <c r="F481" i="1"/>
  <c r="B482" i="1"/>
  <c r="E482" i="1" s="1"/>
  <c r="C482" i="1"/>
  <c r="D482" i="1" s="1"/>
  <c r="B483" i="1"/>
  <c r="C483" i="1"/>
  <c r="F483" i="1" s="1"/>
  <c r="D483" i="1"/>
  <c r="E483" i="1"/>
  <c r="B484" i="1"/>
  <c r="C484" i="1"/>
  <c r="D484" i="1"/>
  <c r="E484" i="1"/>
  <c r="F484" i="1"/>
  <c r="B485" i="1"/>
  <c r="E485" i="1" s="1"/>
  <c r="C485" i="1"/>
  <c r="B486" i="1"/>
  <c r="C486" i="1"/>
  <c r="D486" i="1"/>
  <c r="E486" i="1"/>
  <c r="F486" i="1"/>
  <c r="B487" i="1"/>
  <c r="C487" i="1"/>
  <c r="D487" i="1"/>
  <c r="E487" i="1"/>
  <c r="F487" i="1"/>
  <c r="B488" i="1"/>
  <c r="E488" i="1" s="1"/>
  <c r="C488" i="1"/>
  <c r="F488" i="1" s="1"/>
  <c r="D488" i="1"/>
  <c r="B489" i="1"/>
  <c r="C489" i="1"/>
  <c r="D489" i="1" s="1"/>
  <c r="F489" i="1" s="1"/>
  <c r="E489" i="1"/>
  <c r="N98" i="3" l="1"/>
  <c r="N410" i="3"/>
  <c r="N351" i="3"/>
  <c r="N483" i="3"/>
  <c r="N158" i="3"/>
  <c r="N390" i="3"/>
  <c r="N29" i="3"/>
  <c r="N13" i="3"/>
  <c r="N73" i="3"/>
  <c r="N447" i="3"/>
  <c r="N378" i="3"/>
  <c r="N415" i="3"/>
  <c r="N371" i="3"/>
  <c r="N304" i="3"/>
  <c r="N23" i="3"/>
  <c r="N341" i="3"/>
  <c r="N27" i="3"/>
  <c r="N70" i="3"/>
  <c r="N198" i="3"/>
  <c r="N167" i="3"/>
  <c r="N318" i="3"/>
  <c r="N231" i="3"/>
  <c r="N469" i="3"/>
  <c r="N484" i="3"/>
  <c r="N482" i="3"/>
  <c r="N230" i="3"/>
  <c r="N218" i="3"/>
  <c r="N221" i="3"/>
  <c r="N403" i="3"/>
  <c r="N259" i="3"/>
  <c r="N71" i="3"/>
  <c r="N31" i="3"/>
  <c r="N470" i="3"/>
  <c r="N66" i="3"/>
  <c r="N357" i="3"/>
  <c r="N343" i="3"/>
  <c r="N272" i="3"/>
  <c r="N193" i="3"/>
  <c r="N192" i="3"/>
  <c r="N18" i="3"/>
  <c r="N396" i="3"/>
  <c r="N138" i="3"/>
  <c r="N37" i="3"/>
  <c r="N191" i="3"/>
  <c r="N82" i="3"/>
  <c r="N353" i="3"/>
  <c r="N216" i="3"/>
  <c r="N61" i="3"/>
  <c r="N477" i="3"/>
  <c r="N38" i="3"/>
  <c r="N306" i="3"/>
  <c r="N375" i="3"/>
  <c r="N402" i="3"/>
  <c r="N33" i="3"/>
  <c r="N474" i="3"/>
  <c r="N69" i="3"/>
  <c r="N262" i="3"/>
  <c r="N273" i="3"/>
  <c r="N129" i="3"/>
  <c r="N124" i="3"/>
  <c r="N297" i="3"/>
  <c r="N268" i="3"/>
  <c r="N165" i="3"/>
  <c r="N456" i="3"/>
  <c r="N261" i="3"/>
  <c r="N267" i="3"/>
  <c r="N368" i="3"/>
  <c r="N405" i="3"/>
  <c r="N346" i="3"/>
  <c r="N177" i="3"/>
  <c r="N354" i="3"/>
  <c r="N157" i="3"/>
  <c r="N47" i="3"/>
  <c r="N389" i="3"/>
  <c r="N156" i="3"/>
  <c r="N56" i="3"/>
  <c r="N388" i="3"/>
  <c r="N245" i="3"/>
  <c r="N3" i="3"/>
  <c r="N374" i="3"/>
  <c r="N182" i="3"/>
  <c r="N21" i="3"/>
  <c r="N204" i="3"/>
  <c r="N436" i="3"/>
  <c r="N239" i="3"/>
  <c r="N399" i="3"/>
  <c r="N136" i="3"/>
  <c r="N225" i="3"/>
  <c r="N431" i="3"/>
  <c r="N208" i="3"/>
  <c r="N365" i="3"/>
  <c r="N131" i="3"/>
  <c r="N180" i="3"/>
  <c r="N28" i="3"/>
  <c r="N215" i="3"/>
  <c r="N108" i="3"/>
  <c r="N480" i="3"/>
  <c r="N427" i="3"/>
  <c r="N77" i="3"/>
  <c r="N75" i="3"/>
  <c r="N438" i="3"/>
  <c r="N50" i="3"/>
  <c r="N49" i="3"/>
  <c r="N305" i="3"/>
  <c r="N175" i="3"/>
  <c r="N133" i="3"/>
  <c r="N413" i="3"/>
  <c r="N394" i="3"/>
  <c r="N333" i="3"/>
  <c r="N393" i="3"/>
  <c r="N339" i="3"/>
  <c r="N265" i="3"/>
  <c r="N298" i="3"/>
  <c r="N253" i="3"/>
  <c r="N287" i="3"/>
  <c r="N382" i="3"/>
  <c r="N195" i="3"/>
  <c r="N362" i="3"/>
  <c r="N360" i="3"/>
  <c r="N20" i="3"/>
  <c r="N127" i="3"/>
  <c r="N166" i="3"/>
  <c r="N224" i="3"/>
  <c r="N92" i="3"/>
  <c r="N314" i="3"/>
  <c r="N91" i="3"/>
  <c r="N485" i="3"/>
  <c r="N252" i="3"/>
  <c r="N12" i="3"/>
  <c r="N308" i="3"/>
  <c r="N264" i="3"/>
  <c r="N90" i="3"/>
  <c r="N312" i="3"/>
  <c r="N110" i="3"/>
  <c r="N386" i="3"/>
  <c r="N367" i="3"/>
  <c r="N383" i="3"/>
  <c r="N81" i="3"/>
  <c r="N481" i="3"/>
  <c r="N6" i="3"/>
  <c r="N128" i="3"/>
  <c r="N385" i="3"/>
  <c r="N379" i="3"/>
  <c r="N284" i="3"/>
  <c r="N320" i="3"/>
  <c r="N142" i="3"/>
  <c r="N14" i="3"/>
  <c r="N80" i="3"/>
  <c r="N366" i="3"/>
  <c r="N451" i="3"/>
  <c r="N328" i="3"/>
  <c r="N313" i="3"/>
  <c r="N120" i="3"/>
  <c r="N147" i="3"/>
  <c r="N370" i="3"/>
  <c r="N340" i="3"/>
  <c r="N53" i="3"/>
  <c r="N376" i="3"/>
  <c r="N334" i="3"/>
  <c r="N348" i="3"/>
  <c r="N64" i="3"/>
  <c r="N11" i="3"/>
  <c r="N5" i="3"/>
  <c r="N10" i="3"/>
  <c r="N119" i="3"/>
  <c r="N161" i="3"/>
  <c r="N57" i="3"/>
  <c r="N406" i="3"/>
  <c r="N279" i="3"/>
  <c r="N455" i="3"/>
  <c r="N214" i="3"/>
  <c r="N309" i="3"/>
  <c r="N276" i="3"/>
  <c r="N197" i="3"/>
  <c r="N274" i="3"/>
  <c r="N281" i="3"/>
  <c r="N428" i="3"/>
  <c r="N332" i="3"/>
  <c r="N316" i="3"/>
  <c r="N232" i="3"/>
  <c r="N372" i="3"/>
  <c r="N462" i="3"/>
  <c r="N144" i="3"/>
  <c r="N488" i="3"/>
  <c r="N99" i="3"/>
  <c r="N34" i="3"/>
  <c r="N169" i="3"/>
  <c r="N236" i="3"/>
  <c r="N32" i="3"/>
  <c r="N168" i="3"/>
  <c r="N302" i="3"/>
  <c r="N461" i="3"/>
  <c r="N234" i="3"/>
  <c r="N380" i="3"/>
  <c r="N476" i="3"/>
  <c r="N331" i="3"/>
  <c r="N78" i="3"/>
  <c r="N24" i="3"/>
  <c r="N473" i="3"/>
  <c r="N260" i="3"/>
  <c r="N412" i="3"/>
  <c r="N4" i="3"/>
  <c r="N326" i="3"/>
  <c r="N74" i="3"/>
  <c r="N190" i="3"/>
  <c r="N490" i="3"/>
  <c r="N359" i="3"/>
  <c r="N425" i="3"/>
  <c r="N275" i="3"/>
  <c r="N489" i="3"/>
  <c r="N475" i="3"/>
  <c r="N327" i="3"/>
  <c r="N15" i="3"/>
  <c r="N220" i="3"/>
  <c r="N454" i="3"/>
  <c r="N392" i="3"/>
  <c r="N487" i="3"/>
  <c r="N83" i="3"/>
  <c r="N30" i="3"/>
  <c r="N296" i="3"/>
  <c r="N401" i="3"/>
  <c r="N416" i="3"/>
  <c r="N210" i="3"/>
  <c r="N178" i="3"/>
  <c r="N338" i="3"/>
  <c r="N358" i="3"/>
  <c r="N301" i="3"/>
  <c r="N130" i="3"/>
  <c r="N337" i="3"/>
  <c r="N361" i="3"/>
  <c r="N450" i="3"/>
  <c r="N162" i="3"/>
  <c r="N336" i="3"/>
  <c r="N94" i="3"/>
  <c r="N449" i="3"/>
  <c r="N93" i="3"/>
  <c r="N160" i="3"/>
  <c r="N109" i="3"/>
  <c r="N121" i="3"/>
  <c r="N84" i="3"/>
  <c r="N463" i="3"/>
  <c r="N270" i="3"/>
  <c r="N464" i="3"/>
  <c r="N154" i="3"/>
  <c r="N46" i="3"/>
  <c r="N45" i="3"/>
  <c r="N244" i="3"/>
  <c r="N153" i="3"/>
  <c r="N95" i="3"/>
  <c r="N44" i="3"/>
  <c r="N432" i="3"/>
  <c r="N97" i="3"/>
  <c r="N163" i="3"/>
  <c r="N42" i="3"/>
  <c r="N174" i="3"/>
  <c r="N398" i="3"/>
  <c r="N173" i="3"/>
  <c r="N478" i="3"/>
  <c r="N176" i="3"/>
  <c r="N196" i="3"/>
  <c r="N172" i="3"/>
  <c r="N206" i="3"/>
  <c r="N468" i="3"/>
  <c r="N152" i="3"/>
  <c r="N137" i="3"/>
  <c r="N205" i="3"/>
  <c r="N171" i="3"/>
  <c r="N39" i="3"/>
  <c r="N395" i="3"/>
  <c r="N397" i="3"/>
  <c r="N170" i="3"/>
  <c r="N288" i="3"/>
  <c r="N472" i="3"/>
  <c r="N300" i="3"/>
  <c r="N9" i="3"/>
  <c r="N269" i="3"/>
  <c r="N446" i="3"/>
  <c r="N201" i="3"/>
  <c r="N155" i="3"/>
  <c r="N148" i="3"/>
  <c r="N217" i="3"/>
  <c r="N319" i="3"/>
  <c r="N35" i="3"/>
  <c r="N227" i="3"/>
  <c r="N303" i="3"/>
  <c r="N457" i="3"/>
  <c r="N134" i="3"/>
  <c r="N278" i="3"/>
  <c r="N467" i="3"/>
  <c r="N151" i="3"/>
  <c r="N466" i="3"/>
  <c r="N36" i="3"/>
  <c r="N41" i="3"/>
  <c r="N111" i="3"/>
  <c r="N187" i="3"/>
  <c r="N207" i="3"/>
  <c r="N322" i="3"/>
  <c r="N226" i="3"/>
  <c r="N347" i="3"/>
  <c r="N330" i="3"/>
  <c r="N400" i="3"/>
  <c r="N25" i="3"/>
  <c r="N445" i="3"/>
  <c r="N271" i="3"/>
  <c r="N145" i="3"/>
  <c r="N7" i="3"/>
  <c r="N444" i="3"/>
  <c r="N104" i="3"/>
  <c r="N2" i="3"/>
  <c r="N103" i="3"/>
  <c r="N443" i="3"/>
  <c r="N102" i="3"/>
  <c r="N72" i="3"/>
  <c r="N101" i="3"/>
  <c r="N442" i="3"/>
  <c r="N100" i="3"/>
  <c r="N117" i="3"/>
  <c r="N437" i="3"/>
  <c r="N60" i="3"/>
  <c r="N59" i="3"/>
  <c r="N58" i="3"/>
  <c r="N126" i="3"/>
  <c r="N355" i="3"/>
  <c r="N106" i="3"/>
  <c r="N26" i="3"/>
  <c r="N344" i="3"/>
  <c r="N181" i="3"/>
  <c r="N149" i="3"/>
  <c r="N52" i="3"/>
  <c r="N113" i="3"/>
  <c r="N321" i="3"/>
  <c r="N112" i="3"/>
  <c r="N381" i="3"/>
  <c r="N87" i="3"/>
  <c r="N325" i="3"/>
  <c r="N159" i="3"/>
  <c r="N16" i="3"/>
  <c r="N430" i="3"/>
  <c r="N323" i="3"/>
  <c r="N238" i="3"/>
  <c r="N409" i="3"/>
  <c r="N310" i="3"/>
  <c r="N424" i="3"/>
  <c r="N114" i="3"/>
  <c r="N423" i="3"/>
  <c r="N237" i="3"/>
  <c r="N422" i="3"/>
  <c r="N421" i="3"/>
  <c r="N48" i="3"/>
  <c r="N420" i="3"/>
  <c r="N391" i="3"/>
  <c r="N243" i="3"/>
  <c r="N251" i="3"/>
  <c r="N342" i="3"/>
  <c r="N89" i="3"/>
  <c r="N293" i="3"/>
  <c r="N88" i="3"/>
  <c r="N426" i="3"/>
  <c r="N434" i="3"/>
  <c r="N429" i="3"/>
  <c r="N86" i="3"/>
  <c r="N85" i="3"/>
  <c r="N349" i="3"/>
  <c r="N242" i="3"/>
  <c r="N140" i="3"/>
  <c r="N139" i="3"/>
  <c r="N257" i="3"/>
  <c r="N222" i="3"/>
  <c r="N55" i="3"/>
  <c r="N280" i="3"/>
  <c r="N146" i="3"/>
  <c r="N441" i="3"/>
  <c r="N8" i="3"/>
  <c r="N125" i="3"/>
  <c r="N440" i="3"/>
  <c r="N324" i="3"/>
  <c r="N439" i="3"/>
  <c r="N68" i="3"/>
  <c r="N486" i="3"/>
  <c r="N213" i="3"/>
  <c r="N233" i="3"/>
  <c r="N240" i="3"/>
  <c r="N258" i="3"/>
  <c r="N235" i="3"/>
  <c r="N135" i="3"/>
  <c r="N96" i="3"/>
  <c r="N22" i="3"/>
  <c r="N186" i="3"/>
  <c r="N453" i="3"/>
  <c r="N479" i="3"/>
  <c r="N132" i="3"/>
  <c r="N299" i="3"/>
  <c r="N115" i="3"/>
  <c r="N465" i="3"/>
  <c r="N54" i="3"/>
  <c r="N345" i="3"/>
  <c r="N387" i="3"/>
  <c r="N65" i="3"/>
  <c r="N294" i="3"/>
  <c r="N254" i="3"/>
  <c r="N377" i="3"/>
  <c r="N350" i="3"/>
  <c r="N185" i="3"/>
  <c r="N123" i="3"/>
  <c r="N404" i="3"/>
  <c r="N335" i="3"/>
  <c r="N219" i="3"/>
  <c r="N460" i="3"/>
  <c r="N419" i="3"/>
  <c r="N266" i="3"/>
  <c r="N418" i="3"/>
  <c r="N212" i="3"/>
  <c r="N417" i="3"/>
  <c r="N228" i="3"/>
  <c r="N183" i="3"/>
  <c r="N188" i="3"/>
  <c r="N256" i="3"/>
  <c r="N203" i="3"/>
  <c r="N285" i="3"/>
  <c r="N43" i="3"/>
  <c r="N255" i="3"/>
  <c r="N202" i="3"/>
  <c r="N448" i="3"/>
  <c r="N459" i="3"/>
  <c r="N352" i="3"/>
  <c r="N315" i="3"/>
  <c r="N107" i="3"/>
  <c r="N369" i="3"/>
  <c r="N435" i="3"/>
  <c r="N250" i="3"/>
  <c r="N17" i="3"/>
  <c r="N229" i="3"/>
  <c r="N311" i="3"/>
  <c r="N249" i="3"/>
  <c r="N211" i="3"/>
  <c r="N373" i="3"/>
  <c r="N407" i="3"/>
  <c r="N458" i="3"/>
  <c r="N76" i="3"/>
  <c r="N79" i="3"/>
  <c r="N286" i="3"/>
  <c r="N248" i="3"/>
  <c r="N141" i="3"/>
  <c r="N277" i="3"/>
  <c r="N282" i="3"/>
  <c r="N247" i="3"/>
  <c r="N184" i="3"/>
  <c r="N118" i="3"/>
  <c r="N143" i="3"/>
  <c r="N40" i="3"/>
  <c r="N19" i="3"/>
  <c r="N246" i="3"/>
  <c r="N164" i="3"/>
  <c r="N51" i="3"/>
  <c r="N241" i="3"/>
  <c r="N317" i="3"/>
  <c r="N223" i="3"/>
  <c r="N292" i="3"/>
  <c r="N194" i="3"/>
  <c r="N291" i="3"/>
  <c r="N209" i="3"/>
  <c r="N290" i="3"/>
  <c r="N67" i="3"/>
  <c r="N289" i="3"/>
  <c r="N283" i="3"/>
  <c r="N411" i="3"/>
  <c r="N356" i="3"/>
  <c r="N384" i="3"/>
  <c r="N150" i="3"/>
  <c r="N116" i="3"/>
  <c r="N105" i="3"/>
  <c r="N63" i="3"/>
  <c r="N408" i="3"/>
  <c r="N363" i="3"/>
  <c r="N364" i="3"/>
  <c r="N200" i="3"/>
  <c r="N295" i="3"/>
  <c r="N179" i="3"/>
  <c r="N122" i="3"/>
  <c r="N62" i="3"/>
  <c r="N329" i="3"/>
  <c r="N452" i="3"/>
  <c r="N307" i="3"/>
  <c r="N199" i="3"/>
  <c r="N414" i="3"/>
  <c r="N471" i="3"/>
  <c r="N433" i="3"/>
  <c r="F453" i="1"/>
  <c r="F373" i="1"/>
  <c r="D485" i="1"/>
  <c r="F485" i="1" s="1"/>
  <c r="D469" i="1"/>
  <c r="F469" i="1" s="1"/>
  <c r="D453" i="1"/>
  <c r="D437" i="1"/>
  <c r="F437" i="1" s="1"/>
  <c r="D421" i="1"/>
  <c r="F421" i="1" s="1"/>
  <c r="D405" i="1"/>
  <c r="F405" i="1" s="1"/>
  <c r="F395" i="1"/>
  <c r="D389" i="1"/>
  <c r="F389" i="1" s="1"/>
  <c r="D373" i="1"/>
  <c r="F477" i="1"/>
  <c r="F461" i="1"/>
  <c r="F445" i="1"/>
  <c r="F429" i="1"/>
  <c r="F413" i="1"/>
  <c r="F397" i="1"/>
  <c r="F381" i="1"/>
  <c r="F365" i="1"/>
  <c r="F450" i="1"/>
  <c r="F466" i="1"/>
  <c r="F418" i="1"/>
  <c r="F370" i="1"/>
  <c r="F482" i="1"/>
  <c r="F434" i="1"/>
  <c r="F402" i="1"/>
  <c r="F386" i="1"/>
  <c r="C263" i="3"/>
  <c r="C189" i="3"/>
  <c r="D263" i="3"/>
  <c r="D189" i="3"/>
  <c r="E263" i="3"/>
  <c r="E189" i="3"/>
  <c r="F263" i="3"/>
  <c r="F189" i="3"/>
  <c r="G263" i="3"/>
  <c r="G189" i="3"/>
  <c r="H263" i="3"/>
  <c r="H189" i="3"/>
  <c r="I263" i="3"/>
  <c r="I189" i="3"/>
  <c r="J263" i="3"/>
  <c r="J189" i="3"/>
  <c r="K263" i="3"/>
  <c r="K189" i="3"/>
  <c r="L263" i="3"/>
  <c r="L189" i="3"/>
  <c r="M263" i="3"/>
  <c r="M189" i="3"/>
  <c r="C2" i="1"/>
  <c r="D2" i="1" s="1"/>
  <c r="C3" i="1"/>
  <c r="D3" i="1" s="1"/>
  <c r="C4" i="1"/>
  <c r="D4" i="1" s="1"/>
  <c r="C5" i="1"/>
  <c r="D5" i="1" s="1"/>
  <c r="C6" i="1"/>
  <c r="D6" i="1" s="1"/>
  <c r="C7" i="1"/>
  <c r="C8" i="1"/>
  <c r="D8" i="1" s="1"/>
  <c r="C9" i="1"/>
  <c r="D9" i="1" s="1"/>
  <c r="C10" i="1"/>
  <c r="C11" i="1"/>
  <c r="C12" i="1"/>
  <c r="C13" i="1"/>
  <c r="D13" i="1" s="1"/>
  <c r="C14" i="1"/>
  <c r="D14" i="1" s="1"/>
  <c r="C15" i="1"/>
  <c r="D15" i="1" s="1"/>
  <c r="C16" i="1"/>
  <c r="D16" i="1" s="1"/>
  <c r="C17" i="1"/>
  <c r="D17" i="1"/>
  <c r="C18" i="1"/>
  <c r="D18" i="1" s="1"/>
  <c r="C19" i="1"/>
  <c r="D19" i="1" s="1"/>
  <c r="C20" i="1"/>
  <c r="D20" i="1" s="1"/>
  <c r="F20" i="1" s="1"/>
  <c r="C21" i="1"/>
  <c r="D21" i="1" s="1"/>
  <c r="C22" i="1"/>
  <c r="D22" i="1" s="1"/>
  <c r="C23" i="1"/>
  <c r="D23" i="1" s="1"/>
  <c r="C24" i="1"/>
  <c r="C25" i="1"/>
  <c r="D25" i="1" s="1"/>
  <c r="C26" i="1"/>
  <c r="D26" i="1" s="1"/>
  <c r="C27" i="1"/>
  <c r="C28" i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F34" i="1" s="1"/>
  <c r="C35" i="1"/>
  <c r="C36" i="1"/>
  <c r="D36" i="1" s="1"/>
  <c r="C37" i="1"/>
  <c r="D37" i="1" s="1"/>
  <c r="C38" i="1"/>
  <c r="D38" i="1" s="1"/>
  <c r="C39" i="1"/>
  <c r="D39" i="1" s="1"/>
  <c r="C40" i="1"/>
  <c r="D40" i="1" s="1"/>
  <c r="C41" i="1"/>
  <c r="C42" i="1"/>
  <c r="D42" i="1" s="1"/>
  <c r="F42" i="1" s="1"/>
  <c r="C43" i="1"/>
  <c r="D43" i="1" s="1"/>
  <c r="C44" i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F54" i="1" s="1"/>
  <c r="C55" i="1"/>
  <c r="C56" i="1"/>
  <c r="D56" i="1" s="1"/>
  <c r="C57" i="1"/>
  <c r="D57" i="1" s="1"/>
  <c r="C58" i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F70" i="1" s="1"/>
  <c r="C71" i="1"/>
  <c r="C72" i="1"/>
  <c r="C73" i="1"/>
  <c r="D73" i="1" s="1"/>
  <c r="C74" i="1"/>
  <c r="D74" i="1" s="1"/>
  <c r="C75" i="1"/>
  <c r="C76" i="1"/>
  <c r="D76" i="1" s="1"/>
  <c r="F76" i="1" s="1"/>
  <c r="C77" i="1"/>
  <c r="D77" i="1" s="1"/>
  <c r="C78" i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C88" i="1"/>
  <c r="C89" i="1"/>
  <c r="C90" i="1"/>
  <c r="D90" i="1" s="1"/>
  <c r="C91" i="1"/>
  <c r="D91" i="1" s="1"/>
  <c r="C92" i="1"/>
  <c r="C93" i="1"/>
  <c r="D93" i="1" s="1"/>
  <c r="C94" i="1"/>
  <c r="D94" i="1" s="1"/>
  <c r="F94" i="1" s="1"/>
  <c r="C95" i="1"/>
  <c r="D95" i="1" s="1"/>
  <c r="C96" i="1"/>
  <c r="D96" i="1" s="1"/>
  <c r="C97" i="1"/>
  <c r="D97" i="1" s="1"/>
  <c r="C98" i="1"/>
  <c r="D98" i="1" s="1"/>
  <c r="F98" i="1" s="1"/>
  <c r="C99" i="1"/>
  <c r="D99" i="1" s="1"/>
  <c r="C100" i="1"/>
  <c r="D100" i="1" s="1"/>
  <c r="C101" i="1"/>
  <c r="D101" i="1" s="1"/>
  <c r="C102" i="1"/>
  <c r="D102" i="1" s="1"/>
  <c r="C103" i="1"/>
  <c r="D103" i="1" s="1"/>
  <c r="C104" i="1"/>
  <c r="C105" i="1"/>
  <c r="C106" i="1"/>
  <c r="C107" i="1"/>
  <c r="D107" i="1" s="1"/>
  <c r="C108" i="1"/>
  <c r="D108" i="1" s="1"/>
  <c r="C109" i="1"/>
  <c r="D109" i="1" s="1"/>
  <c r="C110" i="1"/>
  <c r="D110" i="1" s="1"/>
  <c r="C111" i="1"/>
  <c r="D111" i="1" s="1"/>
  <c r="F111" i="1" s="1"/>
  <c r="C112" i="1"/>
  <c r="D112" i="1" s="1"/>
  <c r="C113" i="1"/>
  <c r="D113" i="1" s="1"/>
  <c r="F113" i="1" s="1"/>
  <c r="C114" i="1"/>
  <c r="D114" i="1" s="1"/>
  <c r="F114" i="1" s="1"/>
  <c r="C115" i="1"/>
  <c r="D115" i="1" s="1"/>
  <c r="F115" i="1" s="1"/>
  <c r="C116" i="1"/>
  <c r="D116" i="1" s="1"/>
  <c r="C117" i="1"/>
  <c r="D117" i="1" s="1"/>
  <c r="C118" i="1"/>
  <c r="C119" i="1"/>
  <c r="D119" i="1" s="1"/>
  <c r="C120" i="1"/>
  <c r="D120" i="1" s="1"/>
  <c r="C121" i="1"/>
  <c r="C122" i="1"/>
  <c r="C123" i="1"/>
  <c r="C124" i="1"/>
  <c r="D124" i="1" s="1"/>
  <c r="C125" i="1"/>
  <c r="D125" i="1" s="1"/>
  <c r="C126" i="1"/>
  <c r="D126" i="1" s="1"/>
  <c r="C127" i="1"/>
  <c r="D127" i="1" s="1"/>
  <c r="C128" i="1"/>
  <c r="D128" i="1" s="1"/>
  <c r="F128" i="1" s="1"/>
  <c r="C129" i="1"/>
  <c r="D129" i="1" s="1"/>
  <c r="C130" i="1"/>
  <c r="D130" i="1" s="1"/>
  <c r="F130" i="1" s="1"/>
  <c r="C131" i="1"/>
  <c r="D131" i="1" s="1"/>
  <c r="F131" i="1" s="1"/>
  <c r="C132" i="1"/>
  <c r="D132" i="1" s="1"/>
  <c r="F132" i="1" s="1"/>
  <c r="C133" i="1"/>
  <c r="D133" i="1" s="1"/>
  <c r="C134" i="1"/>
  <c r="D134" i="1" s="1"/>
  <c r="C135" i="1"/>
  <c r="C136" i="1"/>
  <c r="D136" i="1" s="1"/>
  <c r="C137" i="1"/>
  <c r="C138" i="1"/>
  <c r="C139" i="1"/>
  <c r="C140" i="1"/>
  <c r="C141" i="1"/>
  <c r="D141" i="1" s="1"/>
  <c r="C142" i="1"/>
  <c r="D142" i="1" s="1"/>
  <c r="C143" i="1"/>
  <c r="D143" i="1" s="1"/>
  <c r="C144" i="1"/>
  <c r="D144" i="1" s="1"/>
  <c r="C145" i="1"/>
  <c r="D145" i="1" s="1"/>
  <c r="C146" i="1"/>
  <c r="D146" i="1" s="1"/>
  <c r="F146" i="1" s="1"/>
  <c r="C147" i="1"/>
  <c r="D147" i="1" s="1"/>
  <c r="F147" i="1" s="1"/>
  <c r="C148" i="1"/>
  <c r="D148" i="1" s="1"/>
  <c r="F148" i="1" s="1"/>
  <c r="C149" i="1"/>
  <c r="D149" i="1" s="1"/>
  <c r="C150" i="1"/>
  <c r="D150" i="1" s="1"/>
  <c r="C151" i="1"/>
  <c r="D151" i="1" s="1"/>
  <c r="C152" i="1"/>
  <c r="C153" i="1"/>
  <c r="D153" i="1" s="1"/>
  <c r="C154" i="1"/>
  <c r="D154" i="1" s="1"/>
  <c r="C155" i="1"/>
  <c r="C156" i="1"/>
  <c r="C157" i="1"/>
  <c r="D157" i="1" s="1"/>
  <c r="C158" i="1"/>
  <c r="C159" i="1"/>
  <c r="D159" i="1" s="1"/>
  <c r="C160" i="1"/>
  <c r="D160" i="1" s="1"/>
  <c r="C161" i="1"/>
  <c r="D161" i="1" s="1"/>
  <c r="C162" i="1"/>
  <c r="C163" i="1"/>
  <c r="D163" i="1" s="1"/>
  <c r="C164" i="1"/>
  <c r="D164" i="1" s="1"/>
  <c r="F164" i="1" s="1"/>
  <c r="C165" i="1"/>
  <c r="D165" i="1" s="1"/>
  <c r="C166" i="1"/>
  <c r="D166" i="1" s="1"/>
  <c r="C167" i="1"/>
  <c r="D167" i="1" s="1"/>
  <c r="C168" i="1"/>
  <c r="D168" i="1" s="1"/>
  <c r="C169" i="1"/>
  <c r="C170" i="1"/>
  <c r="D170" i="1" s="1"/>
  <c r="C171" i="1"/>
  <c r="D171" i="1" s="1"/>
  <c r="C172" i="1"/>
  <c r="C173" i="1"/>
  <c r="D173" i="1" s="1"/>
  <c r="C174" i="1"/>
  <c r="D174" i="1" s="1"/>
  <c r="C175" i="1"/>
  <c r="D175" i="1" s="1"/>
  <c r="C176" i="1"/>
  <c r="D176" i="1" s="1"/>
  <c r="C177" i="1"/>
  <c r="C178" i="1"/>
  <c r="D178" i="1" s="1"/>
  <c r="C179" i="1"/>
  <c r="D179" i="1" s="1"/>
  <c r="C180" i="1"/>
  <c r="C181" i="1"/>
  <c r="D181" i="1" s="1"/>
  <c r="C182" i="1"/>
  <c r="D182" i="1" s="1"/>
  <c r="C183" i="1"/>
  <c r="C184" i="1"/>
  <c r="D184" i="1" s="1"/>
  <c r="C185" i="1"/>
  <c r="D185" i="1"/>
  <c r="C186" i="1"/>
  <c r="C187" i="1"/>
  <c r="D187" i="1" s="1"/>
  <c r="F187" i="1" s="1"/>
  <c r="C188" i="1"/>
  <c r="D188" i="1" s="1"/>
  <c r="C189" i="1"/>
  <c r="D189" i="1" s="1"/>
  <c r="C190" i="1"/>
  <c r="D190" i="1" s="1"/>
  <c r="C191" i="1"/>
  <c r="D191" i="1" s="1"/>
  <c r="C192" i="1"/>
  <c r="D192" i="1" s="1"/>
  <c r="C193" i="1"/>
  <c r="D193" i="1" s="1"/>
  <c r="C194" i="1"/>
  <c r="D194" i="1" s="1"/>
  <c r="C195" i="1"/>
  <c r="D195" i="1" s="1"/>
  <c r="C196" i="1"/>
  <c r="C197" i="1"/>
  <c r="D197" i="1" s="1"/>
  <c r="C198" i="1"/>
  <c r="D198" i="1" s="1"/>
  <c r="F198" i="1" s="1"/>
  <c r="C199" i="1"/>
  <c r="C200" i="1"/>
  <c r="C201" i="1"/>
  <c r="D201" i="1" s="1"/>
  <c r="C202" i="1"/>
  <c r="D202" i="1" s="1"/>
  <c r="C203" i="1"/>
  <c r="C204" i="1"/>
  <c r="D204" i="1" s="1"/>
  <c r="C205" i="1"/>
  <c r="D205" i="1" s="1"/>
  <c r="C206" i="1"/>
  <c r="D206" i="1" s="1"/>
  <c r="C207" i="1"/>
  <c r="D207" i="1" s="1"/>
  <c r="C208" i="1"/>
  <c r="D208" i="1" s="1"/>
  <c r="C209" i="1"/>
  <c r="D209" i="1" s="1"/>
  <c r="C210" i="1"/>
  <c r="D210" i="1" s="1"/>
  <c r="C211" i="1"/>
  <c r="D211" i="1" s="1"/>
  <c r="C212" i="1"/>
  <c r="D212" i="1" s="1"/>
  <c r="C213" i="1"/>
  <c r="D213" i="1" s="1"/>
  <c r="C214" i="1"/>
  <c r="D214" i="1" s="1"/>
  <c r="C215" i="1"/>
  <c r="C216" i="1"/>
  <c r="C217" i="1"/>
  <c r="C218" i="1"/>
  <c r="C219" i="1"/>
  <c r="D219" i="1" s="1"/>
  <c r="C220" i="1"/>
  <c r="C221" i="1"/>
  <c r="D221" i="1" s="1"/>
  <c r="C222" i="1"/>
  <c r="D222" i="1" s="1"/>
  <c r="C223" i="1"/>
  <c r="D223" i="1" s="1"/>
  <c r="C224" i="1"/>
  <c r="D224" i="1" s="1"/>
  <c r="C225" i="1"/>
  <c r="D225" i="1" s="1"/>
  <c r="C226" i="1"/>
  <c r="D226" i="1" s="1"/>
  <c r="C227" i="1"/>
  <c r="C228" i="1"/>
  <c r="D228" i="1" s="1"/>
  <c r="C229" i="1"/>
  <c r="D229" i="1" s="1"/>
  <c r="C230" i="1"/>
  <c r="D230" i="1" s="1"/>
  <c r="C231" i="1"/>
  <c r="D231" i="1" s="1"/>
  <c r="C232" i="1"/>
  <c r="C233" i="1"/>
  <c r="C234" i="1"/>
  <c r="C235" i="1"/>
  <c r="D235" i="1" s="1"/>
  <c r="C236" i="1"/>
  <c r="D236" i="1" s="1"/>
  <c r="C237" i="1"/>
  <c r="D237" i="1" s="1"/>
  <c r="C238" i="1"/>
  <c r="D238" i="1" s="1"/>
  <c r="C239" i="1"/>
  <c r="D239" i="1" s="1"/>
  <c r="C240" i="1"/>
  <c r="D240" i="1" s="1"/>
  <c r="C241" i="1"/>
  <c r="D241" i="1" s="1"/>
  <c r="C242" i="1"/>
  <c r="D242" i="1" s="1"/>
  <c r="F242" i="1" s="1"/>
  <c r="C243" i="1"/>
  <c r="D243" i="1" s="1"/>
  <c r="F243" i="1" s="1"/>
  <c r="C244" i="1"/>
  <c r="D244" i="1" s="1"/>
  <c r="C245" i="1"/>
  <c r="D245" i="1" s="1"/>
  <c r="C246" i="1"/>
  <c r="C247" i="1"/>
  <c r="C248" i="1"/>
  <c r="D248" i="1" s="1"/>
  <c r="C249" i="1"/>
  <c r="C250" i="1"/>
  <c r="C251" i="1"/>
  <c r="C252" i="1"/>
  <c r="D252" i="1" s="1"/>
  <c r="C253" i="1"/>
  <c r="D253" i="1" s="1"/>
  <c r="C254" i="1"/>
  <c r="D254" i="1" s="1"/>
  <c r="C255" i="1"/>
  <c r="D255" i="1" s="1"/>
  <c r="C256" i="1"/>
  <c r="D256" i="1" s="1"/>
  <c r="F256" i="1" s="1"/>
  <c r="C257" i="1"/>
  <c r="D257" i="1" s="1"/>
  <c r="C258" i="1"/>
  <c r="D258" i="1" s="1"/>
  <c r="F258" i="1" s="1"/>
  <c r="C259" i="1"/>
  <c r="D259" i="1" s="1"/>
  <c r="F259" i="1" s="1"/>
  <c r="C260" i="1"/>
  <c r="D260" i="1" s="1"/>
  <c r="F260" i="1" s="1"/>
  <c r="C261" i="1"/>
  <c r="D261" i="1" s="1"/>
  <c r="C262" i="1"/>
  <c r="D262" i="1" s="1"/>
  <c r="C263" i="1"/>
  <c r="C264" i="1"/>
  <c r="D264" i="1"/>
  <c r="C265" i="1"/>
  <c r="D265" i="1" s="1"/>
  <c r="C266" i="1"/>
  <c r="C267" i="1"/>
  <c r="C268" i="1"/>
  <c r="C269" i="1"/>
  <c r="D269" i="1" s="1"/>
  <c r="C270" i="1"/>
  <c r="D270" i="1" s="1"/>
  <c r="C271" i="1"/>
  <c r="D271" i="1" s="1"/>
  <c r="C272" i="1"/>
  <c r="D272" i="1" s="1"/>
  <c r="C273" i="1"/>
  <c r="C274" i="1"/>
  <c r="D274" i="1" s="1"/>
  <c r="C275" i="1"/>
  <c r="D275" i="1" s="1"/>
  <c r="F275" i="1" s="1"/>
  <c r="C276" i="1"/>
  <c r="D276" i="1" s="1"/>
  <c r="F276" i="1" s="1"/>
  <c r="C277" i="1"/>
  <c r="D277" i="1" s="1"/>
  <c r="C278" i="1"/>
  <c r="D278" i="1" s="1"/>
  <c r="C279" i="1"/>
  <c r="D279" i="1" s="1"/>
  <c r="C280" i="1"/>
  <c r="C281" i="1"/>
  <c r="D281" i="1"/>
  <c r="C282" i="1"/>
  <c r="D282" i="1" s="1"/>
  <c r="C283" i="1"/>
  <c r="C284" i="1"/>
  <c r="C285" i="1"/>
  <c r="D285" i="1" s="1"/>
  <c r="C286" i="1"/>
  <c r="D286" i="1" s="1"/>
  <c r="C287" i="1"/>
  <c r="D287" i="1" s="1"/>
  <c r="C288" i="1"/>
  <c r="D288" i="1" s="1"/>
  <c r="C289" i="1"/>
  <c r="D289" i="1" s="1"/>
  <c r="C290" i="1"/>
  <c r="D290" i="1" s="1"/>
  <c r="C291" i="1"/>
  <c r="D291" i="1" s="1"/>
  <c r="C292" i="1"/>
  <c r="D292" i="1" s="1"/>
  <c r="F292" i="1" s="1"/>
  <c r="C293" i="1"/>
  <c r="D293" i="1" s="1"/>
  <c r="C294" i="1"/>
  <c r="D294" i="1" s="1"/>
  <c r="C295" i="1"/>
  <c r="D295" i="1" s="1"/>
  <c r="C296" i="1"/>
  <c r="D296" i="1" s="1"/>
  <c r="C297" i="1"/>
  <c r="C298" i="1"/>
  <c r="D298" i="1" s="1"/>
  <c r="C299" i="1"/>
  <c r="D299" i="1" s="1"/>
  <c r="C300" i="1"/>
  <c r="C301" i="1"/>
  <c r="D301" i="1" s="1"/>
  <c r="C302" i="1"/>
  <c r="D302" i="1" s="1"/>
  <c r="C303" i="1"/>
  <c r="D303" i="1" s="1"/>
  <c r="C304" i="1"/>
  <c r="D304" i="1" s="1"/>
  <c r="C305" i="1"/>
  <c r="D305" i="1" s="1"/>
  <c r="C306" i="1"/>
  <c r="D306" i="1" s="1"/>
  <c r="C307" i="1"/>
  <c r="D307" i="1" s="1"/>
  <c r="C308" i="1"/>
  <c r="D308" i="1" s="1"/>
  <c r="F308" i="1" s="1"/>
  <c r="C309" i="1"/>
  <c r="D309" i="1" s="1"/>
  <c r="C310" i="1"/>
  <c r="D310" i="1" s="1"/>
  <c r="C311" i="1"/>
  <c r="C312" i="1"/>
  <c r="D312" i="1" s="1"/>
  <c r="C313" i="1"/>
  <c r="D313" i="1" s="1"/>
  <c r="C314" i="1"/>
  <c r="C315" i="1"/>
  <c r="D315" i="1" s="1"/>
  <c r="F315" i="1" s="1"/>
  <c r="C316" i="1"/>
  <c r="D316" i="1" s="1"/>
  <c r="C317" i="1"/>
  <c r="D317" i="1" s="1"/>
  <c r="C318" i="1"/>
  <c r="D318" i="1" s="1"/>
  <c r="C319" i="1"/>
  <c r="D319" i="1" s="1"/>
  <c r="C320" i="1"/>
  <c r="D320" i="1" s="1"/>
  <c r="C321" i="1"/>
  <c r="D321" i="1" s="1"/>
  <c r="C322" i="1"/>
  <c r="D322" i="1" s="1"/>
  <c r="C323" i="1"/>
  <c r="D323" i="1" s="1"/>
  <c r="C324" i="1"/>
  <c r="D324" i="1" s="1"/>
  <c r="C325" i="1"/>
  <c r="D325" i="1" s="1"/>
  <c r="C326" i="1"/>
  <c r="D326" i="1" s="1"/>
  <c r="C327" i="1"/>
  <c r="C328" i="1"/>
  <c r="C329" i="1"/>
  <c r="D329" i="1" s="1"/>
  <c r="C330" i="1"/>
  <c r="D330" i="1" s="1"/>
  <c r="C331" i="1"/>
  <c r="C332" i="1"/>
  <c r="D332" i="1" s="1"/>
  <c r="C333" i="1"/>
  <c r="D333" i="1" s="1"/>
  <c r="C334" i="1"/>
  <c r="D334" i="1" s="1"/>
  <c r="C335" i="1"/>
  <c r="D335" i="1" s="1"/>
  <c r="C336" i="1"/>
  <c r="D336" i="1" s="1"/>
  <c r="C337" i="1"/>
  <c r="C338" i="1"/>
  <c r="D338" i="1" s="1"/>
  <c r="C339" i="1"/>
  <c r="D339" i="1" s="1"/>
  <c r="C340" i="1"/>
  <c r="D340" i="1" s="1"/>
  <c r="C341" i="1"/>
  <c r="D341" i="1" s="1"/>
  <c r="C342" i="1"/>
  <c r="D342" i="1" s="1"/>
  <c r="F342" i="1" s="1"/>
  <c r="C343" i="1"/>
  <c r="C344" i="1"/>
  <c r="C345" i="1"/>
  <c r="C346" i="1"/>
  <c r="D346" i="1" s="1"/>
  <c r="C347" i="1"/>
  <c r="D347" i="1" s="1"/>
  <c r="C348" i="1"/>
  <c r="C349" i="1"/>
  <c r="D349" i="1" s="1"/>
  <c r="C350" i="1"/>
  <c r="D350" i="1" s="1"/>
  <c r="C351" i="1"/>
  <c r="D351" i="1" s="1"/>
  <c r="C352" i="1"/>
  <c r="D352" i="1" s="1"/>
  <c r="C353" i="1"/>
  <c r="D353" i="1" s="1"/>
  <c r="C354" i="1"/>
  <c r="D354" i="1" s="1"/>
  <c r="C355" i="1"/>
  <c r="D355" i="1" s="1"/>
  <c r="C356" i="1"/>
  <c r="D356" i="1" s="1"/>
  <c r="C357" i="1"/>
  <c r="D357" i="1" s="1"/>
  <c r="C358" i="1"/>
  <c r="D358" i="1" s="1"/>
  <c r="C359" i="1"/>
  <c r="D359" i="1" s="1"/>
  <c r="C360" i="1"/>
  <c r="C361" i="1"/>
  <c r="C362" i="1"/>
  <c r="C363" i="1"/>
  <c r="D363" i="1" s="1"/>
  <c r="C1" i="1"/>
  <c r="B2" i="1"/>
  <c r="E2" i="1" s="1"/>
  <c r="B3" i="1"/>
  <c r="E3" i="1" s="1"/>
  <c r="B4" i="1"/>
  <c r="E4" i="1" s="1"/>
  <c r="B5" i="1"/>
  <c r="E5" i="1" s="1"/>
  <c r="B6" i="1"/>
  <c r="E6" i="1" s="1"/>
  <c r="B7" i="1"/>
  <c r="E7" i="1" s="1"/>
  <c r="B8" i="1"/>
  <c r="E8" i="1" s="1"/>
  <c r="B9" i="1"/>
  <c r="E9" i="1" s="1"/>
  <c r="B10" i="1"/>
  <c r="E10" i="1" s="1"/>
  <c r="B11" i="1"/>
  <c r="E11" i="1" s="1"/>
  <c r="B12" i="1"/>
  <c r="E12" i="1" s="1"/>
  <c r="B13" i="1"/>
  <c r="E13" i="1" s="1"/>
  <c r="B14" i="1"/>
  <c r="E14" i="1" s="1"/>
  <c r="B15" i="1"/>
  <c r="E15" i="1" s="1"/>
  <c r="B16" i="1"/>
  <c r="E16" i="1" s="1"/>
  <c r="B17" i="1"/>
  <c r="E17" i="1" s="1"/>
  <c r="B18" i="1"/>
  <c r="E18" i="1" s="1"/>
  <c r="B19" i="1"/>
  <c r="E19" i="1" s="1"/>
  <c r="B20" i="1"/>
  <c r="E20" i="1" s="1"/>
  <c r="B21" i="1"/>
  <c r="E21" i="1" s="1"/>
  <c r="B22" i="1"/>
  <c r="E22" i="1" s="1"/>
  <c r="B23" i="1"/>
  <c r="E23" i="1" s="1"/>
  <c r="B24" i="1"/>
  <c r="E24" i="1" s="1"/>
  <c r="B25" i="1"/>
  <c r="E25" i="1" s="1"/>
  <c r="B26" i="1"/>
  <c r="E26" i="1" s="1"/>
  <c r="B27" i="1"/>
  <c r="E27" i="1" s="1"/>
  <c r="B28" i="1"/>
  <c r="E28" i="1" s="1"/>
  <c r="B29" i="1"/>
  <c r="E29" i="1" s="1"/>
  <c r="B30" i="1"/>
  <c r="E30" i="1" s="1"/>
  <c r="B31" i="1"/>
  <c r="E31" i="1" s="1"/>
  <c r="B32" i="1"/>
  <c r="E32" i="1" s="1"/>
  <c r="B33" i="1"/>
  <c r="E33" i="1" s="1"/>
  <c r="B34" i="1"/>
  <c r="E34" i="1" s="1"/>
  <c r="B35" i="1"/>
  <c r="E35" i="1" s="1"/>
  <c r="B36" i="1"/>
  <c r="E36" i="1" s="1"/>
  <c r="B37" i="1"/>
  <c r="E37" i="1" s="1"/>
  <c r="B38" i="1"/>
  <c r="E38" i="1" s="1"/>
  <c r="B39" i="1"/>
  <c r="E39" i="1" s="1"/>
  <c r="B40" i="1"/>
  <c r="E40" i="1" s="1"/>
  <c r="B41" i="1"/>
  <c r="E41" i="1" s="1"/>
  <c r="B42" i="1"/>
  <c r="E42" i="1" s="1"/>
  <c r="B43" i="1"/>
  <c r="E43" i="1" s="1"/>
  <c r="B44" i="1"/>
  <c r="E44" i="1" s="1"/>
  <c r="B45" i="1"/>
  <c r="E45" i="1" s="1"/>
  <c r="B46" i="1"/>
  <c r="E46" i="1" s="1"/>
  <c r="B47" i="1"/>
  <c r="E47" i="1" s="1"/>
  <c r="B48" i="1"/>
  <c r="E48" i="1" s="1"/>
  <c r="B49" i="1"/>
  <c r="E49" i="1" s="1"/>
  <c r="B50" i="1"/>
  <c r="E50" i="1" s="1"/>
  <c r="B51" i="1"/>
  <c r="E51" i="1" s="1"/>
  <c r="B52" i="1"/>
  <c r="E52" i="1" s="1"/>
  <c r="B53" i="1"/>
  <c r="E53" i="1" s="1"/>
  <c r="B54" i="1"/>
  <c r="E54" i="1" s="1"/>
  <c r="B55" i="1"/>
  <c r="E55" i="1" s="1"/>
  <c r="B56" i="1"/>
  <c r="E56" i="1" s="1"/>
  <c r="B57" i="1"/>
  <c r="E57" i="1" s="1"/>
  <c r="B58" i="1"/>
  <c r="E58" i="1" s="1"/>
  <c r="B59" i="1"/>
  <c r="E59" i="1" s="1"/>
  <c r="B60" i="1"/>
  <c r="E60" i="1" s="1"/>
  <c r="B61" i="1"/>
  <c r="E61" i="1" s="1"/>
  <c r="B62" i="1"/>
  <c r="E62" i="1" s="1"/>
  <c r="B63" i="1"/>
  <c r="E63" i="1" s="1"/>
  <c r="B64" i="1"/>
  <c r="E64" i="1" s="1"/>
  <c r="B65" i="1"/>
  <c r="E65" i="1" s="1"/>
  <c r="B66" i="1"/>
  <c r="E66" i="1" s="1"/>
  <c r="B67" i="1"/>
  <c r="E67" i="1" s="1"/>
  <c r="B68" i="1"/>
  <c r="E68" i="1" s="1"/>
  <c r="B69" i="1"/>
  <c r="E69" i="1" s="1"/>
  <c r="B70" i="1"/>
  <c r="E70" i="1" s="1"/>
  <c r="B71" i="1"/>
  <c r="E71" i="1" s="1"/>
  <c r="B72" i="1"/>
  <c r="E72" i="1" s="1"/>
  <c r="B73" i="1"/>
  <c r="E73" i="1" s="1"/>
  <c r="B74" i="1"/>
  <c r="E74" i="1" s="1"/>
  <c r="B75" i="1"/>
  <c r="E75" i="1" s="1"/>
  <c r="B76" i="1"/>
  <c r="E76" i="1" s="1"/>
  <c r="B77" i="1"/>
  <c r="E77" i="1" s="1"/>
  <c r="B78" i="1"/>
  <c r="E78" i="1" s="1"/>
  <c r="B79" i="1"/>
  <c r="E79" i="1" s="1"/>
  <c r="B80" i="1"/>
  <c r="E80" i="1" s="1"/>
  <c r="B81" i="1"/>
  <c r="E81" i="1" s="1"/>
  <c r="B82" i="1"/>
  <c r="E82" i="1" s="1"/>
  <c r="B83" i="1"/>
  <c r="E83" i="1" s="1"/>
  <c r="B84" i="1"/>
  <c r="E84" i="1" s="1"/>
  <c r="B85" i="1"/>
  <c r="E85" i="1" s="1"/>
  <c r="B86" i="1"/>
  <c r="E86" i="1" s="1"/>
  <c r="B87" i="1"/>
  <c r="E87" i="1" s="1"/>
  <c r="B88" i="1"/>
  <c r="E88" i="1" s="1"/>
  <c r="B89" i="1"/>
  <c r="E89" i="1" s="1"/>
  <c r="B90" i="1"/>
  <c r="E90" i="1" s="1"/>
  <c r="B91" i="1"/>
  <c r="E91" i="1" s="1"/>
  <c r="B92" i="1"/>
  <c r="E92" i="1" s="1"/>
  <c r="B93" i="1"/>
  <c r="E93" i="1" s="1"/>
  <c r="B94" i="1"/>
  <c r="E94" i="1" s="1"/>
  <c r="B95" i="1"/>
  <c r="E95" i="1" s="1"/>
  <c r="B96" i="1"/>
  <c r="E96" i="1" s="1"/>
  <c r="B97" i="1"/>
  <c r="E97" i="1" s="1"/>
  <c r="B98" i="1"/>
  <c r="E98" i="1" s="1"/>
  <c r="B99" i="1"/>
  <c r="E99" i="1" s="1"/>
  <c r="B100" i="1"/>
  <c r="E100" i="1" s="1"/>
  <c r="B101" i="1"/>
  <c r="E101" i="1" s="1"/>
  <c r="B102" i="1"/>
  <c r="E102" i="1" s="1"/>
  <c r="B103" i="1"/>
  <c r="E103" i="1" s="1"/>
  <c r="B104" i="1"/>
  <c r="E104" i="1" s="1"/>
  <c r="B105" i="1"/>
  <c r="E105" i="1" s="1"/>
  <c r="B106" i="1"/>
  <c r="E106" i="1" s="1"/>
  <c r="B107" i="1"/>
  <c r="E107" i="1" s="1"/>
  <c r="B108" i="1"/>
  <c r="E108" i="1" s="1"/>
  <c r="B109" i="1"/>
  <c r="E109" i="1" s="1"/>
  <c r="B110" i="1"/>
  <c r="E110" i="1" s="1"/>
  <c r="B111" i="1"/>
  <c r="E111" i="1" s="1"/>
  <c r="B112" i="1"/>
  <c r="E112" i="1" s="1"/>
  <c r="B113" i="1"/>
  <c r="E113" i="1" s="1"/>
  <c r="B114" i="1"/>
  <c r="E114" i="1" s="1"/>
  <c r="B115" i="1"/>
  <c r="E115" i="1" s="1"/>
  <c r="B116" i="1"/>
  <c r="E116" i="1" s="1"/>
  <c r="B117" i="1"/>
  <c r="E117" i="1" s="1"/>
  <c r="B118" i="1"/>
  <c r="E118" i="1" s="1"/>
  <c r="B119" i="1"/>
  <c r="E119" i="1" s="1"/>
  <c r="B120" i="1"/>
  <c r="E120" i="1" s="1"/>
  <c r="B121" i="1"/>
  <c r="E121" i="1" s="1"/>
  <c r="B122" i="1"/>
  <c r="E122" i="1" s="1"/>
  <c r="B123" i="1"/>
  <c r="E123" i="1" s="1"/>
  <c r="B124" i="1"/>
  <c r="E124" i="1" s="1"/>
  <c r="B125" i="1"/>
  <c r="E125" i="1" s="1"/>
  <c r="B126" i="1"/>
  <c r="E126" i="1" s="1"/>
  <c r="B127" i="1"/>
  <c r="E127" i="1" s="1"/>
  <c r="B128" i="1"/>
  <c r="E128" i="1" s="1"/>
  <c r="B129" i="1"/>
  <c r="E129" i="1" s="1"/>
  <c r="B130" i="1"/>
  <c r="E130" i="1" s="1"/>
  <c r="B131" i="1"/>
  <c r="E131" i="1" s="1"/>
  <c r="B132" i="1"/>
  <c r="E132" i="1" s="1"/>
  <c r="B133" i="1"/>
  <c r="E133" i="1" s="1"/>
  <c r="B134" i="1"/>
  <c r="E134" i="1" s="1"/>
  <c r="B135" i="1"/>
  <c r="E135" i="1" s="1"/>
  <c r="B136" i="1"/>
  <c r="E136" i="1" s="1"/>
  <c r="B137" i="1"/>
  <c r="E137" i="1" s="1"/>
  <c r="B138" i="1"/>
  <c r="E138" i="1" s="1"/>
  <c r="B139" i="1"/>
  <c r="E139" i="1" s="1"/>
  <c r="B140" i="1"/>
  <c r="E140" i="1" s="1"/>
  <c r="B141" i="1"/>
  <c r="E141" i="1" s="1"/>
  <c r="B142" i="1"/>
  <c r="E142" i="1" s="1"/>
  <c r="B143" i="1"/>
  <c r="E143" i="1" s="1"/>
  <c r="B144" i="1"/>
  <c r="E144" i="1" s="1"/>
  <c r="B145" i="1"/>
  <c r="E145" i="1" s="1"/>
  <c r="B146" i="1"/>
  <c r="E146" i="1" s="1"/>
  <c r="B147" i="1"/>
  <c r="E147" i="1" s="1"/>
  <c r="B148" i="1"/>
  <c r="E148" i="1" s="1"/>
  <c r="B149" i="1"/>
  <c r="E149" i="1" s="1"/>
  <c r="B150" i="1"/>
  <c r="E150" i="1" s="1"/>
  <c r="B151" i="1"/>
  <c r="E151" i="1" s="1"/>
  <c r="B152" i="1"/>
  <c r="E152" i="1" s="1"/>
  <c r="B153" i="1"/>
  <c r="E153" i="1" s="1"/>
  <c r="B154" i="1"/>
  <c r="E154" i="1" s="1"/>
  <c r="B155" i="1"/>
  <c r="E155" i="1" s="1"/>
  <c r="B156" i="1"/>
  <c r="E156" i="1" s="1"/>
  <c r="B157" i="1"/>
  <c r="E157" i="1" s="1"/>
  <c r="B158" i="1"/>
  <c r="E158" i="1" s="1"/>
  <c r="B159" i="1"/>
  <c r="E159" i="1" s="1"/>
  <c r="B160" i="1"/>
  <c r="E160" i="1" s="1"/>
  <c r="B161" i="1"/>
  <c r="E161" i="1" s="1"/>
  <c r="B162" i="1"/>
  <c r="E162" i="1" s="1"/>
  <c r="B163" i="1"/>
  <c r="E163" i="1" s="1"/>
  <c r="B164" i="1"/>
  <c r="E164" i="1" s="1"/>
  <c r="B165" i="1"/>
  <c r="E165" i="1" s="1"/>
  <c r="B166" i="1"/>
  <c r="E166" i="1" s="1"/>
  <c r="B167" i="1"/>
  <c r="E167" i="1" s="1"/>
  <c r="B168" i="1"/>
  <c r="E168" i="1" s="1"/>
  <c r="B169" i="1"/>
  <c r="E169" i="1" s="1"/>
  <c r="B170" i="1"/>
  <c r="E170" i="1" s="1"/>
  <c r="B171" i="1"/>
  <c r="E171" i="1" s="1"/>
  <c r="B172" i="1"/>
  <c r="E172" i="1" s="1"/>
  <c r="B173" i="1"/>
  <c r="E173" i="1" s="1"/>
  <c r="B174" i="1"/>
  <c r="E174" i="1" s="1"/>
  <c r="B175" i="1"/>
  <c r="E175" i="1" s="1"/>
  <c r="B176" i="1"/>
  <c r="E176" i="1" s="1"/>
  <c r="B177" i="1"/>
  <c r="E177" i="1" s="1"/>
  <c r="B178" i="1"/>
  <c r="E178" i="1" s="1"/>
  <c r="B179" i="1"/>
  <c r="E179" i="1" s="1"/>
  <c r="B180" i="1"/>
  <c r="E180" i="1" s="1"/>
  <c r="B181" i="1"/>
  <c r="E181" i="1" s="1"/>
  <c r="B182" i="1"/>
  <c r="E182" i="1" s="1"/>
  <c r="B183" i="1"/>
  <c r="E183" i="1" s="1"/>
  <c r="B184" i="1"/>
  <c r="E184" i="1" s="1"/>
  <c r="B185" i="1"/>
  <c r="E185" i="1" s="1"/>
  <c r="B186" i="1"/>
  <c r="E186" i="1" s="1"/>
  <c r="B187" i="1"/>
  <c r="E187" i="1" s="1"/>
  <c r="B188" i="1"/>
  <c r="E188" i="1" s="1"/>
  <c r="B189" i="1"/>
  <c r="E189" i="1" s="1"/>
  <c r="B190" i="1"/>
  <c r="E190" i="1" s="1"/>
  <c r="B191" i="1"/>
  <c r="E191" i="1" s="1"/>
  <c r="B192" i="1"/>
  <c r="E192" i="1" s="1"/>
  <c r="B193" i="1"/>
  <c r="E193" i="1" s="1"/>
  <c r="B194" i="1"/>
  <c r="E194" i="1" s="1"/>
  <c r="B195" i="1"/>
  <c r="E195" i="1" s="1"/>
  <c r="B196" i="1"/>
  <c r="E196" i="1" s="1"/>
  <c r="B197" i="1"/>
  <c r="E197" i="1" s="1"/>
  <c r="B198" i="1"/>
  <c r="E198" i="1" s="1"/>
  <c r="B199" i="1"/>
  <c r="E199" i="1" s="1"/>
  <c r="B200" i="1"/>
  <c r="E200" i="1" s="1"/>
  <c r="B201" i="1"/>
  <c r="E201" i="1" s="1"/>
  <c r="B202" i="1"/>
  <c r="E202" i="1" s="1"/>
  <c r="B203" i="1"/>
  <c r="E203" i="1" s="1"/>
  <c r="B204" i="1"/>
  <c r="E204" i="1" s="1"/>
  <c r="B205" i="1"/>
  <c r="E205" i="1" s="1"/>
  <c r="B206" i="1"/>
  <c r="E206" i="1" s="1"/>
  <c r="B207" i="1"/>
  <c r="E207" i="1" s="1"/>
  <c r="B208" i="1"/>
  <c r="E208" i="1" s="1"/>
  <c r="B209" i="1"/>
  <c r="E209" i="1" s="1"/>
  <c r="B210" i="1"/>
  <c r="E210" i="1" s="1"/>
  <c r="B211" i="1"/>
  <c r="E211" i="1" s="1"/>
  <c r="B212" i="1"/>
  <c r="E212" i="1" s="1"/>
  <c r="B213" i="1"/>
  <c r="E213" i="1" s="1"/>
  <c r="B214" i="1"/>
  <c r="E214" i="1" s="1"/>
  <c r="B215" i="1"/>
  <c r="E215" i="1" s="1"/>
  <c r="B216" i="1"/>
  <c r="E216" i="1" s="1"/>
  <c r="B217" i="1"/>
  <c r="E217" i="1" s="1"/>
  <c r="B218" i="1"/>
  <c r="E218" i="1" s="1"/>
  <c r="B219" i="1"/>
  <c r="E219" i="1" s="1"/>
  <c r="B220" i="1"/>
  <c r="E220" i="1" s="1"/>
  <c r="B221" i="1"/>
  <c r="E221" i="1" s="1"/>
  <c r="B222" i="1"/>
  <c r="E222" i="1" s="1"/>
  <c r="B223" i="1"/>
  <c r="E223" i="1" s="1"/>
  <c r="B224" i="1"/>
  <c r="E224" i="1" s="1"/>
  <c r="B225" i="1"/>
  <c r="E225" i="1" s="1"/>
  <c r="B226" i="1"/>
  <c r="E226" i="1" s="1"/>
  <c r="B227" i="1"/>
  <c r="E227" i="1" s="1"/>
  <c r="B228" i="1"/>
  <c r="E228" i="1" s="1"/>
  <c r="B229" i="1"/>
  <c r="E229" i="1" s="1"/>
  <c r="B230" i="1"/>
  <c r="E230" i="1" s="1"/>
  <c r="B231" i="1"/>
  <c r="E231" i="1" s="1"/>
  <c r="B232" i="1"/>
  <c r="E232" i="1" s="1"/>
  <c r="B233" i="1"/>
  <c r="E233" i="1" s="1"/>
  <c r="B234" i="1"/>
  <c r="E234" i="1" s="1"/>
  <c r="B235" i="1"/>
  <c r="E235" i="1" s="1"/>
  <c r="B236" i="1"/>
  <c r="E236" i="1" s="1"/>
  <c r="B237" i="1"/>
  <c r="E237" i="1" s="1"/>
  <c r="B238" i="1"/>
  <c r="E238" i="1" s="1"/>
  <c r="B239" i="1"/>
  <c r="E239" i="1" s="1"/>
  <c r="B240" i="1"/>
  <c r="E240" i="1" s="1"/>
  <c r="B241" i="1"/>
  <c r="E241" i="1" s="1"/>
  <c r="B242" i="1"/>
  <c r="E242" i="1" s="1"/>
  <c r="B243" i="1"/>
  <c r="E243" i="1" s="1"/>
  <c r="B244" i="1"/>
  <c r="E244" i="1" s="1"/>
  <c r="B245" i="1"/>
  <c r="E245" i="1" s="1"/>
  <c r="B246" i="1"/>
  <c r="E246" i="1" s="1"/>
  <c r="B247" i="1"/>
  <c r="E247" i="1" s="1"/>
  <c r="B248" i="1"/>
  <c r="E248" i="1" s="1"/>
  <c r="B249" i="1"/>
  <c r="E249" i="1" s="1"/>
  <c r="B250" i="1"/>
  <c r="E250" i="1" s="1"/>
  <c r="B251" i="1"/>
  <c r="E251" i="1" s="1"/>
  <c r="B252" i="1"/>
  <c r="E252" i="1" s="1"/>
  <c r="B253" i="1"/>
  <c r="E253" i="1" s="1"/>
  <c r="B254" i="1"/>
  <c r="E254" i="1" s="1"/>
  <c r="B255" i="1"/>
  <c r="E255" i="1" s="1"/>
  <c r="B256" i="1"/>
  <c r="E256" i="1" s="1"/>
  <c r="B257" i="1"/>
  <c r="E257" i="1" s="1"/>
  <c r="B258" i="1"/>
  <c r="E258" i="1" s="1"/>
  <c r="B259" i="1"/>
  <c r="E259" i="1" s="1"/>
  <c r="B260" i="1"/>
  <c r="E260" i="1" s="1"/>
  <c r="B261" i="1"/>
  <c r="E261" i="1" s="1"/>
  <c r="B262" i="1"/>
  <c r="E262" i="1" s="1"/>
  <c r="B263" i="1"/>
  <c r="E263" i="1" s="1"/>
  <c r="B264" i="1"/>
  <c r="E264" i="1" s="1"/>
  <c r="B265" i="1"/>
  <c r="E265" i="1" s="1"/>
  <c r="B266" i="1"/>
  <c r="E266" i="1" s="1"/>
  <c r="B267" i="1"/>
  <c r="E267" i="1" s="1"/>
  <c r="B268" i="1"/>
  <c r="E268" i="1" s="1"/>
  <c r="B269" i="1"/>
  <c r="E269" i="1" s="1"/>
  <c r="B270" i="1"/>
  <c r="E270" i="1" s="1"/>
  <c r="B271" i="1"/>
  <c r="E271" i="1" s="1"/>
  <c r="B272" i="1"/>
  <c r="E272" i="1" s="1"/>
  <c r="B273" i="1"/>
  <c r="E273" i="1" s="1"/>
  <c r="B274" i="1"/>
  <c r="E274" i="1" s="1"/>
  <c r="B275" i="1"/>
  <c r="E275" i="1" s="1"/>
  <c r="B276" i="1"/>
  <c r="E276" i="1" s="1"/>
  <c r="B277" i="1"/>
  <c r="E277" i="1" s="1"/>
  <c r="B278" i="1"/>
  <c r="E278" i="1" s="1"/>
  <c r="B279" i="1"/>
  <c r="E279" i="1" s="1"/>
  <c r="B280" i="1"/>
  <c r="E280" i="1" s="1"/>
  <c r="B281" i="1"/>
  <c r="E281" i="1" s="1"/>
  <c r="B282" i="1"/>
  <c r="E282" i="1" s="1"/>
  <c r="B283" i="1"/>
  <c r="E283" i="1" s="1"/>
  <c r="B284" i="1"/>
  <c r="E284" i="1" s="1"/>
  <c r="B285" i="1"/>
  <c r="E285" i="1" s="1"/>
  <c r="B286" i="1"/>
  <c r="E286" i="1" s="1"/>
  <c r="B287" i="1"/>
  <c r="E287" i="1" s="1"/>
  <c r="B288" i="1"/>
  <c r="E288" i="1" s="1"/>
  <c r="B289" i="1"/>
  <c r="E289" i="1" s="1"/>
  <c r="B290" i="1"/>
  <c r="E290" i="1" s="1"/>
  <c r="B291" i="1"/>
  <c r="E291" i="1" s="1"/>
  <c r="B292" i="1"/>
  <c r="E292" i="1" s="1"/>
  <c r="B293" i="1"/>
  <c r="E293" i="1" s="1"/>
  <c r="B294" i="1"/>
  <c r="E294" i="1" s="1"/>
  <c r="B295" i="1"/>
  <c r="E295" i="1" s="1"/>
  <c r="B296" i="1"/>
  <c r="E296" i="1" s="1"/>
  <c r="B297" i="1"/>
  <c r="E297" i="1" s="1"/>
  <c r="B298" i="1"/>
  <c r="E298" i="1" s="1"/>
  <c r="B299" i="1"/>
  <c r="E299" i="1" s="1"/>
  <c r="B300" i="1"/>
  <c r="E300" i="1" s="1"/>
  <c r="B301" i="1"/>
  <c r="E301" i="1" s="1"/>
  <c r="B302" i="1"/>
  <c r="E302" i="1" s="1"/>
  <c r="B303" i="1"/>
  <c r="E303" i="1" s="1"/>
  <c r="B304" i="1"/>
  <c r="E304" i="1" s="1"/>
  <c r="B305" i="1"/>
  <c r="E305" i="1" s="1"/>
  <c r="B306" i="1"/>
  <c r="E306" i="1" s="1"/>
  <c r="B307" i="1"/>
  <c r="E307" i="1" s="1"/>
  <c r="B308" i="1"/>
  <c r="E308" i="1" s="1"/>
  <c r="B309" i="1"/>
  <c r="E309" i="1" s="1"/>
  <c r="B310" i="1"/>
  <c r="E310" i="1" s="1"/>
  <c r="B311" i="1"/>
  <c r="E311" i="1" s="1"/>
  <c r="B312" i="1"/>
  <c r="E312" i="1" s="1"/>
  <c r="B313" i="1"/>
  <c r="E313" i="1" s="1"/>
  <c r="B314" i="1"/>
  <c r="E314" i="1" s="1"/>
  <c r="B315" i="1"/>
  <c r="E315" i="1" s="1"/>
  <c r="B316" i="1"/>
  <c r="E316" i="1" s="1"/>
  <c r="B317" i="1"/>
  <c r="E317" i="1" s="1"/>
  <c r="B318" i="1"/>
  <c r="E318" i="1" s="1"/>
  <c r="B319" i="1"/>
  <c r="E319" i="1" s="1"/>
  <c r="B320" i="1"/>
  <c r="E320" i="1" s="1"/>
  <c r="B321" i="1"/>
  <c r="E321" i="1" s="1"/>
  <c r="B322" i="1"/>
  <c r="E322" i="1" s="1"/>
  <c r="B323" i="1"/>
  <c r="E323" i="1" s="1"/>
  <c r="B324" i="1"/>
  <c r="E324" i="1" s="1"/>
  <c r="B325" i="1"/>
  <c r="E325" i="1" s="1"/>
  <c r="B326" i="1"/>
  <c r="E326" i="1" s="1"/>
  <c r="B327" i="1"/>
  <c r="E327" i="1" s="1"/>
  <c r="B328" i="1"/>
  <c r="E328" i="1" s="1"/>
  <c r="B329" i="1"/>
  <c r="E329" i="1" s="1"/>
  <c r="B330" i="1"/>
  <c r="E330" i="1" s="1"/>
  <c r="B331" i="1"/>
  <c r="E331" i="1" s="1"/>
  <c r="B332" i="1"/>
  <c r="E332" i="1" s="1"/>
  <c r="B333" i="1"/>
  <c r="E333" i="1" s="1"/>
  <c r="B334" i="1"/>
  <c r="E334" i="1" s="1"/>
  <c r="B335" i="1"/>
  <c r="E335" i="1" s="1"/>
  <c r="B336" i="1"/>
  <c r="E336" i="1" s="1"/>
  <c r="B337" i="1"/>
  <c r="E337" i="1" s="1"/>
  <c r="B338" i="1"/>
  <c r="E338" i="1" s="1"/>
  <c r="B339" i="1"/>
  <c r="E339" i="1" s="1"/>
  <c r="B340" i="1"/>
  <c r="E340" i="1" s="1"/>
  <c r="B341" i="1"/>
  <c r="E341" i="1" s="1"/>
  <c r="B342" i="1"/>
  <c r="E342" i="1" s="1"/>
  <c r="B343" i="1"/>
  <c r="E343" i="1" s="1"/>
  <c r="B344" i="1"/>
  <c r="E344" i="1" s="1"/>
  <c r="B345" i="1"/>
  <c r="E345" i="1" s="1"/>
  <c r="B346" i="1"/>
  <c r="E346" i="1" s="1"/>
  <c r="B347" i="1"/>
  <c r="E347" i="1" s="1"/>
  <c r="B348" i="1"/>
  <c r="E348" i="1" s="1"/>
  <c r="B349" i="1"/>
  <c r="E349" i="1" s="1"/>
  <c r="B350" i="1"/>
  <c r="E350" i="1" s="1"/>
  <c r="B351" i="1"/>
  <c r="E351" i="1" s="1"/>
  <c r="B352" i="1"/>
  <c r="E352" i="1" s="1"/>
  <c r="B353" i="1"/>
  <c r="E353" i="1" s="1"/>
  <c r="B354" i="1"/>
  <c r="E354" i="1" s="1"/>
  <c r="B355" i="1"/>
  <c r="E355" i="1" s="1"/>
  <c r="B356" i="1"/>
  <c r="E356" i="1" s="1"/>
  <c r="B357" i="1"/>
  <c r="E357" i="1" s="1"/>
  <c r="B358" i="1"/>
  <c r="E358" i="1" s="1"/>
  <c r="B359" i="1"/>
  <c r="E359" i="1" s="1"/>
  <c r="B360" i="1"/>
  <c r="E360" i="1" s="1"/>
  <c r="B361" i="1"/>
  <c r="E361" i="1" s="1"/>
  <c r="B362" i="1"/>
  <c r="E362" i="1" s="1"/>
  <c r="B363" i="1"/>
  <c r="E363" i="1" s="1"/>
  <c r="B1" i="1"/>
  <c r="E1" i="1" s="1"/>
  <c r="P206" i="4"/>
  <c r="F19" i="1" l="1"/>
  <c r="N189" i="3"/>
  <c r="N263" i="3"/>
  <c r="F68" i="1"/>
  <c r="F69" i="1"/>
  <c r="D273" i="1"/>
  <c r="F273" i="1" s="1"/>
  <c r="F36" i="1"/>
  <c r="F163" i="1"/>
  <c r="F102" i="1"/>
  <c r="F59" i="1"/>
  <c r="F21" i="1"/>
  <c r="F324" i="1"/>
  <c r="F290" i="1"/>
  <c r="F86" i="1"/>
  <c r="F52" i="1"/>
  <c r="F51" i="1"/>
  <c r="F17" i="1"/>
  <c r="F179" i="1"/>
  <c r="F214" i="1"/>
  <c r="F197" i="1"/>
  <c r="D196" i="1"/>
  <c r="F196" i="1" s="1"/>
  <c r="F277" i="1"/>
  <c r="F145" i="1"/>
  <c r="F356" i="1"/>
  <c r="F287" i="1"/>
  <c r="F257" i="1"/>
  <c r="F207" i="1"/>
  <c r="F167" i="1"/>
  <c r="F116" i="1"/>
  <c r="F107" i="1"/>
  <c r="F97" i="1"/>
  <c r="F66" i="1"/>
  <c r="F57" i="1"/>
  <c r="F47" i="1"/>
  <c r="F6" i="1"/>
  <c r="F336" i="1"/>
  <c r="F316" i="1"/>
  <c r="F296" i="1"/>
  <c r="F236" i="1"/>
  <c r="F226" i="1"/>
  <c r="F176" i="1"/>
  <c r="F136" i="1"/>
  <c r="F26" i="1"/>
  <c r="F239" i="1"/>
  <c r="F355" i="1"/>
  <c r="F346" i="1"/>
  <c r="F305" i="1"/>
  <c r="F286" i="1"/>
  <c r="F265" i="1"/>
  <c r="F206" i="1"/>
  <c r="F126" i="1"/>
  <c r="F96" i="1"/>
  <c r="F65" i="1"/>
  <c r="F56" i="1"/>
  <c r="F46" i="1"/>
  <c r="D35" i="1"/>
  <c r="F35" i="1" s="1"/>
  <c r="F230" i="1"/>
  <c r="F18" i="1"/>
  <c r="F335" i="1"/>
  <c r="F295" i="1"/>
  <c r="F244" i="1"/>
  <c r="F235" i="1"/>
  <c r="F225" i="1"/>
  <c r="F194" i="1"/>
  <c r="F185" i="1"/>
  <c r="F175" i="1"/>
  <c r="F25" i="1"/>
  <c r="F4" i="1"/>
  <c r="F221" i="1"/>
  <c r="F93" i="1"/>
  <c r="F354" i="1"/>
  <c r="F304" i="1"/>
  <c r="F264" i="1"/>
  <c r="F154" i="1"/>
  <c r="F134" i="1"/>
  <c r="F95" i="1"/>
  <c r="F64" i="1"/>
  <c r="F15" i="1"/>
  <c r="F334" i="1"/>
  <c r="F274" i="1"/>
  <c r="F254" i="1"/>
  <c r="F224" i="1"/>
  <c r="F204" i="1"/>
  <c r="F193" i="1"/>
  <c r="F184" i="1"/>
  <c r="F174" i="1"/>
  <c r="F124" i="1"/>
  <c r="F103" i="1"/>
  <c r="F83" i="1"/>
  <c r="F74" i="1"/>
  <c r="F213" i="1"/>
  <c r="F85" i="1"/>
  <c r="F363" i="1"/>
  <c r="F353" i="1"/>
  <c r="F322" i="1"/>
  <c r="F313" i="1"/>
  <c r="F303" i="1"/>
  <c r="F153" i="1"/>
  <c r="F63" i="1"/>
  <c r="F43" i="1"/>
  <c r="F23" i="1"/>
  <c r="F14" i="1"/>
  <c r="F358" i="1"/>
  <c r="F282" i="1"/>
  <c r="F262" i="1"/>
  <c r="F223" i="1"/>
  <c r="F192" i="1"/>
  <c r="D162" i="1"/>
  <c r="F162" i="1" s="1"/>
  <c r="F143" i="1"/>
  <c r="F82" i="1"/>
  <c r="F73" i="1"/>
  <c r="F349" i="1"/>
  <c r="F352" i="1"/>
  <c r="F332" i="1"/>
  <c r="F321" i="1"/>
  <c r="F312" i="1"/>
  <c r="F302" i="1"/>
  <c r="F252" i="1"/>
  <c r="F231" i="1"/>
  <c r="F211" i="1"/>
  <c r="F202" i="1"/>
  <c r="F112" i="1"/>
  <c r="F62" i="1"/>
  <c r="F32" i="1"/>
  <c r="F22" i="1"/>
  <c r="F341" i="1"/>
  <c r="F181" i="1"/>
  <c r="F291" i="1"/>
  <c r="F281" i="1"/>
  <c r="F241" i="1"/>
  <c r="F222" i="1"/>
  <c r="F191" i="1"/>
  <c r="D180" i="1"/>
  <c r="F180" i="1" s="1"/>
  <c r="F171" i="1"/>
  <c r="F151" i="1"/>
  <c r="F142" i="1"/>
  <c r="F81" i="1"/>
  <c r="F325" i="1"/>
  <c r="F53" i="1"/>
  <c r="F351" i="1"/>
  <c r="F320" i="1"/>
  <c r="F271" i="1"/>
  <c r="F210" i="1"/>
  <c r="F201" i="1"/>
  <c r="F120" i="1"/>
  <c r="F100" i="1"/>
  <c r="F91" i="1"/>
  <c r="F31" i="1"/>
  <c r="F359" i="1"/>
  <c r="F339" i="1"/>
  <c r="F330" i="1"/>
  <c r="F240" i="1"/>
  <c r="F190" i="1"/>
  <c r="F170" i="1"/>
  <c r="F160" i="1"/>
  <c r="F150" i="1"/>
  <c r="F80" i="1"/>
  <c r="F60" i="1"/>
  <c r="F40" i="1"/>
  <c r="F309" i="1"/>
  <c r="F165" i="1"/>
  <c r="F347" i="1"/>
  <c r="F350" i="1"/>
  <c r="F319" i="1"/>
  <c r="F299" i="1"/>
  <c r="F279" i="1"/>
  <c r="F270" i="1"/>
  <c r="F209" i="1"/>
  <c r="F119" i="1"/>
  <c r="F99" i="1"/>
  <c r="F90" i="1"/>
  <c r="F49" i="1"/>
  <c r="F30" i="1"/>
  <c r="F307" i="1"/>
  <c r="F37" i="1"/>
  <c r="F338" i="1"/>
  <c r="F329" i="1"/>
  <c r="F248" i="1"/>
  <c r="F228" i="1"/>
  <c r="F219" i="1"/>
  <c r="F159" i="1"/>
  <c r="F129" i="1"/>
  <c r="F79" i="1"/>
  <c r="F39" i="1"/>
  <c r="F8" i="1"/>
  <c r="F293" i="1"/>
  <c r="D337" i="1"/>
  <c r="F337" i="1" s="1"/>
  <c r="F318" i="1"/>
  <c r="F298" i="1"/>
  <c r="F288" i="1"/>
  <c r="F278" i="1"/>
  <c r="D247" i="1"/>
  <c r="F247" i="1" s="1"/>
  <c r="D227" i="1"/>
  <c r="F227" i="1" s="1"/>
  <c r="D218" i="1"/>
  <c r="F218" i="1" s="1"/>
  <c r="F208" i="1"/>
  <c r="F188" i="1"/>
  <c r="D177" i="1"/>
  <c r="F177" i="1" s="1"/>
  <c r="F168" i="1"/>
  <c r="D158" i="1"/>
  <c r="F158" i="1" s="1"/>
  <c r="D137" i="1"/>
  <c r="F137" i="1" s="1"/>
  <c r="F108" i="1"/>
  <c r="D78" i="1"/>
  <c r="F78" i="1" s="1"/>
  <c r="F48" i="1"/>
  <c r="F149" i="1"/>
  <c r="F183" i="1"/>
  <c r="D348" i="1"/>
  <c r="F348" i="1" s="1"/>
  <c r="D331" i="1"/>
  <c r="F331" i="1" s="1"/>
  <c r="D314" i="1"/>
  <c r="F314" i="1" s="1"/>
  <c r="D297" i="1"/>
  <c r="F297" i="1" s="1"/>
  <c r="D280" i="1"/>
  <c r="F280" i="1" s="1"/>
  <c r="D263" i="1"/>
  <c r="F263" i="1" s="1"/>
  <c r="D246" i="1"/>
  <c r="F246" i="1" s="1"/>
  <c r="D220" i="1"/>
  <c r="F220" i="1" s="1"/>
  <c r="D203" i="1"/>
  <c r="F203" i="1" s="1"/>
  <c r="D186" i="1"/>
  <c r="F186" i="1" s="1"/>
  <c r="D169" i="1"/>
  <c r="F169" i="1" s="1"/>
  <c r="D152" i="1"/>
  <c r="F152" i="1" s="1"/>
  <c r="D135" i="1"/>
  <c r="F135" i="1" s="1"/>
  <c r="D118" i="1"/>
  <c r="F118" i="1" s="1"/>
  <c r="D92" i="1"/>
  <c r="F92" i="1" s="1"/>
  <c r="D75" i="1"/>
  <c r="F75" i="1" s="1"/>
  <c r="D58" i="1"/>
  <c r="F58" i="1" s="1"/>
  <c r="D41" i="1"/>
  <c r="F41" i="1" s="1"/>
  <c r="D24" i="1"/>
  <c r="F24" i="1" s="1"/>
  <c r="F326" i="1"/>
  <c r="F310" i="1"/>
  <c r="F294" i="1"/>
  <c r="F182" i="1"/>
  <c r="F166" i="1"/>
  <c r="F38" i="1"/>
  <c r="F357" i="1"/>
  <c r="F261" i="1"/>
  <c r="F245" i="1"/>
  <c r="F229" i="1"/>
  <c r="F133" i="1"/>
  <c r="F117" i="1"/>
  <c r="F101" i="1"/>
  <c r="F5" i="1"/>
  <c r="F340" i="1"/>
  <c r="F212" i="1"/>
  <c r="F84" i="1"/>
  <c r="D1" i="1"/>
  <c r="F1" i="1" s="1"/>
  <c r="F323" i="1"/>
  <c r="F195" i="1"/>
  <c r="F67" i="1"/>
  <c r="F3" i="1"/>
  <c r="F306" i="1"/>
  <c r="F178" i="1"/>
  <c r="F50" i="1"/>
  <c r="F2" i="1"/>
  <c r="F289" i="1"/>
  <c r="F161" i="1"/>
  <c r="F33" i="1"/>
  <c r="D362" i="1"/>
  <c r="F362" i="1" s="1"/>
  <c r="D345" i="1"/>
  <c r="F345" i="1" s="1"/>
  <c r="D328" i="1"/>
  <c r="F328" i="1" s="1"/>
  <c r="D311" i="1"/>
  <c r="F311" i="1" s="1"/>
  <c r="D268" i="1"/>
  <c r="F268" i="1" s="1"/>
  <c r="D251" i="1"/>
  <c r="F251" i="1" s="1"/>
  <c r="D234" i="1"/>
  <c r="F234" i="1" s="1"/>
  <c r="D217" i="1"/>
  <c r="F217" i="1" s="1"/>
  <c r="D200" i="1"/>
  <c r="F200" i="1" s="1"/>
  <c r="D183" i="1"/>
  <c r="D140" i="1"/>
  <c r="F140" i="1" s="1"/>
  <c r="D123" i="1"/>
  <c r="F123" i="1" s="1"/>
  <c r="D106" i="1"/>
  <c r="F106" i="1" s="1"/>
  <c r="D89" i="1"/>
  <c r="F89" i="1" s="1"/>
  <c r="D72" i="1"/>
  <c r="F72" i="1" s="1"/>
  <c r="D55" i="1"/>
  <c r="F55" i="1" s="1"/>
  <c r="D12" i="1"/>
  <c r="F12" i="1" s="1"/>
  <c r="F272" i="1"/>
  <c r="F144" i="1"/>
  <c r="F16" i="1"/>
  <c r="F255" i="1"/>
  <c r="F127" i="1"/>
  <c r="D361" i="1"/>
  <c r="F361" i="1" s="1"/>
  <c r="D344" i="1"/>
  <c r="F344" i="1" s="1"/>
  <c r="D327" i="1"/>
  <c r="F327" i="1" s="1"/>
  <c r="D284" i="1"/>
  <c r="F284" i="1" s="1"/>
  <c r="D267" i="1"/>
  <c r="F267" i="1" s="1"/>
  <c r="D250" i="1"/>
  <c r="F250" i="1" s="1"/>
  <c r="D233" i="1"/>
  <c r="F233" i="1" s="1"/>
  <c r="D216" i="1"/>
  <c r="F216" i="1" s="1"/>
  <c r="D199" i="1"/>
  <c r="F199" i="1" s="1"/>
  <c r="D156" i="1"/>
  <c r="F156" i="1" s="1"/>
  <c r="D139" i="1"/>
  <c r="F139" i="1" s="1"/>
  <c r="D122" i="1"/>
  <c r="F122" i="1" s="1"/>
  <c r="D105" i="1"/>
  <c r="F105" i="1" s="1"/>
  <c r="D88" i="1"/>
  <c r="F88" i="1" s="1"/>
  <c r="D71" i="1"/>
  <c r="F71" i="1" s="1"/>
  <c r="D28" i="1"/>
  <c r="F28" i="1" s="1"/>
  <c r="D11" i="1"/>
  <c r="F11" i="1" s="1"/>
  <c r="F238" i="1"/>
  <c r="F110" i="1"/>
  <c r="F333" i="1"/>
  <c r="F317" i="1"/>
  <c r="F301" i="1"/>
  <c r="F285" i="1"/>
  <c r="F269" i="1"/>
  <c r="F253" i="1"/>
  <c r="F237" i="1"/>
  <c r="F205" i="1"/>
  <c r="F189" i="1"/>
  <c r="F173" i="1"/>
  <c r="F157" i="1"/>
  <c r="F141" i="1"/>
  <c r="F125" i="1"/>
  <c r="F109" i="1"/>
  <c r="F77" i="1"/>
  <c r="F61" i="1"/>
  <c r="F45" i="1"/>
  <c r="F29" i="1"/>
  <c r="F13" i="1"/>
  <c r="D360" i="1"/>
  <c r="F360" i="1" s="1"/>
  <c r="D343" i="1"/>
  <c r="F343" i="1" s="1"/>
  <c r="D300" i="1"/>
  <c r="F300" i="1" s="1"/>
  <c r="D283" i="1"/>
  <c r="F283" i="1" s="1"/>
  <c r="D266" i="1"/>
  <c r="F266" i="1" s="1"/>
  <c r="D249" i="1"/>
  <c r="F249" i="1" s="1"/>
  <c r="D232" i="1"/>
  <c r="F232" i="1" s="1"/>
  <c r="D215" i="1"/>
  <c r="F215" i="1" s="1"/>
  <c r="D172" i="1"/>
  <c r="F172" i="1" s="1"/>
  <c r="D155" i="1"/>
  <c r="F155" i="1" s="1"/>
  <c r="D138" i="1"/>
  <c r="F138" i="1" s="1"/>
  <c r="D121" i="1"/>
  <c r="F121" i="1" s="1"/>
  <c r="D104" i="1"/>
  <c r="F104" i="1" s="1"/>
  <c r="D87" i="1"/>
  <c r="F87" i="1" s="1"/>
  <c r="D44" i="1"/>
  <c r="F44" i="1" s="1"/>
  <c r="D27" i="1"/>
  <c r="F27" i="1" s="1"/>
  <c r="D10" i="1"/>
  <c r="F10" i="1" s="1"/>
  <c r="F9" i="1"/>
  <c r="D7" i="1"/>
  <c r="F7" i="1" s="1"/>
  <c r="N2" i="4"/>
  <c r="N3" i="4"/>
  <c r="N4" i="4"/>
  <c r="N5" i="4"/>
  <c r="N6" i="4"/>
  <c r="N7" i="4"/>
  <c r="N8" i="4"/>
  <c r="N9" i="4"/>
  <c r="N10" i="4"/>
  <c r="N11" i="4"/>
  <c r="N12" i="4"/>
  <c r="N13" i="4"/>
  <c r="O13" i="4" s="1"/>
  <c r="N14" i="4"/>
  <c r="O14" i="4" s="1"/>
  <c r="N15" i="4"/>
  <c r="O15" i="4" s="1"/>
  <c r="N16" i="4"/>
  <c r="N17" i="4"/>
  <c r="O17" i="4" s="1"/>
  <c r="N18" i="4"/>
  <c r="N19" i="4"/>
  <c r="N20" i="4"/>
  <c r="N21" i="4"/>
  <c r="O21" i="4" s="1"/>
  <c r="N22" i="4"/>
  <c r="N23" i="4"/>
  <c r="N24" i="4"/>
  <c r="N25" i="4"/>
  <c r="N26" i="4"/>
  <c r="N27" i="4"/>
  <c r="N28" i="4"/>
  <c r="N29" i="4"/>
  <c r="N30" i="4"/>
  <c r="N31" i="4"/>
  <c r="O31" i="4" s="1"/>
  <c r="N32" i="4"/>
  <c r="O32" i="4" s="1"/>
  <c r="N33" i="4"/>
  <c r="N34" i="4"/>
  <c r="N35" i="4"/>
  <c r="N36" i="4"/>
  <c r="N37" i="4"/>
  <c r="N38" i="4"/>
  <c r="N39" i="4"/>
  <c r="O39" i="4" s="1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O69" i="4" s="1"/>
  <c r="N70" i="4"/>
  <c r="O70" i="4" s="1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O86" i="4" s="1"/>
  <c r="N87" i="4"/>
  <c r="O87" i="4" s="1"/>
  <c r="N88" i="4"/>
  <c r="O88" i="4" s="1"/>
  <c r="N89" i="4"/>
  <c r="N90" i="4"/>
  <c r="N91" i="4"/>
  <c r="N92" i="4"/>
  <c r="O92" i="4" s="1"/>
  <c r="N93" i="4"/>
  <c r="N94" i="4"/>
  <c r="O94" i="4" s="1"/>
  <c r="N95" i="4"/>
  <c r="N96" i="4"/>
  <c r="N97" i="4"/>
  <c r="O97" i="4" s="1"/>
  <c r="N98" i="4"/>
  <c r="N99" i="4"/>
  <c r="N100" i="4"/>
  <c r="N101" i="4"/>
  <c r="N102" i="4"/>
  <c r="N103" i="4"/>
  <c r="N104" i="4"/>
  <c r="O104" i="4" s="1"/>
  <c r="N105" i="4"/>
  <c r="N106" i="4"/>
  <c r="N107" i="4"/>
  <c r="N108" i="4"/>
  <c r="O108" i="4" s="1"/>
  <c r="N109" i="4"/>
  <c r="N110" i="4"/>
  <c r="N111" i="4"/>
  <c r="N112" i="4"/>
  <c r="O112" i="4" s="1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O125" i="4" s="1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O141" i="4" s="1"/>
  <c r="N142" i="4"/>
  <c r="O142" i="4" s="1"/>
  <c r="N143" i="4"/>
  <c r="O143" i="4" s="1"/>
  <c r="N144" i="4"/>
  <c r="N145" i="4"/>
  <c r="O145" i="4" s="1"/>
  <c r="N146" i="4"/>
  <c r="N147" i="4"/>
  <c r="N148" i="4"/>
  <c r="N149" i="4"/>
  <c r="O149" i="4" s="1"/>
  <c r="N150" i="4"/>
  <c r="N151" i="4"/>
  <c r="N152" i="4"/>
  <c r="N153" i="4"/>
  <c r="N154" i="4"/>
  <c r="N155" i="4"/>
  <c r="N156" i="4"/>
  <c r="N157" i="4"/>
  <c r="N158" i="4"/>
  <c r="N159" i="4"/>
  <c r="O159" i="4" s="1"/>
  <c r="N160" i="4"/>
  <c r="O160" i="4" s="1"/>
  <c r="N161" i="4"/>
  <c r="O161" i="4" s="1"/>
  <c r="N162" i="4"/>
  <c r="N163" i="4"/>
  <c r="N164" i="4"/>
  <c r="N165" i="4"/>
  <c r="N166" i="4"/>
  <c r="N167" i="4"/>
  <c r="O167" i="4" s="1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O197" i="4" s="1"/>
  <c r="N198" i="4"/>
  <c r="O198" i="4" s="1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O214" i="4" s="1"/>
  <c r="N215" i="4"/>
  <c r="O215" i="4" s="1"/>
  <c r="N216" i="4"/>
  <c r="O216" i="4" s="1"/>
  <c r="N217" i="4"/>
  <c r="N218" i="4"/>
  <c r="N219" i="4"/>
  <c r="N220" i="4"/>
  <c r="O220" i="4" s="1"/>
  <c r="N221" i="4"/>
  <c r="N222" i="4"/>
  <c r="O222" i="4" s="1"/>
  <c r="N223" i="4"/>
  <c r="N224" i="4"/>
  <c r="N225" i="4"/>
  <c r="O225" i="4" s="1"/>
  <c r="N226" i="4"/>
  <c r="N227" i="4"/>
  <c r="N228" i="4"/>
  <c r="N229" i="4"/>
  <c r="N230" i="4"/>
  <c r="N231" i="4"/>
  <c r="N232" i="4"/>
  <c r="O232" i="4" s="1"/>
  <c r="N233" i="4"/>
  <c r="N234" i="4"/>
  <c r="N235" i="4"/>
  <c r="N236" i="4"/>
  <c r="O236" i="4" s="1"/>
  <c r="N237" i="4"/>
  <c r="N238" i="4"/>
  <c r="N239" i="4"/>
  <c r="N240" i="4"/>
  <c r="O240" i="4" s="1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O253" i="4" s="1"/>
  <c r="N254" i="4"/>
  <c r="N255" i="4"/>
  <c r="N256" i="4"/>
  <c r="N257" i="4"/>
  <c r="N258" i="4"/>
  <c r="N259" i="4"/>
  <c r="N260" i="4"/>
  <c r="N261" i="4"/>
  <c r="N262" i="4"/>
  <c r="N263" i="4"/>
  <c r="O12" i="4"/>
  <c r="O28" i="4"/>
  <c r="O33" i="4"/>
  <c r="O44" i="4"/>
  <c r="O49" i="4"/>
  <c r="O60" i="4"/>
  <c r="O65" i="4"/>
  <c r="O76" i="4"/>
  <c r="O81" i="4"/>
  <c r="O113" i="4"/>
  <c r="O124" i="4"/>
  <c r="O129" i="4"/>
  <c r="O140" i="4"/>
  <c r="O156" i="4"/>
  <c r="O172" i="4"/>
  <c r="O177" i="4"/>
  <c r="O188" i="4"/>
  <c r="O193" i="4"/>
  <c r="O204" i="4"/>
  <c r="O209" i="4"/>
  <c r="O241" i="4"/>
  <c r="O252" i="4"/>
  <c r="O257" i="4"/>
  <c r="O2" i="4"/>
  <c r="O3" i="4"/>
  <c r="O4" i="4"/>
  <c r="O5" i="4"/>
  <c r="O6" i="4"/>
  <c r="O7" i="4"/>
  <c r="O8" i="4"/>
  <c r="O9" i="4"/>
  <c r="O10" i="4"/>
  <c r="O11" i="4"/>
  <c r="O16" i="4"/>
  <c r="O18" i="4"/>
  <c r="O19" i="4"/>
  <c r="O20" i="4"/>
  <c r="O22" i="4"/>
  <c r="O23" i="4"/>
  <c r="O24" i="4"/>
  <c r="O25" i="4"/>
  <c r="O26" i="4"/>
  <c r="O27" i="4"/>
  <c r="O29" i="4"/>
  <c r="O30" i="4"/>
  <c r="O34" i="4"/>
  <c r="O35" i="4"/>
  <c r="O36" i="4"/>
  <c r="O37" i="4"/>
  <c r="O38" i="4"/>
  <c r="O40" i="4"/>
  <c r="O41" i="4"/>
  <c r="O42" i="4"/>
  <c r="O43" i="4"/>
  <c r="O45" i="4"/>
  <c r="O46" i="4"/>
  <c r="O47" i="4"/>
  <c r="O48" i="4"/>
  <c r="O50" i="4"/>
  <c r="O51" i="4"/>
  <c r="O52" i="4"/>
  <c r="O53" i="4"/>
  <c r="O54" i="4"/>
  <c r="O55" i="4"/>
  <c r="O56" i="4"/>
  <c r="O57" i="4"/>
  <c r="O58" i="4"/>
  <c r="O59" i="4"/>
  <c r="O61" i="4"/>
  <c r="O62" i="4"/>
  <c r="O63" i="4"/>
  <c r="O64" i="4"/>
  <c r="O66" i="4"/>
  <c r="O67" i="4"/>
  <c r="O68" i="4"/>
  <c r="O71" i="4"/>
  <c r="O72" i="4"/>
  <c r="O73" i="4"/>
  <c r="O74" i="4"/>
  <c r="O75" i="4"/>
  <c r="O77" i="4"/>
  <c r="O78" i="4"/>
  <c r="O79" i="4"/>
  <c r="O80" i="4"/>
  <c r="O82" i="4"/>
  <c r="O83" i="4"/>
  <c r="O84" i="4"/>
  <c r="O85" i="4"/>
  <c r="O89" i="4"/>
  <c r="O90" i="4"/>
  <c r="O91" i="4"/>
  <c r="O93" i="4"/>
  <c r="O95" i="4"/>
  <c r="O96" i="4"/>
  <c r="O98" i="4"/>
  <c r="O99" i="4"/>
  <c r="O100" i="4"/>
  <c r="O101" i="4"/>
  <c r="O102" i="4"/>
  <c r="O103" i="4"/>
  <c r="O105" i="4"/>
  <c r="O106" i="4"/>
  <c r="O107" i="4"/>
  <c r="O109" i="4"/>
  <c r="O110" i="4"/>
  <c r="O111" i="4"/>
  <c r="O114" i="4"/>
  <c r="O115" i="4"/>
  <c r="O116" i="4"/>
  <c r="O117" i="4"/>
  <c r="O118" i="4"/>
  <c r="O119" i="4"/>
  <c r="O120" i="4"/>
  <c r="O121" i="4"/>
  <c r="O122" i="4"/>
  <c r="O123" i="4"/>
  <c r="O126" i="4"/>
  <c r="O127" i="4"/>
  <c r="O128" i="4"/>
  <c r="O130" i="4"/>
  <c r="O131" i="4"/>
  <c r="O132" i="4"/>
  <c r="O133" i="4"/>
  <c r="O134" i="4"/>
  <c r="O135" i="4"/>
  <c r="O136" i="4"/>
  <c r="O137" i="4"/>
  <c r="O138" i="4"/>
  <c r="O139" i="4"/>
  <c r="O144" i="4"/>
  <c r="O146" i="4"/>
  <c r="O147" i="4"/>
  <c r="O148" i="4"/>
  <c r="O150" i="4"/>
  <c r="O151" i="4"/>
  <c r="O152" i="4"/>
  <c r="O153" i="4"/>
  <c r="O154" i="4"/>
  <c r="O155" i="4"/>
  <c r="O157" i="4"/>
  <c r="O158" i="4"/>
  <c r="O162" i="4"/>
  <c r="O163" i="4"/>
  <c r="O164" i="4"/>
  <c r="O165" i="4"/>
  <c r="O166" i="4"/>
  <c r="O168" i="4"/>
  <c r="O169" i="4"/>
  <c r="O170" i="4"/>
  <c r="O171" i="4"/>
  <c r="O173" i="4"/>
  <c r="O174" i="4"/>
  <c r="O175" i="4"/>
  <c r="O176" i="4"/>
  <c r="O178" i="4"/>
  <c r="O179" i="4"/>
  <c r="O180" i="4"/>
  <c r="O181" i="4"/>
  <c r="O182" i="4"/>
  <c r="O183" i="4"/>
  <c r="O184" i="4"/>
  <c r="O185" i="4"/>
  <c r="O186" i="4"/>
  <c r="O187" i="4"/>
  <c r="O189" i="4"/>
  <c r="O190" i="4"/>
  <c r="O191" i="4"/>
  <c r="O192" i="4"/>
  <c r="O194" i="4"/>
  <c r="O195" i="4"/>
  <c r="O196" i="4"/>
  <c r="O199" i="4"/>
  <c r="O200" i="4"/>
  <c r="O201" i="4"/>
  <c r="O202" i="4"/>
  <c r="O203" i="4"/>
  <c r="O205" i="4"/>
  <c r="O206" i="4"/>
  <c r="O207" i="4"/>
  <c r="O208" i="4"/>
  <c r="O210" i="4"/>
  <c r="O211" i="4"/>
  <c r="O212" i="4"/>
  <c r="O213" i="4"/>
  <c r="O217" i="4"/>
  <c r="O218" i="4"/>
  <c r="O219" i="4"/>
  <c r="O221" i="4"/>
  <c r="O223" i="4"/>
  <c r="O224" i="4"/>
  <c r="O226" i="4"/>
  <c r="O227" i="4"/>
  <c r="O228" i="4"/>
  <c r="O229" i="4"/>
  <c r="O230" i="4"/>
  <c r="O231" i="4"/>
  <c r="O233" i="4"/>
  <c r="O234" i="4"/>
  <c r="O235" i="4"/>
  <c r="O237" i="4"/>
  <c r="O238" i="4"/>
  <c r="O239" i="4"/>
  <c r="O242" i="4"/>
  <c r="O243" i="4"/>
  <c r="O244" i="4"/>
  <c r="O245" i="4"/>
  <c r="O246" i="4"/>
  <c r="O247" i="4"/>
  <c r="O248" i="4"/>
  <c r="O249" i="4"/>
  <c r="O250" i="4"/>
  <c r="O251" i="4"/>
  <c r="O254" i="4"/>
  <c r="O255" i="4"/>
  <c r="O256" i="4"/>
  <c r="O258" i="4"/>
  <c r="O259" i="4"/>
  <c r="O260" i="4"/>
  <c r="O261" i="4"/>
  <c r="O262" i="4"/>
  <c r="O263" i="4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C307" i="6" l="1"/>
  <c r="C308" i="6"/>
  <c r="C309" i="6"/>
  <c r="C310" i="6"/>
  <c r="C311" i="6"/>
  <c r="C312" i="6"/>
  <c r="C313" i="6"/>
  <c r="C314" i="6"/>
  <c r="C303" i="6"/>
  <c r="C304" i="6"/>
  <c r="C305" i="6"/>
  <c r="C306" i="6"/>
  <c r="C301" i="6"/>
  <c r="C302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199" i="6"/>
  <c r="C200" i="6"/>
  <c r="C201" i="6"/>
  <c r="C202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" i="6"/>
</calcChain>
</file>

<file path=xl/sharedStrings.xml><?xml version="1.0" encoding="utf-8"?>
<sst xmlns="http://schemas.openxmlformats.org/spreadsheetml/2006/main" count="4200" uniqueCount="1175">
  <si>
    <t xml:space="preserve"> Swift White Steed</t>
  </si>
  <si>
    <t>ItemID</t>
  </si>
  <si>
    <t>SpellID</t>
  </si>
  <si>
    <t>Speed</t>
  </si>
  <si>
    <t>Albino Drake</t>
  </si>
  <si>
    <t>Argent Hippogryph</t>
  </si>
  <si>
    <t>Armored Blue Wind Rider</t>
  </si>
  <si>
    <t>Armored Snowy Gryphon</t>
  </si>
  <si>
    <t>Ashes of Al'ar</t>
  </si>
  <si>
    <t>Azure Drake</t>
  </si>
  <si>
    <t>Azure Netherwing Drake</t>
  </si>
  <si>
    <t>Black Dragonhawk Mount</t>
  </si>
  <si>
    <t>Black Drake</t>
  </si>
  <si>
    <t>Black Proto-Drake</t>
  </si>
  <si>
    <t>Bloodbathed Frostbrood Vanquisher</t>
  </si>
  <si>
    <t>Blue Dragonhawk</t>
  </si>
  <si>
    <t>Blue Drake</t>
  </si>
  <si>
    <t>Blue Proto-Drake</t>
  </si>
  <si>
    <t>Blue Riding Nether Ray</t>
  </si>
  <si>
    <t>Blue Wind Rider</t>
  </si>
  <si>
    <t>Bronze Drake</t>
  </si>
  <si>
    <t>Brutal Nether Drake</t>
  </si>
  <si>
    <t>Cenarion War Hippogryph</t>
  </si>
  <si>
    <t>Cobalt Netherwing Drake</t>
  </si>
  <si>
    <t>Deadly Gladiator's Frost Wyrm</t>
  </si>
  <si>
    <t>Ebon Gryphon</t>
  </si>
  <si>
    <t>Flying Carpet</t>
  </si>
  <si>
    <t>Flying Machine</t>
  </si>
  <si>
    <t>Frost Wyrm</t>
  </si>
  <si>
    <t>Frost Wyrm Mount</t>
  </si>
  <si>
    <t>Frosty Flying Carpet</t>
  </si>
  <si>
    <t>Furious Gladiator's Frost Wyrm</t>
  </si>
  <si>
    <t>Golden Gryphon</t>
  </si>
  <si>
    <t>Green Proto-Drake</t>
  </si>
  <si>
    <t>Green Riding Nether Ray</t>
  </si>
  <si>
    <t>Green Wind Rider</t>
  </si>
  <si>
    <t>Icebound Frostbrood Vanquisher</t>
  </si>
  <si>
    <t>Ironbound Proto-Drake</t>
  </si>
  <si>
    <t>Magnificent Flying Carpet</t>
  </si>
  <si>
    <t>Merciless Nether Drake</t>
  </si>
  <si>
    <t>Mimiron's Head</t>
  </si>
  <si>
    <t>Nether Drake</t>
  </si>
  <si>
    <t>Onyx Netherwing Drake</t>
  </si>
  <si>
    <t>Onyxian Drake</t>
  </si>
  <si>
    <t>Peep the Phoenix Mount</t>
  </si>
  <si>
    <t>Plagued Proto-Drake</t>
  </si>
  <si>
    <t>Purple Netherwing Drake</t>
  </si>
  <si>
    <t>Purple Riding Nether Ray</t>
  </si>
  <si>
    <t>Red Dragonhawk</t>
  </si>
  <si>
    <t>Red Drake</t>
  </si>
  <si>
    <t>Red Proto-Drake</t>
  </si>
  <si>
    <t>Red Riding Nether Ray</t>
  </si>
  <si>
    <t>Relentless Gladiator's Frost Wyrm</t>
  </si>
  <si>
    <t>Rusted Proto-Drake</t>
  </si>
  <si>
    <t>Silver Covenant Hippogryph</t>
  </si>
  <si>
    <t>Silver Riding Nether Ray</t>
  </si>
  <si>
    <t>Snowy Gryphon</t>
  </si>
  <si>
    <t>Sunreaver Dragonhawk</t>
  </si>
  <si>
    <t>Swift Blue Gryphon</t>
  </si>
  <si>
    <t>Swift Green Gryphon</t>
  </si>
  <si>
    <t>Swift Green Wind Rider</t>
  </si>
  <si>
    <t>Swift Nether Drake</t>
  </si>
  <si>
    <t>Swift Purple Gryphon</t>
  </si>
  <si>
    <t>Swift Purple Wind Rider</t>
  </si>
  <si>
    <t>Swift Red Gryphon</t>
  </si>
  <si>
    <t>Swift Red Wind Rider</t>
  </si>
  <si>
    <t>Swift Yellow Wind Rider</t>
  </si>
  <si>
    <t>Tawny Wind Rider</t>
  </si>
  <si>
    <t>Time-Lost Proto-Drake</t>
  </si>
  <si>
    <t>Turbo-Charged Flying Machine</t>
  </si>
  <si>
    <t>Twilight Drake</t>
  </si>
  <si>
    <t>Vengeful Nether Drake</t>
  </si>
  <si>
    <t>Veridian Netherwing Drake</t>
  </si>
  <si>
    <t>Violet Netherwing Drake</t>
  </si>
  <si>
    <t>Violet Proto-Drake</t>
  </si>
  <si>
    <t>Wrathful Gladiator's Frost Wyrm</t>
  </si>
  <si>
    <t>X-51 Nether-Rocket</t>
  </si>
  <si>
    <t>X-51 Nether-Rocket X-TREME</t>
  </si>
  <si>
    <t>Spell ID</t>
  </si>
  <si>
    <t>Name</t>
  </si>
  <si>
    <t>Category</t>
  </si>
  <si>
    <t>Acherus Deathcharger</t>
  </si>
  <si>
    <t>Amani War Bear</t>
  </si>
  <si>
    <t>Ancient Frostsaber</t>
  </si>
  <si>
    <t>Argent Charger</t>
  </si>
  <si>
    <t>Argent Warhorse</t>
  </si>
  <si>
    <t>Armored Brown Bear</t>
  </si>
  <si>
    <t>Big Battle Bear</t>
  </si>
  <si>
    <t>Black Battlestrider</t>
  </si>
  <si>
    <t>Black Hawkstrider</t>
  </si>
  <si>
    <t>Black Nightsaber</t>
  </si>
  <si>
    <t>Black Polar Bear</t>
  </si>
  <si>
    <t>Black Qiraji Battle Tank</t>
  </si>
  <si>
    <t>Black Ram</t>
  </si>
  <si>
    <t>Black Skeletal Horse</t>
  </si>
  <si>
    <t>Black Stallion</t>
  </si>
  <si>
    <t>Black War Bear</t>
  </si>
  <si>
    <t>Black War Elekk</t>
  </si>
  <si>
    <t>Black War Kodo</t>
  </si>
  <si>
    <t>Black War Mammoth</t>
  </si>
  <si>
    <t>Black War Ram</t>
  </si>
  <si>
    <t>Black War Raptor</t>
  </si>
  <si>
    <t>Black War Steed</t>
  </si>
  <si>
    <t>Black War Tiger</t>
  </si>
  <si>
    <t>Black War Wolf</t>
  </si>
  <si>
    <t>Black Wolf</t>
  </si>
  <si>
    <t>Blue Hawkstrider</t>
  </si>
  <si>
    <t>Blue Mechanostrider</t>
  </si>
  <si>
    <t>Blue Qiraji Battle Tank</t>
  </si>
  <si>
    <t>Blue Ram</t>
  </si>
  <si>
    <t>Blue Skeletal Horse</t>
  </si>
  <si>
    <t>Blue Skeletal Warhorse</t>
  </si>
  <si>
    <t>Brewfest Kodo</t>
  </si>
  <si>
    <t>Brewfest Ram</t>
  </si>
  <si>
    <t>Brewfest Riding Kodo</t>
  </si>
  <si>
    <t>Brown Elekk</t>
  </si>
  <si>
    <t>Brown Horse</t>
  </si>
  <si>
    <t>Brown Kodo</t>
  </si>
  <si>
    <t>Brown Polar Bear</t>
  </si>
  <si>
    <t>Brown Ram</t>
  </si>
  <si>
    <t>Brown Skeletal Horse</t>
  </si>
  <si>
    <t>Brown Wolf</t>
  </si>
  <si>
    <t>Charger</t>
  </si>
  <si>
    <t>Chestnut Mare</t>
  </si>
  <si>
    <t>Cobalt Riding Talbuk</t>
  </si>
  <si>
    <t>Cobalt War Talbuk</t>
  </si>
  <si>
    <t>Crimson Deathcharger</t>
  </si>
  <si>
    <t>Crusader's Black Warhorse</t>
  </si>
  <si>
    <t>Crusader's White Warhorse</t>
  </si>
  <si>
    <t>Dark Riding Talbuk</t>
  </si>
  <si>
    <t>Dark War Talbuk</t>
  </si>
  <si>
    <t>Darkspear Raptor</t>
  </si>
  <si>
    <t>Darnassian Nightsaber</t>
  </si>
  <si>
    <t>Dire Wolf</t>
  </si>
  <si>
    <t>Dreadsteed</t>
  </si>
  <si>
    <t>Emerald Raptor</t>
  </si>
  <si>
    <t>Exodar Elekk</t>
  </si>
  <si>
    <t>Felsteed</t>
  </si>
  <si>
    <t>Fiery Warhorse</t>
  </si>
  <si>
    <t>Fluorescent Green Mechanostrider</t>
  </si>
  <si>
    <t>Forsaken Warhorse</t>
  </si>
  <si>
    <t>Frost Ram</t>
  </si>
  <si>
    <t>Frostwolf Howler</t>
  </si>
  <si>
    <t>Gnomeregan Mechanostrider</t>
  </si>
  <si>
    <t>Golden Sabercat</t>
  </si>
  <si>
    <t>Grand Black War Mammoth</t>
  </si>
  <si>
    <t>Grand Caravan Mammoth</t>
  </si>
  <si>
    <t>Grand Ice Mammoth</t>
  </si>
  <si>
    <t>Gray Elekk</t>
  </si>
  <si>
    <t>Gray Kodo</t>
  </si>
  <si>
    <t>Gray Ram</t>
  </si>
  <si>
    <t>Gray Wolf</t>
  </si>
  <si>
    <t>Great Blue Elekk</t>
  </si>
  <si>
    <t>Great Brewfest Kodo</t>
  </si>
  <si>
    <t>Great Brown Kodo</t>
  </si>
  <si>
    <t>Great Elite Elekk</t>
  </si>
  <si>
    <t>Great Golden Kodo</t>
  </si>
  <si>
    <t>Great Gray Kodo</t>
  </si>
  <si>
    <t>Great Green Elekk</t>
  </si>
  <si>
    <t>Great Purple Elekk</t>
  </si>
  <si>
    <t>Great Red Elekk</t>
  </si>
  <si>
    <t>Great White Kodo</t>
  </si>
  <si>
    <t>Green Kodo</t>
  </si>
  <si>
    <t>Green Mechanostrider</t>
  </si>
  <si>
    <t>Green Qiraji Battle Tank</t>
  </si>
  <si>
    <t>Green Skeletal Warhorse</t>
  </si>
  <si>
    <t>Ice Mammoth</t>
  </si>
  <si>
    <t>Icy Blue Mechanostrider Mod A</t>
  </si>
  <si>
    <t>Ironforge Ram</t>
  </si>
  <si>
    <t>Ivory Raptor</t>
  </si>
  <si>
    <t>Magic Rooster</t>
  </si>
  <si>
    <t>Mechano-hog</t>
  </si>
  <si>
    <t>Mekgineer's Chopper</t>
  </si>
  <si>
    <t>Mottled Red Raptor</t>
  </si>
  <si>
    <t>Naxxramas Deathcharger</t>
  </si>
  <si>
    <t>Obsidian Raptor</t>
  </si>
  <si>
    <t>Ochre Skeletal Warhorse</t>
  </si>
  <si>
    <t>Orgrimmar Wolf</t>
  </si>
  <si>
    <t>Palamino</t>
  </si>
  <si>
    <t>Palomino</t>
  </si>
  <si>
    <t>Pinto</t>
  </si>
  <si>
    <t>Primal Leopard</t>
  </si>
  <si>
    <t>Purple Elekk</t>
  </si>
  <si>
    <t>Purple Hawkstrider</t>
  </si>
  <si>
    <t>Purple Mechanostrider</t>
  </si>
  <si>
    <t>Purple Skeletal Warhorse</t>
  </si>
  <si>
    <t>Quel'dorei Steed</t>
  </si>
  <si>
    <t>Raven Lord</t>
  </si>
  <si>
    <t>Red and Blue Mechanostrider</t>
  </si>
  <si>
    <t>Red Hawkstrider</t>
  </si>
  <si>
    <t>Red Mechanostrider</t>
  </si>
  <si>
    <t>Red Qiraji Battle Tank</t>
  </si>
  <si>
    <t>Red Skeletal Horse</t>
  </si>
  <si>
    <t>Red Skeletal Warhorse</t>
  </si>
  <si>
    <t>Red Wolf</t>
  </si>
  <si>
    <t>Riding Kodo</t>
  </si>
  <si>
    <t>Rivendare's Deathcharger</t>
  </si>
  <si>
    <t>Silver Riding Talbuk</t>
  </si>
  <si>
    <t>Silver War Talbuk</t>
  </si>
  <si>
    <t>Silvermoon Hawkstrider</t>
  </si>
  <si>
    <t>Skeletal Horse</t>
  </si>
  <si>
    <t>Spectral Tiger</t>
  </si>
  <si>
    <t>Spotted Frostsaber</t>
  </si>
  <si>
    <t>Steel Mechanostrider</t>
  </si>
  <si>
    <t>Stormpike Battle Charger</t>
  </si>
  <si>
    <t>Stormwind Steed</t>
  </si>
  <si>
    <t>Striped Dawnsaber</t>
  </si>
  <si>
    <t>Striped Frostsaber</t>
  </si>
  <si>
    <t>Striped Nightsaber</t>
  </si>
  <si>
    <t>Summon Charger</t>
  </si>
  <si>
    <t>Summon Warhorse</t>
  </si>
  <si>
    <t>Sunreaver Hawkstrider</t>
  </si>
  <si>
    <t>Swift Alliance Steed</t>
  </si>
  <si>
    <t>Swift Blue Raptor</t>
  </si>
  <si>
    <t>Swift Brewfest Ram</t>
  </si>
  <si>
    <t>Swift Brown Ram</t>
  </si>
  <si>
    <t>Swift Brown Steed</t>
  </si>
  <si>
    <t>Swift Brown Wolf</t>
  </si>
  <si>
    <t>Swift Burgundy Wolf</t>
  </si>
  <si>
    <t>Swift Dawnsaber</t>
  </si>
  <si>
    <t>Swift Frostsaber</t>
  </si>
  <si>
    <t>Swift Gray Ram</t>
  </si>
  <si>
    <t>Swift Gray Steed</t>
  </si>
  <si>
    <t>Swift Gray Wolf</t>
  </si>
  <si>
    <t>Swift Green Hawkstrider</t>
  </si>
  <si>
    <t>Swift Green Mechanostrider</t>
  </si>
  <si>
    <t>Swift Horde Wolf</t>
  </si>
  <si>
    <t>Swift Mistsaber</t>
  </si>
  <si>
    <t>Swift Moonsaber</t>
  </si>
  <si>
    <t>Swift Olive Raptor</t>
  </si>
  <si>
    <t>Swift Orange Raptor</t>
  </si>
  <si>
    <t>Swift Palomino</t>
  </si>
  <si>
    <t>Swift Pink Hawkstrider</t>
  </si>
  <si>
    <t>Swift Purple Hawkstrider</t>
  </si>
  <si>
    <t>Swift Purple Raptor</t>
  </si>
  <si>
    <t>Swift Razzashi Raptor</t>
  </si>
  <si>
    <t>Swift Red Hawkstrider</t>
  </si>
  <si>
    <t>Swift Spectral Tiger</t>
  </si>
  <si>
    <t>Swift Stormsaber</t>
  </si>
  <si>
    <t>Swift Timber Wolf</t>
  </si>
  <si>
    <t>Swift Violet Ram</t>
  </si>
  <si>
    <t>Swift War Elekk</t>
  </si>
  <si>
    <t>Swift Warstrider</t>
  </si>
  <si>
    <t>Swift White Hawkstrider</t>
  </si>
  <si>
    <t>Swift White Mechanostrider</t>
  </si>
  <si>
    <t>Swift White Ram</t>
  </si>
  <si>
    <t>Swift White Steed</t>
  </si>
  <si>
    <t>Swift Yellow Mechanostrider</t>
  </si>
  <si>
    <t>Swift Zhevra</t>
  </si>
  <si>
    <t>Swift Zulian Tiger</t>
  </si>
  <si>
    <t>Tan Riding Talbuk</t>
  </si>
  <si>
    <t>Tan War Talbuk</t>
  </si>
  <si>
    <t>Tawny Sabercat</t>
  </si>
  <si>
    <t>Teal Kodo</t>
  </si>
  <si>
    <t>Thunder Bluff Kodo</t>
  </si>
  <si>
    <t>Timber Wolf</t>
  </si>
  <si>
    <t>Traveler's Tundra Mammoth</t>
  </si>
  <si>
    <t>Turbostrider</t>
  </si>
  <si>
    <t>Turquoise Raptor</t>
  </si>
  <si>
    <t>Unpainted Mechanostrider</t>
  </si>
  <si>
    <t>Venomhide Ravasaur</t>
  </si>
  <si>
    <t>Violet Raptor</t>
  </si>
  <si>
    <t>Warhorse</t>
  </si>
  <si>
    <t>White Kodo</t>
  </si>
  <si>
    <t>White Mechanostrider Mod B</t>
  </si>
  <si>
    <t>White Polar Bear</t>
  </si>
  <si>
    <t>White Ram</t>
  </si>
  <si>
    <t>White Riding Talbuk</t>
  </si>
  <si>
    <t>White Skeletal Warhorse</t>
  </si>
  <si>
    <t>White Stallion</t>
  </si>
  <si>
    <t>White War Talbuk</t>
  </si>
  <si>
    <t>Winter Wolf</t>
  </si>
  <si>
    <t>Winterspring Frostsaber</t>
  </si>
  <si>
    <t>Wooly Mammoth</t>
  </si>
  <si>
    <t>Wooly White Rhino</t>
  </si>
  <si>
    <t>Yellow Qiraji Battle Tank</t>
  </si>
  <si>
    <t>Table Data</t>
  </si>
  <si>
    <t>Link</t>
  </si>
  <si>
    <t>Source</t>
  </si>
  <si>
    <t>Achievment</t>
  </si>
  <si>
    <t>ZA</t>
  </si>
  <si>
    <t>Removed</t>
  </si>
  <si>
    <t>Daily</t>
  </si>
  <si>
    <t>Champion's Seals</t>
  </si>
  <si>
    <t>Exaulted Argent Champion</t>
  </si>
  <si>
    <t>Gold</t>
  </si>
  <si>
    <t>Gold, Horde</t>
  </si>
  <si>
    <t>Gold, Alliance</t>
  </si>
  <si>
    <t>Drop Tempest Keep</t>
  </si>
  <si>
    <t>Drop Eye of Eternity</t>
  </si>
  <si>
    <t>Exaulted Netherwing</t>
  </si>
  <si>
    <t>Removed?</t>
  </si>
  <si>
    <t>Drop, The Obsidian Sanctum</t>
  </si>
  <si>
    <t>Achievment, Alliance</t>
  </si>
  <si>
    <t>Achievment, Horde</t>
  </si>
  <si>
    <t>Stone Keeper's Shard, Horde</t>
  </si>
  <si>
    <t>Stone Keeper's Shard, Alliance</t>
  </si>
  <si>
    <t>Honor, Alliance</t>
  </si>
  <si>
    <t>Honor, Horde</t>
  </si>
  <si>
    <t>Drop, The Eye of Eternity</t>
  </si>
  <si>
    <t>Drop, Skadi the Ruthless</t>
  </si>
  <si>
    <t>Drop, AQ40</t>
  </si>
  <si>
    <t>Exaulted Skyguard</t>
  </si>
  <si>
    <t>Drop Brewfest</t>
  </si>
  <si>
    <t>Drop The Culling of Stratholme</t>
  </si>
  <si>
    <t>Gladiator</t>
  </si>
  <si>
    <t>Exaulted Cenarion Expedition</t>
  </si>
  <si>
    <t>Paladin</t>
  </si>
  <si>
    <t>Exaulted Kurenai, Alliance</t>
  </si>
  <si>
    <t>Shadowmourn Quest</t>
  </si>
  <si>
    <t>Champion's Seals, Alliance</t>
  </si>
  <si>
    <t>Warlock</t>
  </si>
  <si>
    <t>Drop Kara</t>
  </si>
  <si>
    <t>Tailoring</t>
  </si>
  <si>
    <t>Engineering</t>
  </si>
  <si>
    <t>Champion's Seals, Horde</t>
  </si>
  <si>
    <t>Drop Vault, Alliance</t>
  </si>
  <si>
    <t>Drop Vault, Horde</t>
  </si>
  <si>
    <t>removed</t>
  </si>
  <si>
    <t>Exaulted Sons of Hodir, Alliance</t>
  </si>
  <si>
    <t>Exaulted Sons of Hodir, Horde</t>
  </si>
  <si>
    <t>Revered Oracles, Mysterious Egg</t>
  </si>
  <si>
    <t>Drop AQ40</t>
  </si>
  <si>
    <t>Revered Sons of Hodir, Alliance</t>
  </si>
  <si>
    <t>Revered Sons of Hodir, Horde</t>
  </si>
  <si>
    <t>TCG</t>
  </si>
  <si>
    <t>Engineering, Horde</t>
  </si>
  <si>
    <t>Engineering, Alliance</t>
  </si>
  <si>
    <t>Drop Ulduar</t>
  </si>
  <si>
    <t>Drop Onyxia'a Lair</t>
  </si>
  <si>
    <t>Exaulted Argent Tournament</t>
  </si>
  <si>
    <t>Drop Sethekk Halls</t>
  </si>
  <si>
    <t>Exalted, Wyrmrest Accord</t>
  </si>
  <si>
    <t>Drop Stratholme</t>
  </si>
  <si>
    <t>Drop Trial of the Champion</t>
  </si>
  <si>
    <t>Drop ZG</t>
  </si>
  <si>
    <t>Drop Magisters' Terrace</t>
  </si>
  <si>
    <t>Recruit a Friend</t>
  </si>
  <si>
    <t>Drop Rare</t>
  </si>
  <si>
    <t>Dailies Ungoro Crator, Horde</t>
  </si>
  <si>
    <t>Daily Storm Peaks</t>
  </si>
  <si>
    <t>Exaulted Winterspring Frostsaber, Alliance</t>
  </si>
  <si>
    <t>Embelm of Heroism, Alliance</t>
  </si>
  <si>
    <t>Embelm of Heroism, Horde</t>
  </si>
  <si>
    <t>Alliance</t>
  </si>
  <si>
    <t>Horde</t>
  </si>
  <si>
    <t>Mag'har Exaulted, Horde</t>
  </si>
  <si>
    <t>Seasonal</t>
  </si>
  <si>
    <t>Headless Horseman's Mount</t>
  </si>
  <si>
    <t>Drop, Halloween</t>
  </si>
  <si>
    <t>Winged Steed of the Ebon Blade</t>
  </si>
  <si>
    <t>DeathKnight</t>
  </si>
  <si>
    <t>Big Blizzard Bear</t>
  </si>
  <si>
    <t>Quest</t>
  </si>
  <si>
    <t>Sea Turtle</t>
  </si>
  <si>
    <t>fishing</t>
  </si>
  <si>
    <t>X-45 Heartbreaker</t>
  </si>
  <si>
    <t>Drop Valentines</t>
  </si>
  <si>
    <t>Invincible</t>
  </si>
  <si>
    <t>Drop Icecrown</t>
  </si>
  <si>
    <t>Blazing Hippogryph</t>
  </si>
  <si>
    <t>Store</t>
  </si>
  <si>
    <t>Reawakened Phase-Hunter</t>
  </si>
  <si>
    <t>Duplicate</t>
  </si>
  <si>
    <t>Hala tokens</t>
  </si>
  <si>
    <t>Mechanostrider</t>
  </si>
  <si>
    <t>Wyrm</t>
  </si>
  <si>
    <t>Elekk</t>
  </si>
  <si>
    <t>Mammoth</t>
  </si>
  <si>
    <t>Horse</t>
  </si>
  <si>
    <t>Wolf</t>
  </si>
  <si>
    <t>Ram</t>
  </si>
  <si>
    <t>Raptor</t>
  </si>
  <si>
    <t>Saber</t>
  </si>
  <si>
    <t>DeadHorse</t>
  </si>
  <si>
    <t>Kodo</t>
  </si>
  <si>
    <t>Drake</t>
  </si>
  <si>
    <t>Bug</t>
  </si>
  <si>
    <t>Proto-Drake</t>
  </si>
  <si>
    <t>Turtle</t>
  </si>
  <si>
    <t>Gryphon</t>
  </si>
  <si>
    <t>Wind Rider</t>
  </si>
  <si>
    <t>Phoenix</t>
  </si>
  <si>
    <t>Talbuk</t>
  </si>
  <si>
    <t>Hawkstrider</t>
  </si>
  <si>
    <t>Nether Ray</t>
  </si>
  <si>
    <t>Raven</t>
  </si>
  <si>
    <t>Bear</t>
  </si>
  <si>
    <t>Hippogryph</t>
  </si>
  <si>
    <t>Machine</t>
  </si>
  <si>
    <t>Rocket</t>
  </si>
  <si>
    <t>Warp Stalker</t>
  </si>
  <si>
    <t>Carpet</t>
  </si>
  <si>
    <t>DragonHawk</t>
  </si>
  <si>
    <t>Rooster</t>
  </si>
  <si>
    <t>Rhino</t>
  </si>
  <si>
    <t>MinSpeed</t>
  </si>
  <si>
    <t>SwimSpeed</t>
  </si>
  <si>
    <t>Embelm of Heroism</t>
  </si>
  <si>
    <t>Revered Sons of Hodir</t>
  </si>
  <si>
    <t>Stone Keeper's Shard</t>
  </si>
  <si>
    <t>Dailies Ungoro Crator</t>
  </si>
  <si>
    <t>Drop Vault</t>
  </si>
  <si>
    <t>Honor</t>
  </si>
  <si>
    <t>MountKey</t>
  </si>
  <si>
    <t>Send to Addon</t>
  </si>
  <si>
    <t>Kalu'ak Whalebone Glider</t>
  </si>
  <si>
    <t>Glider</t>
  </si>
  <si>
    <t>NormalMount</t>
  </si>
  <si>
    <t>AQMounts</t>
  </si>
  <si>
    <t>Exalted Darnasses</t>
  </si>
  <si>
    <t>Exalted Argent Champion</t>
  </si>
  <si>
    <t>Exalted Stormwind</t>
  </si>
  <si>
    <t>Exalted IronForge</t>
  </si>
  <si>
    <t>Exalted Gnomeragan</t>
  </si>
  <si>
    <t>Exalted Winterspring Frostsaber</t>
  </si>
  <si>
    <t>Exalted Exodar</t>
  </si>
  <si>
    <t>Exalted Kurenai</t>
  </si>
  <si>
    <t>Exalted Skyguard</t>
  </si>
  <si>
    <t>Exalted Netherwing</t>
  </si>
  <si>
    <t>Exalted Cenarion Expedition</t>
  </si>
  <si>
    <t>Exalted Sons of Hodir</t>
  </si>
  <si>
    <t>Exalted Argent Tournament</t>
  </si>
  <si>
    <t>MountID</t>
  </si>
  <si>
    <t>MountTypeID</t>
  </si>
  <si>
    <t>Mechano-Hog</t>
  </si>
  <si>
    <t>Festering Emerald Drake</t>
  </si>
  <si>
    <t>Thalassian Warhorse</t>
  </si>
  <si>
    <t>Hao-Yue, River Foreseer</t>
  </si>
  <si>
    <t>Nightmarish Emerald Drake</t>
  </si>
  <si>
    <t>Swift Spectral Gryphon</t>
  </si>
  <si>
    <t>Thalassian Charger</t>
  </si>
  <si>
    <t>Column1</t>
  </si>
  <si>
    <t>?</t>
  </si>
  <si>
    <t>Event Valantines</t>
  </si>
  <si>
    <t>Event Blizcon</t>
  </si>
  <si>
    <t>Rabit</t>
  </si>
  <si>
    <t>Sub</t>
  </si>
  <si>
    <t>Tiger</t>
  </si>
  <si>
    <t>Lava Drake</t>
  </si>
  <si>
    <t>Drake of the East Wind</t>
  </si>
  <si>
    <t>Volcanic Stone Drake</t>
  </si>
  <si>
    <t>Goblin Turbo-Trike</t>
  </si>
  <si>
    <t>Goblin Trike</t>
  </si>
  <si>
    <t>Tyrael's Charger</t>
  </si>
  <si>
    <t>Fossilized Raptor</t>
  </si>
  <si>
    <t>Blazing Drake</t>
  </si>
  <si>
    <t>Swift Springstrider</t>
  </si>
  <si>
    <t>Drake of the South Wind</t>
  </si>
  <si>
    <t>Reawakend Phase-Hunter</t>
  </si>
  <si>
    <t>Magic Roster</t>
  </si>
  <si>
    <t>Vitreous Stone Drake</t>
  </si>
  <si>
    <t>Cobalt Netherwing</t>
  </si>
  <si>
    <t>Cenarion War Hppogryph</t>
  </si>
  <si>
    <t>Abyssal Seahorse</t>
  </si>
  <si>
    <t>Anmani War Bear</t>
  </si>
  <si>
    <t>Phosphorescent Stone Drake</t>
  </si>
  <si>
    <t>Grey Riding Camel</t>
  </si>
  <si>
    <t>Green Fire Hawk</t>
  </si>
  <si>
    <t>MountName</t>
  </si>
  <si>
    <t>Zhevra</t>
  </si>
  <si>
    <t>LuaData</t>
  </si>
  <si>
    <t>Roster</t>
  </si>
  <si>
    <t>Phase-Hunter</t>
  </si>
  <si>
    <t>Seahorse</t>
  </si>
  <si>
    <t>Undead Raptor</t>
  </si>
  <si>
    <t>Trike</t>
  </si>
  <si>
    <t>Camel</t>
  </si>
  <si>
    <t>Pegasus</t>
  </si>
  <si>
    <t>Summon Great Sunwalker Kodo</t>
  </si>
  <si>
    <t>Savage Raptor</t>
  </si>
  <si>
    <t>Green Dkeletal Warhorse</t>
  </si>
  <si>
    <t>Flametalon of Alysrazor</t>
  </si>
  <si>
    <t>Slivermoon Hawkstrider</t>
  </si>
  <si>
    <t>Auspicious Arborwyrm</t>
  </si>
  <si>
    <t>Summon Exarch's Elekk</t>
  </si>
  <si>
    <t>Healess Horseman's Mount</t>
  </si>
  <si>
    <t>Chaos-Born Hippogryph</t>
  </si>
  <si>
    <t>Summon Great Exarch's Elekk</t>
  </si>
  <si>
    <t>Mottled Drake</t>
  </si>
  <si>
    <t>Spectral Gryphon</t>
  </si>
  <si>
    <t>Chaos-Born Gryphon</t>
  </si>
  <si>
    <t>Twilingt Drake</t>
  </si>
  <si>
    <t>Sha-Touched Cloud Serpent</t>
  </si>
  <si>
    <t>Spectral Wind Rider</t>
  </si>
  <si>
    <t>Chaos-Born Wind Rider</t>
  </si>
  <si>
    <t>Chaos-Born Dreadwing</t>
  </si>
  <si>
    <t>Swift Zulian Panther</t>
  </si>
  <si>
    <t>Obsidian Nightwing</t>
  </si>
  <si>
    <t>Feldrake</t>
  </si>
  <si>
    <t>Vicious War Steed</t>
  </si>
  <si>
    <t>Heat of the Aspects</t>
  </si>
  <si>
    <t>Experiment 12-B</t>
  </si>
  <si>
    <t>Life-Binder's Handmaiden</t>
  </si>
  <si>
    <t>Twilight Harbinger</t>
  </si>
  <si>
    <t>Swift Mountain Horse</t>
  </si>
  <si>
    <t>Flameward Hippogryph</t>
  </si>
  <si>
    <t>Corrupted Hippogryph</t>
  </si>
  <si>
    <t>Swift Lovebird</t>
  </si>
  <si>
    <t>Swift Frorest Strider</t>
  </si>
  <si>
    <t>Ruthless Gladiator's Twilight Drake</t>
  </si>
  <si>
    <t>Swift Shorestrider</t>
  </si>
  <si>
    <t>Vicious Gladiator's Twilight Drake</t>
  </si>
  <si>
    <t>Vicious War Wolf</t>
  </si>
  <si>
    <t>Winged Guardian</t>
  </si>
  <si>
    <t>Amani Battle Bear</t>
  </si>
  <si>
    <t>Corrupted Fire Hawk</t>
  </si>
  <si>
    <t>Pureblood Fire Hawk</t>
  </si>
  <si>
    <t>Darkmoon Dancing Bear</t>
  </si>
  <si>
    <t>Armored Razzashi Raptor</t>
  </si>
  <si>
    <t>TreeDrake</t>
  </si>
  <si>
    <t>drake</t>
  </si>
  <si>
    <t>Cloud Serpent</t>
  </si>
  <si>
    <t>Elemental</t>
  </si>
  <si>
    <t>Spectral Wolf</t>
  </si>
  <si>
    <t>Avatar of Flame</t>
  </si>
  <si>
    <t>Subdued Seahorse</t>
  </si>
  <si>
    <t>White Riding Camel</t>
  </si>
  <si>
    <t>Ironbaound Proto-Drake</t>
  </si>
  <si>
    <t>Kor'kron Annihilator</t>
  </si>
  <si>
    <t>Summon Sunwalker Kodo</t>
  </si>
  <si>
    <t>Mountain Horse</t>
  </si>
  <si>
    <t>Polly Roger</t>
  </si>
  <si>
    <t>Sha-Touched Riding Tiger</t>
  </si>
  <si>
    <t>Sandstone Drake</t>
  </si>
  <si>
    <t>Spectral Steed</t>
  </si>
  <si>
    <t>Ultramarine Qiraji Battle Tank</t>
  </si>
  <si>
    <t>Golden King</t>
  </si>
  <si>
    <t>Dark Phoenix</t>
  </si>
  <si>
    <t>Tan Riding Camel</t>
  </si>
  <si>
    <t>Drake of the North Wind</t>
  </si>
  <si>
    <t>Brown Riding Camel</t>
  </si>
  <si>
    <t>Amani Dragonhawk</t>
  </si>
  <si>
    <t>Drake of the West Wind</t>
  </si>
  <si>
    <t>Scorpion</t>
  </si>
  <si>
    <t>Parrot</t>
  </si>
  <si>
    <t>Lion</t>
  </si>
  <si>
    <t>[387320] = "Blazing Hippogryph",</t>
  </si>
  <si>
    <t>[17453] = "Green Mechanostrider",</t>
  </si>
  <si>
    <t>[17461] = "Black Ram",</t>
  </si>
  <si>
    <t>[60424] = "Mekgineer's Chopper",</t>
  </si>
  <si>
    <t>[32296] = "Swift Yellow Wind Rider",</t>
  </si>
  <si>
    <t>[59961] = "Red Proto-Drake",</t>
  </si>
  <si>
    <t>[92232] = "Spectral Wolf",</t>
  </si>
  <si>
    <t>[60025] = "Albino Drake",</t>
  </si>
  <si>
    <t>[387323] = "X-51 Nether-Rocket",</t>
  </si>
  <si>
    <t>[35018] = "Purple Hawkstrider",</t>
  </si>
  <si>
    <t>[66906] = "Argent Charger",</t>
  </si>
  <si>
    <t>[40192] = "Ashes of Al'ar",</t>
  </si>
  <si>
    <t>[68056] = "Swift Horde Wolf",</t>
  </si>
  <si>
    <t>[22723] = "Black War Tiger",</t>
  </si>
  <si>
    <t>[23242] = "Swift Olive Raptor",</t>
  </si>
  <si>
    <t>[23250] = "Swift Brown Wolf",</t>
  </si>
  <si>
    <t>[65439] = "Furious Gladiator's Frost Wyrm",</t>
  </si>
  <si>
    <t>[34795] = "Red Hawkstrider",</t>
  </si>
  <si>
    <t>[65917] = "Magic Rooster",</t>
  </si>
  <si>
    <t>[23338] = "Swift Stormsaber",</t>
  </si>
  <si>
    <t>[46628] = "Swift White Hawkstrider",</t>
  </si>
  <si>
    <t>[44153] = "Flying Machine",</t>
  </si>
  <si>
    <t>[37015] = "Swift Nether Drake",</t>
  </si>
  <si>
    <t>[63635] = "Darkspear Raptor",</t>
  </si>
  <si>
    <t>[44744] = "Merciless Nether Drake",</t>
  </si>
  <si>
    <t>[423869] = "Avatar of Flame",</t>
  </si>
  <si>
    <t>[98718] = "Subdued Seahorse",</t>
  </si>
  <si>
    <t>[6653] = "Dire Wolf",</t>
  </si>
  <si>
    <t>[33630] = "Blue Mechanostrider",</t>
  </si>
  <si>
    <t>[39315] = "Cobalt Riding Talbuk",</t>
  </si>
  <si>
    <t>[75596] = "Frosty Flying Carpet",</t>
  </si>
  <si>
    <t>[64977] = "Black Skeletal Horse",</t>
  </si>
  <si>
    <t>[17454] = "Unpainted Mechanostrider",</t>
  </si>
  <si>
    <t>[17462] = "Red Skeletal Horse",</t>
  </si>
  <si>
    <t>[32289] = "Swift Red Gryphon",</t>
  </si>
  <si>
    <t>[32297] = "Swift Purple Wind Rider",</t>
  </si>
  <si>
    <t>[68187] = "Crusader's White Warhorse",</t>
  </si>
  <si>
    <t>[102488] = "White Riding Camel",</t>
  </si>
  <si>
    <t>[35020] = "Blue Hawkstrider",</t>
  </si>
  <si>
    <t>[23219] = "Swift Mistsaber",</t>
  </si>
  <si>
    <t>[23227] = "Swift Palomino",</t>
  </si>
  <si>
    <t>[22724] = "Black War Wolf",</t>
  </si>
  <si>
    <t>[23243] = "Swift Orange Raptor",</t>
  </si>
  <si>
    <t>[23251] = "Swift Timber Wolf",</t>
  </si>
  <si>
    <t>[43899] = "Brewfest Ram",</t>
  </si>
  <si>
    <t>[39316] = "Dark Riding Talbuk",</t>
  </si>
  <si>
    <t>[59788] = "Black War Mammoth",</t>
  </si>
  <si>
    <t>[66847] = "Striped Dawnsaber",</t>
  </si>
  <si>
    <t>[63956] = "Ironbound Proto-Drake",</t>
  </si>
  <si>
    <t>[61465] = "Grand Black War Mammoth",</t>
  </si>
  <si>
    <t>[46199] = "X-51 Nether-Rocket X-TREME",</t>
  </si>
  <si>
    <t>[63637] = "Darnassian Nightsaber",</t>
  </si>
  <si>
    <t>[16081] = "Winter Wolf",</t>
  </si>
  <si>
    <t>[60140] = "Grand Caravan Mammoth",</t>
  </si>
  <si>
    <t>[6777] = "Gray Ram",</t>
  </si>
  <si>
    <t>[93644] = "Kor'kron Annihilator",</t>
  </si>
  <si>
    <t>[458] = "Brown Horse",</t>
  </si>
  <si>
    <t>[43900] = "Swift Brewfest Ram",</t>
  </si>
  <si>
    <t>[39317] = "Silver Riding Talbuk",</t>
  </si>
  <si>
    <t>[32242] = "Swift Blue Gryphon",</t>
  </si>
  <si>
    <t>[459] = "Gray Wolf",</t>
  </si>
  <si>
    <t>[17463] = "Blue Skeletal Horse",</t>
  </si>
  <si>
    <t>[32290] = "Swift Green Gryphon",</t>
  </si>
  <si>
    <t>[69820] = "Summon Sunwalker Kodo",</t>
  </si>
  <si>
    <t>[35022] = "Black Hawkstrider",</t>
  </si>
  <si>
    <t>[103195] = "Mountain Horse",</t>
  </si>
  <si>
    <t>[49378] = "Brewfest Riding Kodo",</t>
  </si>
  <si>
    <t>[24242] = "Swift Razzashi Raptor",</t>
  </si>
  <si>
    <t>[23228] = "Swift White Steed",</t>
  </si>
  <si>
    <t>[65637] = "Great Red Elekk",</t>
  </si>
  <si>
    <t>[23252] = "Swift Gray Wolf",</t>
  </si>
  <si>
    <t>[39318] = "Tan Riding Talbuk",</t>
  </si>
  <si>
    <t>[34767] = "Thalassian Charger",</t>
  </si>
  <si>
    <t>[25863] = "Black Qiraji Battle Tank",</t>
  </si>
  <si>
    <t>[61451] = "Flying Carpet",</t>
  </si>
  <si>
    <t>[61467] = "Grand Black War Mammoth",</t>
  </si>
  <si>
    <t>[65638] = "Swift Moonsaber",</t>
  </si>
  <si>
    <t>[63639] = "Exodar Elekk",</t>
  </si>
  <si>
    <t>[59567] = "Azure Drake",</t>
  </si>
  <si>
    <t>[6899] = "Brown Ram",</t>
  </si>
  <si>
    <t>[44317] = "Merciless Nether Drake",</t>
  </si>
  <si>
    <t>[65639] = "Swift Red Hawkstrider",</t>
  </si>
  <si>
    <t>[39798] = "Green Riding Nether Ray",</t>
  </si>
  <si>
    <t>[388516] = "Hao-Yue, River Foreseer",</t>
  </si>
  <si>
    <t>[39319] = "White Riding Talbuk",</t>
  </si>
  <si>
    <t>[59791] = "Wooly Mammoth",</t>
  </si>
  <si>
    <t>[32235] = "Golden Gryphon",</t>
  </si>
  <si>
    <t>[32243] = "Tawny Wind Rider",</t>
  </si>
  <si>
    <t>[54729] = "Winged Steed of the Ebon Blade",</t>
  </si>
  <si>
    <t>[372677] = "Kalu'ak Whalebone Glider",</t>
  </si>
  <si>
    <t>[18989] = "Gray Kodo",</t>
  </si>
  <si>
    <t>[17464] = "Brown Skeletal Horse",</t>
  </si>
  <si>
    <t>[10796] = "Turquoise Raptor",</t>
  </si>
  <si>
    <t>[66087] = "Silver Covenant Hippogryph",</t>
  </si>
  <si>
    <t>[468] = "White Stallion",</t>
  </si>
  <si>
    <t>[446902] = "Polly Roger",</t>
  </si>
  <si>
    <t>[63640] = "Orgrimmar Wolf",</t>
  </si>
  <si>
    <t>[59568] = "Blue Drake",</t>
  </si>
  <si>
    <t>[41252] = "Raven Lord",</t>
  </si>
  <si>
    <t>[23221] = "Swift Frostsaber",</t>
  </si>
  <si>
    <t>[22718] = "Black War Kodo",</t>
  </si>
  <si>
    <t>[61229] = "Armored Snowy Gryphon",</t>
  </si>
  <si>
    <t>[470] = "Black Stallion",</t>
  </si>
  <si>
    <t>[35711] = "Purple Elekk",</t>
  </si>
  <si>
    <t>[473478] = "Sha-Touched Riding Tiger",</t>
  </si>
  <si>
    <t>[61309] = "Magnificent Flying Carpet",</t>
  </si>
  <si>
    <t>[34769] = "Thalassian Warhorse",</t>
  </si>
  <si>
    <t>[34897] = "White War Talbuk",</t>
  </si>
  <si>
    <t>[61996] = "Blue Dragonhawk",</t>
  </si>
  <si>
    <t>[65642] = "Turbostrider",</t>
  </si>
  <si>
    <t>[69826] = "Summon Great Sunwalker Kodo",</t>
  </si>
  <si>
    <t>[35025] = "Swift Green Hawkstrider",</t>
  </si>
  <si>
    <t>[59569] = "Bronze Drake",</t>
  </si>
  <si>
    <t>[16082] = "Palomino",</t>
  </si>
  <si>
    <t>[66090] = "Quel'dorei Steed",</t>
  </si>
  <si>
    <t>[61230] = "Armored Blue Wind Rider",</t>
  </si>
  <si>
    <t>[65643] = "Swift Violet Ram",</t>
  </si>
  <si>
    <t>[39800] = "Red Riding Nether Ray",</t>
  </si>
  <si>
    <t>[61294] = "Green Proto-Drake",</t>
  </si>
  <si>
    <t>[59793] = "Wooly Mammoth",</t>
  </si>
  <si>
    <t>[8980] = "Skeletal Horse",</t>
  </si>
  <si>
    <t>[32244] = "Blue Wind Rider",</t>
  </si>
  <si>
    <t>[97581] = "Savage Raptor",</t>
  </si>
  <si>
    <t>[26655] = "Black Qiraji Battle Tank",</t>
  </si>
  <si>
    <t>[17465] = "Green Skeletal Warhorse",</t>
  </si>
  <si>
    <t>[32292] = "Swift Purple Gryphon",</t>
  </si>
  <si>
    <t>[34898] = "Silver War Talbuk",</t>
  </si>
  <si>
    <t>[61997] = "Red Dragonhawk",</t>
  </si>
  <si>
    <t>[65644] = "Swift Purple Raptor",</t>
  </si>
  <si>
    <t>[101542] = "Flametalon of Alysrazor",</t>
  </si>
  <si>
    <t>[63642] = "Silvermoon Hawkstrider",</t>
  </si>
  <si>
    <t>[59570] = "Red Drake",</t>
  </si>
  <si>
    <t>[440915] = "Auspicious Arborwyrm",</t>
  </si>
  <si>
    <t>[73629] = "Summon Exarch's Elekk",</t>
  </si>
  <si>
    <t>[59650] = "Black Drake",</t>
  </si>
  <si>
    <t>[23222] = "Swift Yellow Mechanostrider",</t>
  </si>
  <si>
    <t>[24252] = "Swift Zulian Tiger",</t>
  </si>
  <si>
    <t>[23238] = "Swift Brown Ram",</t>
  </si>
  <si>
    <t>[23246] = "Purple Skeletal Warhorse",</t>
  </si>
  <si>
    <t>[35713] = "Great Blue Elekk",</t>
  </si>
  <si>
    <t>[48025] = "Headless Horseman's Mount",</t>
  </si>
  <si>
    <t>[466980] = "Chaos-Born Hippogryph",</t>
  </si>
  <si>
    <t>[67466] = "Argent Warhorse",</t>
  </si>
  <si>
    <t>[73630] = "Summon Great Exarch's Elekk",</t>
  </si>
  <si>
    <t>[93623] = "Mottled Drake",</t>
  </si>
  <si>
    <t>[15779] = "White Mechanostrider Mod B",</t>
  </si>
  <si>
    <t>[34899] = "Tan War Talbuk",</t>
  </si>
  <si>
    <t>[107516] = "Spectral Gryphon",</t>
  </si>
  <si>
    <t>[65646] = "Swift Burgundy Wolf",</t>
  </si>
  <si>
    <t>[71810] = "Wrathful Gladiator's Frost Wyrm",</t>
  </si>
  <si>
    <t>[60002] = "Time-Lost Proto-Drake",</t>
  </si>
  <si>
    <t>[25953] = "Blue Qiraji Battle Tank",</t>
  </si>
  <si>
    <t>[466983] = "Chaos-Born Gryphon",</t>
  </si>
  <si>
    <t>[35027] = "Swift Purple Hawkstrider",</t>
  </si>
  <si>
    <t>[59571] = "Twilight Drake",</t>
  </si>
  <si>
    <t>[578] = "Black Wolf",</t>
  </si>
  <si>
    <t>[55531] = "Mechano-Hog",</t>
  </si>
  <si>
    <t>[6648] = "Chestnut Mare",</t>
  </si>
  <si>
    <t>[473487] = "Sha-Touched Cloud Serpent",</t>
  </si>
  <si>
    <t>[579] = "Red Wolf",</t>
  </si>
  <si>
    <t>[6654] = "Brown Wolf",</t>
  </si>
  <si>
    <t>[107517] = "Spectral Wind Rider",</t>
  </si>
  <si>
    <t>[466977] = "Chaos-Born Wind Rider",</t>
  </si>
  <si>
    <t>[580] = "Timber Wolf",</t>
  </si>
  <si>
    <t>[13819] = "Summon Warhorse",</t>
  </si>
  <si>
    <t>[55164] = "Swift Spectral Gryphon",</t>
  </si>
  <si>
    <t>[466948] = "Chaos-Born Dreadwing",</t>
  </si>
  <si>
    <t>[581] = "Winter Wolf",</t>
  </si>
  <si>
    <t>[96499] = "Swift Zulian Panther",</t>
  </si>
  <si>
    <t>[32245] = "Green Wind Rider",</t>
  </si>
  <si>
    <t>[49379] = "Great Brewfest Kodo",</t>
  </si>
  <si>
    <t>[121820] = "Obsidian Nightwing",</t>
  </si>
  <si>
    <t>[17450] = "Ivory Raptor",</t>
  </si>
  <si>
    <t>[10789] = "Spotted Frostsaber",</t>
  </si>
  <si>
    <t>[10793] = "Striped Nightsaber",</t>
  </si>
  <si>
    <t>[113120] = "Feldrake",</t>
  </si>
  <si>
    <t>[100332] = "Vicious War Steed",</t>
  </si>
  <si>
    <t>[110051] = "Heart of the Aspects",</t>
  </si>
  <si>
    <t>[73313] = "Crimson Deathcharger",</t>
  </si>
  <si>
    <t>[110039] = "Experiment 12-B",</t>
  </si>
  <si>
    <t>[107845] = "Life-Binder's Handmaiden",</t>
  </si>
  <si>
    <t>[107844] = "Twilight Harbinger",</t>
  </si>
  <si>
    <t>[387319] = "Big Battle Bear",</t>
  </si>
  <si>
    <t>[22719] = "Black Battlestrider",</t>
  </si>
  <si>
    <t>[35028] = "Swift Warstrider",</t>
  </si>
  <si>
    <t>[59572] = "Black Polar Bear",</t>
  </si>
  <si>
    <t>[51412] = "Big Battle Bear",</t>
  </si>
  <si>
    <t>[103196] = "Swift Mountain Horse",</t>
  </si>
  <si>
    <t>[97359] = "Flameward Hippogryph",</t>
  </si>
  <si>
    <t>[28828] = "Nether Drake",</t>
  </si>
  <si>
    <t>[102514] = "Corrupted Hippogryph",</t>
  </si>
  <si>
    <t>[23223] = "Swift White Mechanostrider",</t>
  </si>
  <si>
    <t>[22720] = "Black War Ram",</t>
  </si>
  <si>
    <t>[23239] = "Swift Gray Ram",</t>
  </si>
  <si>
    <t>[10873] = "Red Mechanostrider",</t>
  </si>
  <si>
    <t>[39803] = "Blue Riding Nether Ray",</t>
  </si>
  <si>
    <t>[102350] = "Swift Lovebird",</t>
  </si>
  <si>
    <t>[64656] = "Blue Skeletal Warhorse",</t>
  </si>
  <si>
    <t>[48027] = "Black War Elekk",</t>
  </si>
  <si>
    <t>[102346] = "Swift Forest Strider",</t>
  </si>
  <si>
    <t>[101821] = "Ruthless Gladiator's Twilight Drake",</t>
  </si>
  <si>
    <t>[101573] = "Swift Shorestrider",</t>
  </si>
  <si>
    <t>[101282] = "Vicious Gladiator's Twilight Drake",</t>
  </si>
  <si>
    <t>[100333] = "Vicious War Wolf",</t>
  </si>
  <si>
    <t>[98727] = "Winged Guardian",</t>
  </si>
  <si>
    <t>[61425] = "Traveler's Tundra Mammoth",</t>
  </si>
  <si>
    <t>[98204] = "Amani Battle Bear",</t>
  </si>
  <si>
    <t>[49193] = "Vengeful Nether Drake",</t>
  </si>
  <si>
    <t>[97560] = "Corrupted Fire Hawk",</t>
  </si>
  <si>
    <t>[34406] = "Brown Elekk",</t>
  </si>
  <si>
    <t>[60114] = "Armored Brown Bear",</t>
  </si>
  <si>
    <t>[97493] = "Pureblood Fire Hawk",</t>
  </si>
  <si>
    <t>[16055] = "Black Nightsaber",</t>
  </si>
  <si>
    <t>[8394] = "Striped Frostsaber",</t>
  </si>
  <si>
    <t>[103081] = "Darkmoon Dancing Bear",</t>
  </si>
  <si>
    <t>[18990] = "Brown Kodo",</t>
  </si>
  <si>
    <t>[96491] = "Armored Razzashi Raptor",</t>
  </si>
  <si>
    <t>[93326] = "Sandstone Drake",</t>
  </si>
  <si>
    <t>[10969] = "Blue Mechanostrider",</t>
  </si>
  <si>
    <t>[16083] = "White Stallion",</t>
  </si>
  <si>
    <t>[64731] = "Sea Turtle",</t>
  </si>
  <si>
    <t>[58615] = "Brutal Nether Drake",</t>
  </si>
  <si>
    <t>[92231] = "Spectral Steed",</t>
  </si>
  <si>
    <t>[92155] = "Ultramarine Qiraji Battle Tank",</t>
  </si>
  <si>
    <t>[90621] = "Golden King",</t>
  </si>
  <si>
    <t>[88990] = "Dark Phoenix",</t>
  </si>
  <si>
    <t>[39801] = "Purple Riding Nether Ray",</t>
  </si>
  <si>
    <t>[88749] = "Tan Riding Camel",</t>
  </si>
  <si>
    <t>[416158] = "Nightmarish Emerald Drake",</t>
  </si>
  <si>
    <t>[88742] = "Drake of the North Wind",</t>
  </si>
  <si>
    <t>[88748] = "Brown Riding Camel",</t>
  </si>
  <si>
    <t>[59797] = "Ice Mammoth",</t>
  </si>
  <si>
    <t>[96503] = "Amani Dragonhawk",</t>
  </si>
  <si>
    <t>[34790] = "Dark War Talbuk",</t>
  </si>
  <si>
    <t>[72807] = "Icebound Frostbrood Vanquisher",</t>
  </si>
  <si>
    <t>[88741] = "Drake of the West Wind",</t>
  </si>
  <si>
    <t>[5784] = "Felsteed",</t>
  </si>
  <si>
    <t>[17459] = "Icy Blue Mechanostrider Mod A",</t>
  </si>
  <si>
    <t>[41513] = "Onyx Netherwing Drake",</t>
  </si>
  <si>
    <t>[463045] = "Lava Drake",</t>
  </si>
  <si>
    <t>[88335] = "Drake of the East Wind",</t>
  </si>
  <si>
    <t>[88331] = "Volcanic Stone Drake",</t>
  </si>
  <si>
    <t>[87091] = "Goblin Turbo-Trike",</t>
  </si>
  <si>
    <t>[87090] = "Goblin Trike",</t>
  </si>
  <si>
    <t>[58983] = "Big Blizzard Bear",</t>
  </si>
  <si>
    <t>[60021] = "Plagued Proto-Drake",</t>
  </si>
  <si>
    <t>[10790] = "Tiger",</t>
  </si>
  <si>
    <t>[107203] = "Tyrael's Charger",</t>
  </si>
  <si>
    <t>[84751] = "Fossilized Raptor",</t>
  </si>
  <si>
    <t>[394209] = "Festering Emerald Drake",</t>
  </si>
  <si>
    <t>[387321] = "Wooly White Rhino",</t>
  </si>
  <si>
    <t>[107842] = "Blazing Drake",</t>
  </si>
  <si>
    <t>[61470] = "Grand Ice Mammoth",</t>
  </si>
  <si>
    <t>[48778] = "Acherus Deathcharger",</t>
  </si>
  <si>
    <t>[72286] = "Invincible",</t>
  </si>
  <si>
    <t>[102349] = "Swift Springstrider",</t>
  </si>
  <si>
    <t>[22721] = "Black War Raptor",</t>
  </si>
  <si>
    <t>[23240] = "Swift White Ram",</t>
  </si>
  <si>
    <t>[23248] = "Great Gray Kodo",</t>
  </si>
  <si>
    <t>[74856] = "Blazing Hippogryph",</t>
  </si>
  <si>
    <t>[66091] = "Sunreaver Hawkstrider",</t>
  </si>
  <si>
    <t>[88744] = "Drake of the South Wind",</t>
  </si>
  <si>
    <t>[348459] = "Reawakened Phase-Hunter",</t>
  </si>
  <si>
    <t>[10799] = "Violet Raptor",</t>
  </si>
  <si>
    <t>[60024] = "Violet Proto-Drake",</t>
  </si>
  <si>
    <t>[68188] = "Crusader's Black Warhorse",</t>
  </si>
  <si>
    <t>[68057] = "Swift Alliance Steed",</t>
  </si>
  <si>
    <t>[67336] = "Relentless Gladiator's Frost Wyrm",</t>
  </si>
  <si>
    <t>[66846] = "Ochre Skeletal Warhorse",</t>
  </si>
  <si>
    <t>[66124] = "Magic Rooster",</t>
  </si>
  <si>
    <t>[41514] = "Azure Netherwing Drake",</t>
  </si>
  <si>
    <t>[15780] = "Green Mechanostrider",</t>
  </si>
  <si>
    <t>[66123] = "Magic Rooster",</t>
  </si>
  <si>
    <t>[66122] = "Magic Rooster",</t>
  </si>
  <si>
    <t>[72808] = "Bloodbathed Frostbrood Vanquisher",</t>
  </si>
  <si>
    <t>[63638] = "Gnomeregan Mechanostrider",</t>
  </si>
  <si>
    <t>[66088] = "Sunreaver Dragonhawk",</t>
  </si>
  <si>
    <t>[23214] = "Summon Charger",</t>
  </si>
  <si>
    <t>[23229] = "Swift Brown Steed",</t>
  </si>
  <si>
    <t>[26054] = "Red Qiraji Battle Tank",</t>
  </si>
  <si>
    <t>[26055] = "Yellow Qiraji Battle Tank",</t>
  </si>
  <si>
    <t>[6896] = "Black Ram",</t>
  </si>
  <si>
    <t>[6898] = "White Ram",</t>
  </si>
  <si>
    <t>[60118] = "Black War Bear",</t>
  </si>
  <si>
    <t>[41517] = "Veridian Netherwing Drake",</t>
  </si>
  <si>
    <t>[42776] = "Spectral Tiger",</t>
  </si>
  <si>
    <t>[63232] = "Stormwind Steed",</t>
  </si>
  <si>
    <t>[35714] = "Great Purple Elekk",</t>
  </si>
  <si>
    <t>[65641] = "Great Golden Kodo",</t>
  </si>
  <si>
    <t>[61447] = "Traveler's Tundra Mammoth",</t>
  </si>
  <si>
    <t>[18992] = "Teal Kodo",</t>
  </si>
  <si>
    <t>[65645] = "White Skeletal Warhorse",</t>
  </si>
  <si>
    <t>[32246] = "Swift Red Wind Rider",</t>
  </si>
  <si>
    <t>[88746] = "Vitreous Stone Drake",</t>
  </si>
  <si>
    <t>[26656] = "Black Qiraji Battle Tank",</t>
  </si>
  <si>
    <t>[59799] = "Ice Mammoth",</t>
  </si>
  <si>
    <t>[32239] = "Ebon Gryphon",</t>
  </si>
  <si>
    <t>[23247] = "Great White Kodo",</t>
  </si>
  <si>
    <t>[64927] = "Deadly Gladiator's Frost Wyrm",</t>
  </si>
  <si>
    <t>[54753] = "White Polar Bear",</t>
  </si>
  <si>
    <t>[41518] = "Violet Netherwing Drake",</t>
  </si>
  <si>
    <t>[17460] = "Frost Ram",</t>
  </si>
  <si>
    <t>[41515] = "Cobalt Netherwing Drake",</t>
  </si>
  <si>
    <t>[32295] = "Swift Green Wind Rider",</t>
  </si>
  <si>
    <t>[34896] = "Cobalt War Talbuk",</t>
  </si>
  <si>
    <t>[64659] = "Venomhide Ravasaur",</t>
  </si>
  <si>
    <t>[64658] = "Black Wolf",</t>
  </si>
  <si>
    <t>[64657] = "White Kodo",</t>
  </si>
  <si>
    <t>[74918] = "Wooly White Rhino",</t>
  </si>
  <si>
    <t>[63963] = "Rusted Proto-Drake",</t>
  </si>
  <si>
    <t>[63844] = "Argent Hippogryph",</t>
  </si>
  <si>
    <t>[23161] = "Dreadsteed",</t>
  </si>
  <si>
    <t>[63796] = "Mimiron's Head",</t>
  </si>
  <si>
    <t>[23509] = "Frostwolf Howler",</t>
  </si>
  <si>
    <t>[387308] = "Magic Rooster",</t>
  </si>
  <si>
    <t>[60119] = "Black War Bear",</t>
  </si>
  <si>
    <t>[472] = "Pinto",</t>
  </si>
  <si>
    <t>[42777] = "Swift Spectral Tiger",</t>
  </si>
  <si>
    <t>[63636] = "Ironforge Ram",</t>
  </si>
  <si>
    <t>[23225] = "Swift Green Mechanostrider",</t>
  </si>
  <si>
    <t>[22722] = "Red Skeletal Warhorse",</t>
  </si>
  <si>
    <t>[23241] = "Swift Blue Raptor",</t>
  </si>
  <si>
    <t>[23249] = "Great Brown Kodo",</t>
  </si>
  <si>
    <t>[62048] = "Black Dragonhawk Mount",</t>
  </si>
  <si>
    <t>[71342] = "X-45 Heartbreaker",</t>
  </si>
  <si>
    <t>[43927] = "Cenarion War Hippogryph",</t>
  </si>
  <si>
    <t>[387311] = "X-51 Nether-Rocket X-TREME",</t>
  </si>
  <si>
    <t>[35710] = "Gray Elekk",</t>
  </si>
  <si>
    <t>[61469] = "Grand Ice Mammoth",</t>
  </si>
  <si>
    <t>[46197] = "X-51 Nether-Rocket",</t>
  </si>
  <si>
    <t>[18991] = "Green Kodo",</t>
  </si>
  <si>
    <t>[63641] = "Thunder Bluff Kodo",</t>
  </si>
  <si>
    <t>[17481] = "Rivendare's Deathcharger",</t>
  </si>
  <si>
    <t>[75207] = "Abyssal Seahorse",</t>
  </si>
  <si>
    <t>[41516] = "Purple Netherwing Drake",</t>
  </si>
  <si>
    <t>[22717] = "Black War Steed",</t>
  </si>
  <si>
    <t>[17229] = "Winterspring Frostsaber",</t>
  </si>
  <si>
    <t>[60116] = "Armored Brown Bear",</t>
  </si>
  <si>
    <t>[59976] = "Black Proto-Drake",</t>
  </si>
  <si>
    <t>[44151] = "Turbo-Charged Flying Machine",</t>
  </si>
  <si>
    <t>[16056] = "Ancient Frostsaber",</t>
  </si>
  <si>
    <t>[8395] = "Emerald Raptor",</t>
  </si>
  <si>
    <t>[43688] = "Amani War Bear",</t>
  </si>
  <si>
    <t>[69395] = "Onyxian Drake",</t>
  </si>
  <si>
    <t>[65640] = "Swift Gray Steed",</t>
  </si>
  <si>
    <t>[59996] = "Blue Proto-Drake",</t>
  </si>
  <si>
    <t>[16080] = "Red Wolf",</t>
  </si>
  <si>
    <t>[16084] = "Mottled Red Raptor",</t>
  </si>
  <si>
    <t>[60136] = "Grand Caravan Mammoth",</t>
  </si>
  <si>
    <t>[26056] = "Green Qiraji Battle Tank",</t>
  </si>
  <si>
    <t>[18363] = "Riding Kodo",</t>
  </si>
  <si>
    <t>[23510] = "Stormpike Battle Charger",</t>
  </si>
  <si>
    <t>[35712] = "Great Green Elekk",</t>
  </si>
  <si>
    <t>[10795] = "Ivory Raptor",</t>
  </si>
  <si>
    <t>[33660] = "Swift Pink Hawkstrider",</t>
  </si>
  <si>
    <t>[63643] = "Forsaken Warhorse",</t>
  </si>
  <si>
    <t>[88718] = "Phosphorescent Stone Drake",</t>
  </si>
  <si>
    <t>[88750] = "Grey Riding Camel",</t>
  </si>
  <si>
    <t>[59785] = "Black War Mammoth",</t>
  </si>
  <si>
    <t>[97501] = "Green Fire Hawk",</t>
  </si>
  <si>
    <t>[32240] = "Snowy Gryphon",</t>
  </si>
  <si>
    <t>[36702] = "Fiery Warhorse",</t>
  </si>
  <si>
    <t>[39802] = "Silver Riding Nether Ray",</t>
  </si>
  <si>
    <t>Heart of the Aspects</t>
  </si>
  <si>
    <t>Swift Forest Strider</t>
  </si>
  <si>
    <t>saber</t>
  </si>
  <si>
    <t>[153489] = "Iron Skyreaver",</t>
  </si>
  <si>
    <t>[123182] = "White Riding Yak",</t>
  </si>
  <si>
    <t>[127302] = "Great Blue Dragon Turtle",</t>
  </si>
  <si>
    <t>[1247596] = "Celestial Riding Serpent",</t>
  </si>
  <si>
    <t>[1247591] = "Celestial Riding Crane",</t>
  </si>
  <si>
    <t>[148620] = "Prideful Gladiator's Cloud Serpent",</t>
  </si>
  <si>
    <t>[148619] = "Grievous Gladiator's Cloud Serpent",</t>
  </si>
  <si>
    <t>[148476] = "Thundering Onyx Cloud Serpent",</t>
  </si>
  <si>
    <t>[148396] = "Kor'kron War Wolf",</t>
  </si>
  <si>
    <t>[148392] = "Spawn of Galakras",</t>
  </si>
  <si>
    <t>[142478] = "Armored Blue Dragonhawk",</t>
  </si>
  <si>
    <t>[142266] = "Armored Red Dragonhawk",</t>
  </si>
  <si>
    <t>[139448] = "Clutch of Ji-Kun",</t>
  </si>
  <si>
    <t>[132036] = "Thundering Ruby Cloud Serpent",</t>
  </si>
  <si>
    <t>[139407] = "Malevolent Gladiator's Cloud Serpent",</t>
  </si>
  <si>
    <t>[135416] = "Grand Armored Gryphon",</t>
  </si>
  <si>
    <t>[127176] = "Golden Riding Crane",</t>
  </si>
  <si>
    <t>[127286] = "Black Dragon Turtle",</t>
  </si>
  <si>
    <t>[127213] = "Brown Riding Yak",</t>
  </si>
  <si>
    <t>[127272] = "Orange Water Strider",</t>
  </si>
  <si>
    <t>[132118] = "Emerald Pandaren Phoenix",</t>
  </si>
  <si>
    <t>[132117] = "Ashen Pandaren Phoenix",</t>
  </si>
  <si>
    <t>[139442] = "Thundering Cobalt Cloud Serpent",</t>
  </si>
  <si>
    <t>[127177] = "Regal Riding Crane",</t>
  </si>
  <si>
    <t>[127209] = "Black Riding Yak",</t>
  </si>
  <si>
    <t>[130985] = "Pandaren Kite",</t>
  </si>
  <si>
    <t>[129918] = "Thundering August Cloud Serpent",</t>
  </si>
  <si>
    <t>[129552] = "Crimson Pandaren Phoenix",</t>
  </si>
  <si>
    <t>[120822] = "Great Red Dragon Turtle",</t>
  </si>
  <si>
    <t>[127271] = "Crimson Water Strider",</t>
  </si>
  <si>
    <t>[127178] = "Jungle Riding Crane",</t>
  </si>
  <si>
    <t>[127274] = "Jade Water Strider",</t>
  </si>
  <si>
    <t>[127164] = "Heavenly Golden Cloud Serpent",</t>
  </si>
  <si>
    <t>[127287] = "Blue Dragon Turtle",</t>
  </si>
  <si>
    <t>[127158] = "Heavenly Onyx Cloud Serpent",</t>
  </si>
  <si>
    <t>[138424] = "Amber Primordial Direhorn",</t>
  </si>
  <si>
    <t>[127156] = "Crimson Cloud Serpent",</t>
  </si>
  <si>
    <t>[127154] = "Onyx Cloud Serpent",</t>
  </si>
  <si>
    <t>[126507] = "Depleted-Kyparium Rocket",</t>
  </si>
  <si>
    <t>[124550] = "Cataclysmic Gladiator's Twilight Drake",</t>
  </si>
  <si>
    <t>[122708] = "Grand Expedition Yak",</t>
  </si>
  <si>
    <t>[142641] = "Brawler's Burly Mushan Beast",</t>
  </si>
  <si>
    <t>[124408] = "Thundering Jade Cloud Serpent",</t>
  </si>
  <si>
    <t>[123993] = "Golden Cloud Serpent",</t>
  </si>
  <si>
    <t>[123992] = "Azure Cloud Serpent",</t>
  </si>
  <si>
    <t>[130086] = "Brown Riding Goat",</t>
  </si>
  <si>
    <t>[138426] = "Jade Primordial Direhorn",</t>
  </si>
  <si>
    <t>[118737] = "Pandaren Kite",</t>
  </si>
  <si>
    <t>[118089] = "Azure Water Strider",</t>
  </si>
  <si>
    <t>[113199] = "Jade Cloud Serpent",</t>
  </si>
  <si>
    <t>[127308] = "Great Brown Dragon Turtle",</t>
  </si>
  <si>
    <t>[135418] = "Grand Armored Wyvern",</t>
  </si>
  <si>
    <t>[124659] = "Imperial Quilen",</t>
  </si>
  <si>
    <t>[127278] = "Golden Water Strider",</t>
  </si>
  <si>
    <t>[127310] = "Great Purple Dragon Turtle",</t>
  </si>
  <si>
    <t>[149801] = "Emerald Hippogryph",</t>
  </si>
  <si>
    <t>[30174] = "Riding Turtle",</t>
  </si>
  <si>
    <t>[1247598] = "Celestial Riding Tiger",</t>
  </si>
  <si>
    <t>[1247597] = "Celestial Riding Ox",</t>
  </si>
  <si>
    <t>[1224646] = "Meeksi Wanderpaw",</t>
  </si>
  <si>
    <t>[127216] = "Grey Riding Yak",</t>
  </si>
  <si>
    <t>[1224645] = "Meeksi Rufflemane",</t>
  </si>
  <si>
    <t>[1224643] = "Meeksi Gentlepaw",</t>
  </si>
  <si>
    <t>[155741] = "Dread Raven",</t>
  </si>
  <si>
    <t>[473744] = "Meeksi Teatuft",</t>
  </si>
  <si>
    <t>[473741] = "Meeksi Softpaw",</t>
  </si>
  <si>
    <t>[473739] = "Meeksi Rufflefur",</t>
  </si>
  <si>
    <t>[138643] = "Green Primal Raptor",</t>
  </si>
  <si>
    <t>[129932] = "Green Shado-Pan Riding Tiger",</t>
  </si>
  <si>
    <t>[1238816] = "Envoy of Sa'bak",</t>
  </si>
  <si>
    <t>[130092] = "Red Flying Cloud",</t>
  </si>
  <si>
    <t>[142910] = "Iron Warhorse",</t>
  </si>
  <si>
    <t>[146615] = "Vicious Warsaber",</t>
  </si>
  <si>
    <t>[473743] = "Meeksi Rollingpaw",</t>
  </si>
  <si>
    <t>[473745] = "Meeksi Brewthief",</t>
  </si>
  <si>
    <t>[163025] = "Grinning Reaver",</t>
  </si>
  <si>
    <t>[163024] = "Warforged Nightmare",</t>
  </si>
  <si>
    <t>[148428] = "Ashhide Mushan Beast",</t>
  </si>
  <si>
    <t>[127220] = "Blonde Riding Yak",</t>
  </si>
  <si>
    <t>[132119] = "Violet Pandaren Phoenix",</t>
  </si>
  <si>
    <t>[138640] = "Bone-White Primal Raptor",</t>
  </si>
  <si>
    <t>[142878] = "Enchanted Fey Dragon",</t>
  </si>
  <si>
    <t>[142073] = "Hearthsteed",</t>
  </si>
  <si>
    <t>[140250] = "Crimson Primal Direhorn",</t>
  </si>
  <si>
    <t>[139595] = "Armored Bloodwing",</t>
  </si>
  <si>
    <t>[138642] = "Black Primal Raptor",</t>
  </si>
  <si>
    <t>[146622] = "Vicious Skeletal Warhorse",</t>
  </si>
  <si>
    <t>[138425] = "Slate Primordial Direhorn",</t>
  </si>
  <si>
    <t>[138423] = "Cobalt Primordial Direhorn",</t>
  </si>
  <si>
    <t>[134359] = "Sky Golem",</t>
  </si>
  <si>
    <t>[136505] = "Ghastly Charger",</t>
  </si>
  <si>
    <t>[136471] = "Spawn of Horridon",</t>
  </si>
  <si>
    <t>[136400] = "Armored Skyscreamer",</t>
  </si>
  <si>
    <t>[1224596] = "Meeksi Teapuff",</t>
  </si>
  <si>
    <t>[136163] = "Grand Gryphon",</t>
  </si>
  <si>
    <t>[138641] = "Red Primal Raptor",</t>
  </si>
  <si>
    <t>[134573] = "Swift Windsteed",</t>
  </si>
  <si>
    <t>[130965] = "Son of Galleon",</t>
  </si>
  <si>
    <t>[129935] = "Red Shado-Pan Riding Tiger",</t>
  </si>
  <si>
    <t>[129934] = "Blue Shado-Pan Riding Tiger",</t>
  </si>
  <si>
    <t>[127288] = "Brown Dragon Turtle",</t>
  </si>
  <si>
    <t>[127290] = "Red Dragon Turtle",</t>
  </si>
  <si>
    <t>[126508] = "Geosynchronous World Spinner",</t>
  </si>
  <si>
    <t>[127161] = "Heavenly Crimson Cloud Serpent",</t>
  </si>
  <si>
    <t>[133023] = "Jade Pandaren Kite",</t>
  </si>
  <si>
    <t>[148417] = "Kor'kron Juggernaut",</t>
  </si>
  <si>
    <t>[127174] = "Azure Riding Crane",</t>
  </si>
  <si>
    <t>[127289] = "Purple Dragon Turtle",</t>
  </si>
  <si>
    <t>[123886] = "Amber Scorpion",</t>
  </si>
  <si>
    <t>[121839] = "Sunstone Panther",</t>
  </si>
  <si>
    <t>[121838] = "Ruby Panther",</t>
  </si>
  <si>
    <t>[1224647] = "Meeksi Brewrobber",</t>
  </si>
  <si>
    <t>[127165] = "Heavenly Jade Cloud Serpent",</t>
  </si>
  <si>
    <t>[120043] = "Jeweled Onyx Panther",</t>
  </si>
  <si>
    <t>[140249] = "Golden Primal Direhorn",</t>
  </si>
  <si>
    <t>[127293] = "Great Green Dragon Turtle",</t>
  </si>
  <si>
    <t>[120395] = "Green Dragon Turtle",</t>
  </si>
  <si>
    <t>[148618] = "Tyrannical Gladiator's Cloud Serpent",</t>
  </si>
  <si>
    <t>[136164] = "Grand Wyvern",</t>
  </si>
  <si>
    <t>[130137] = "White Riding Goat",</t>
  </si>
  <si>
    <t>[127295] = "Great Black Dragon Turtle",</t>
  </si>
  <si>
    <t>[130138] = "Black Riding Goat",</t>
  </si>
  <si>
    <t>[127169] = "Heavenly Azure Cloud Serpent",</t>
  </si>
  <si>
    <t>[121836] = "Sapphire Panther",</t>
  </si>
  <si>
    <t>[127170] = "Astral Cloud Serpent",</t>
  </si>
  <si>
    <t>[121837] = "Jade Panther",</t>
  </si>
  <si>
    <t>Iron Skyreaver</t>
  </si>
  <si>
    <t>White Riding Yak</t>
  </si>
  <si>
    <t>Great Blue Dragon Turtle</t>
  </si>
  <si>
    <t>Celestial Riding Serpent</t>
  </si>
  <si>
    <t>Celestial Riding Crane</t>
  </si>
  <si>
    <t>Prideful Gladiator's Cloud Serpent</t>
  </si>
  <si>
    <t>Grievous Gladiator's Cloud Serpent</t>
  </si>
  <si>
    <t>Thundering Onyx Cloud Serpent</t>
  </si>
  <si>
    <t>Kor'kron War Wolf</t>
  </si>
  <si>
    <t>Spawn of Galakras</t>
  </si>
  <si>
    <t>Armored Blue Dragonhawk</t>
  </si>
  <si>
    <t>Armored Red Dragonhawk</t>
  </si>
  <si>
    <t>Clutch of Ji-Kun</t>
  </si>
  <si>
    <t>Thundering Ruby Cloud Serpent</t>
  </si>
  <si>
    <t>Malevolent Gladiator's Cloud Serpent</t>
  </si>
  <si>
    <t>Grand Armored Gryphon</t>
  </si>
  <si>
    <t>Golden Riding Crane</t>
  </si>
  <si>
    <t>Black Dragon Turtle</t>
  </si>
  <si>
    <t>Brown Riding Yak</t>
  </si>
  <si>
    <t>Orange Water Strider</t>
  </si>
  <si>
    <t>Emerald Pandaren Phoenix</t>
  </si>
  <si>
    <t>Ashen Pandaren Phoenix</t>
  </si>
  <si>
    <t>Thundering Cobalt Cloud Serpent</t>
  </si>
  <si>
    <t>Regal Riding Crane</t>
  </si>
  <si>
    <t>Black Riding Yak</t>
  </si>
  <si>
    <t>Pandaren Kite</t>
  </si>
  <si>
    <t>Thundering August Cloud Serpent</t>
  </si>
  <si>
    <t>Crimson Pandaren Phoenix</t>
  </si>
  <si>
    <t>Great Red Dragon Turtle</t>
  </si>
  <si>
    <t>Crimson Water Strider</t>
  </si>
  <si>
    <t>Jungle Riding Crane</t>
  </si>
  <si>
    <t>Jade Water Strider</t>
  </si>
  <si>
    <t>Heavenly Golden Cloud Serpent</t>
  </si>
  <si>
    <t>Blue Dragon Turtle</t>
  </si>
  <si>
    <t>Heavenly Onyx Cloud Serpent</t>
  </si>
  <si>
    <t>Amber Primordial Direhorn</t>
  </si>
  <si>
    <t>Crimson Cloud Serpent</t>
  </si>
  <si>
    <t>Onyx Cloud Serpent</t>
  </si>
  <si>
    <t>Depleted-Kyparium Rocket</t>
  </si>
  <si>
    <t>Cataclysmic Gladiator's Twilight Drake</t>
  </si>
  <si>
    <t>Grand Expedition Yak</t>
  </si>
  <si>
    <t>Brawler's Burly Mushan Beast</t>
  </si>
  <si>
    <t>Thundering Jade Cloud Serpent</t>
  </si>
  <si>
    <t>Golden Cloud Serpent</t>
  </si>
  <si>
    <t>Azure Cloud Serpent</t>
  </si>
  <si>
    <t>Brown Riding Goat</t>
  </si>
  <si>
    <t>Jade Primordial Direhorn</t>
  </si>
  <si>
    <t>Azure Water Strider</t>
  </si>
  <si>
    <t>Jade Cloud Serpent</t>
  </si>
  <si>
    <t>Great Brown Dragon Turtle</t>
  </si>
  <si>
    <t>Grand Armored Wyvern</t>
  </si>
  <si>
    <t>Imperial Quilen</t>
  </si>
  <si>
    <t>Golden Water Strider</t>
  </si>
  <si>
    <t>Great Purple Dragon Turtle</t>
  </si>
  <si>
    <t>Emerald Hippogryph</t>
  </si>
  <si>
    <t>Riding Turtle</t>
  </si>
  <si>
    <t>Celestial Riding Tiger</t>
  </si>
  <si>
    <t>Celestial Riding Ox</t>
  </si>
  <si>
    <t>Meeksi Wanderpaw</t>
  </si>
  <si>
    <t>Grey Riding Yak</t>
  </si>
  <si>
    <t>Meeksi Rufflemane</t>
  </si>
  <si>
    <t>Meeksi Gentlepaw</t>
  </si>
  <si>
    <t>Dread Raven</t>
  </si>
  <si>
    <t>Meeksi Teatuft</t>
  </si>
  <si>
    <t>Meeksi Softpaw</t>
  </si>
  <si>
    <t>Meeksi Rufflefur</t>
  </si>
  <si>
    <t>Green Primal Raptor</t>
  </si>
  <si>
    <t>Green Shado-Pan Riding Tiger</t>
  </si>
  <si>
    <t>Envoy of Sa'bak</t>
  </si>
  <si>
    <t>Red Flying Cloud</t>
  </si>
  <si>
    <t>Iron Warhorse</t>
  </si>
  <si>
    <t>Vicious Warsaber</t>
  </si>
  <si>
    <t>Meeksi Rollingpaw</t>
  </si>
  <si>
    <t>Meeksi Brewthief</t>
  </si>
  <si>
    <t>Grinning Reaver</t>
  </si>
  <si>
    <t>Warforged Nightmare</t>
  </si>
  <si>
    <t>Ashhide Mushan Beast</t>
  </si>
  <si>
    <t>Blonde Riding Yak</t>
  </si>
  <si>
    <t>Violet Pandaren Phoenix</t>
  </si>
  <si>
    <t>Bone-White Primal Raptor</t>
  </si>
  <si>
    <t>Enchanted Fey Dragon</t>
  </si>
  <si>
    <t>Hearthsteed</t>
  </si>
  <si>
    <t>Crimson Primal Direhorn</t>
  </si>
  <si>
    <t>Armored Bloodwing</t>
  </si>
  <si>
    <t>Black Primal Raptor</t>
  </si>
  <si>
    <t>Vicious Skeletal Warhorse</t>
  </si>
  <si>
    <t>Slate Primordial Direhorn</t>
  </si>
  <si>
    <t>Cobalt Primordial Direhorn</t>
  </si>
  <si>
    <t>Sky Golem</t>
  </si>
  <si>
    <t>Ghastly Charger</t>
  </si>
  <si>
    <t>Spawn of Horridon</t>
  </si>
  <si>
    <t>Armored Skyscreamer</t>
  </si>
  <si>
    <t>Meeksi Teapuff</t>
  </si>
  <si>
    <t>Grand Gryphon</t>
  </si>
  <si>
    <t>Red Primal Raptor</t>
  </si>
  <si>
    <t>Swift Windsteed</t>
  </si>
  <si>
    <t>Son of Galleon</t>
  </si>
  <si>
    <t>Red Shado-Pan Riding Tiger</t>
  </si>
  <si>
    <t>Blue Shado-Pan Riding Tiger</t>
  </si>
  <si>
    <t>Brown Dragon Turtle</t>
  </si>
  <si>
    <t>Red Dragon Turtle</t>
  </si>
  <si>
    <t>Geosynchronous World Spinner</t>
  </si>
  <si>
    <t>Heavenly Crimson Cloud Serpent</t>
  </si>
  <si>
    <t>Jade Pandaren Kite</t>
  </si>
  <si>
    <t>Kor'kron Juggernaut</t>
  </si>
  <si>
    <t>Azure Riding Crane</t>
  </si>
  <si>
    <t>Purple Dragon Turtle</t>
  </si>
  <si>
    <t>Amber Scorpion</t>
  </si>
  <si>
    <t>Sunstone Panther</t>
  </si>
  <si>
    <t>Ruby Panther</t>
  </si>
  <si>
    <t>Meeksi Brewrobber</t>
  </si>
  <si>
    <t>Heavenly Jade Cloud Serpent</t>
  </si>
  <si>
    <t>Jeweled Onyx Panther</t>
  </si>
  <si>
    <t>Golden Primal Direhorn</t>
  </si>
  <si>
    <t>Great Green Dragon Turtle</t>
  </si>
  <si>
    <t>Green Dragon Turtle</t>
  </si>
  <si>
    <t>Tyrannical Gladiator's Cloud Serpent</t>
  </si>
  <si>
    <t>Grand Wyvern</t>
  </si>
  <si>
    <t>White Riding Goat</t>
  </si>
  <si>
    <t>Great Black Dragon Turtle</t>
  </si>
  <si>
    <t>Black Riding Goat</t>
  </si>
  <si>
    <t>Heavenly Azure Cloud Serpent</t>
  </si>
  <si>
    <t>Sapphire Panther</t>
  </si>
  <si>
    <t>Astral Cloud Serpent</t>
  </si>
  <si>
    <t>Jade Panther</t>
  </si>
  <si>
    <t>Chimera</t>
  </si>
  <si>
    <t>Yak</t>
  </si>
  <si>
    <t>Dragon Turtle</t>
  </si>
  <si>
    <t>Crane</t>
  </si>
  <si>
    <t>Water Strider</t>
  </si>
  <si>
    <t>Pandaren Phoenix</t>
  </si>
  <si>
    <t>Mushan</t>
  </si>
  <si>
    <t>Goat</t>
  </si>
  <si>
    <t>Disk</t>
  </si>
  <si>
    <t>Undead Horse</t>
  </si>
  <si>
    <t>Direhorn</t>
  </si>
  <si>
    <t>Wyvern</t>
  </si>
  <si>
    <t>Quilen</t>
  </si>
  <si>
    <t>Celestial</t>
  </si>
  <si>
    <t>Meeksi</t>
  </si>
  <si>
    <t>Golem</t>
  </si>
  <si>
    <t>Warforged</t>
  </si>
  <si>
    <t>Fey Dragon</t>
  </si>
  <si>
    <t>Bat</t>
  </si>
  <si>
    <t>Pterosaur</t>
  </si>
  <si>
    <t>Windsteed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</si>
</sst>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NumberFormat="1"/>
    <xf numFmtId="1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0" fillId="3" borderId="3" xfId="0" applyFont="1" applyFill="1" applyBorder="1"/>
    <xf numFmtId="0" fontId="0" fillId="4" borderId="4" xfId="0" applyFont="1" applyFill="1" applyBorder="1"/>
    <xf numFmtId="0" fontId="0" fillId="4" borderId="3" xfId="0" applyFont="1" applyFill="1" applyBorder="1"/>
    <xf numFmtId="0" fontId="0" fillId="3" borderId="4" xfId="0" applyFont="1" applyFill="1" applyBorder="1"/>
    <xf numFmtId="0" fontId="0" fillId="3" borderId="3" xfId="0" applyNumberFormat="1" applyFont="1" applyFill="1" applyBorder="1"/>
    <xf numFmtId="0" fontId="1" fillId="2" borderId="5" xfId="0" applyFont="1" applyFill="1" applyBorder="1"/>
    <xf numFmtId="0" fontId="0" fillId="3" borderId="7" xfId="0" applyFont="1" applyFill="1" applyBorder="1"/>
    <xf numFmtId="0" fontId="0" fillId="3" borderId="9" xfId="0" applyFont="1" applyFill="1" applyBorder="1"/>
    <xf numFmtId="0" fontId="0" fillId="4" borderId="6" xfId="0" applyFont="1" applyFill="1" applyBorder="1"/>
    <xf numFmtId="0" fontId="0" fillId="3" borderId="6" xfId="0" applyFont="1" applyFill="1" applyBorder="1"/>
    <xf numFmtId="0" fontId="0" fillId="3" borderId="8" xfId="0" applyFont="1" applyFill="1" applyBorder="1"/>
    <xf numFmtId="2" fontId="0" fillId="0" borderId="0" xfId="0" applyNumberFormat="1"/>
    <xf numFmtId="0" fontId="0" fillId="3" borderId="0" xfId="0" applyFont="1" applyFill="1" applyBorder="1"/>
  </cellXfs>
  <cellStyles count="1">
    <cellStyle name="Normal" xfId="0" builtinId="0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right style="thin">
          <color theme="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MountsByName" displayName="MountsByName" ref="A1:L495" totalsRowShown="0">
  <autoFilter ref="A1:L495"/>
  <sortState ref="A2:L495">
    <sortCondition ref="B1:B495"/>
  </sortState>
  <tableColumns count="12">
    <tableColumn id="1" name="MountName" dataDxfId="45"/>
    <tableColumn id="2" name="Category"/>
    <tableColumn id="3" name="Speed"/>
    <tableColumn id="4" name="MinSpeed"/>
    <tableColumn id="5" name="SwimSpeed"/>
    <tableColumn id="6" name="NormalMount"/>
    <tableColumn id="7" name="AQMounts"/>
    <tableColumn id="8" name="ItemID"/>
    <tableColumn id="9" name="Source"/>
    <tableColumn id="10" name="Alliance"/>
    <tableColumn id="11" name="Horde"/>
    <tableColumn id="12" name="Send to Addo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N490" totalsRowShown="0">
  <autoFilter ref="A1:N490"/>
  <sortState ref="A2:N490">
    <sortCondition ref="C1:C490"/>
  </sortState>
  <tableColumns count="14">
    <tableColumn id="1" name="Spell ID" dataDxfId="20"/>
    <tableColumn id="2" name="Name"/>
    <tableColumn id="3" name="Category" dataDxfId="19">
      <calculatedColumnFormula>VLOOKUP(Table1[[#This Row],[Name]],MountsByName[],2,FALSE)</calculatedColumnFormula>
    </tableColumn>
    <tableColumn id="4" name="Speed" dataDxfId="18">
      <calculatedColumnFormula>VLOOKUP(Table1[[#This Row],[Name]],MountsByName[],3,FALSE)</calculatedColumnFormula>
    </tableColumn>
    <tableColumn id="5" name="MinSpeed" dataDxfId="17">
      <calculatedColumnFormula>VLOOKUP(Table1[[#This Row],[Name]],MountsByName[],4,FALSE)</calculatedColumnFormula>
    </tableColumn>
    <tableColumn id="6" name="SwimSpeed" dataDxfId="16">
      <calculatedColumnFormula>VLOOKUP(Table1[[#This Row],[Name]],MountsByName[],5,FALSE)</calculatedColumnFormula>
    </tableColumn>
    <tableColumn id="7" name="NormalMount" dataDxfId="15">
      <calculatedColumnFormula>VLOOKUP(Table1[[#This Row],[Name]],MountsByName[],6,FALSE)</calculatedColumnFormula>
    </tableColumn>
    <tableColumn id="8" name="AQMounts" dataDxfId="14">
      <calculatedColumnFormula>VLOOKUP(Table1[[#This Row],[Name]],MountsByName[],7,FALSE)</calculatedColumnFormula>
    </tableColumn>
    <tableColumn id="9" name="ItemID" dataDxfId="13">
      <calculatedColumnFormula>VLOOKUP(Table1[[#This Row],[Name]],MountsByName[],8,FALSE)</calculatedColumnFormula>
    </tableColumn>
    <tableColumn id="10" name="Source" dataDxfId="12">
      <calculatedColumnFormula>VLOOKUP(Table1[[#This Row],[Name]],MountsByName[],9,FALSE)</calculatedColumnFormula>
    </tableColumn>
    <tableColumn id="11" name="Alliance" dataDxfId="11">
      <calculatedColumnFormula>VLOOKUP(Table1[[#This Row],[Name]],MountsByName[],10,FALSE)</calculatedColumnFormula>
    </tableColumn>
    <tableColumn id="12" name="Horde" dataDxfId="10">
      <calculatedColumnFormula>VLOOKUP(Table1[[#This Row],[Name]],MountsByName[],11,FALSE)</calculatedColumnFormula>
    </tableColumn>
    <tableColumn id="13" name="Send to Addon" dataDxfId="9">
      <calculatedColumnFormula>VLOOKUP(Table1[[#This Row],[Name]],MountsByName[],12,FALSE)</calculatedColumnFormula>
    </tableColumn>
    <tableColumn id="14" name="LuaData" dataDxfId="8">
      <calculatedColumnFormula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P263" totalsRowShown="0">
  <autoFilter ref="A1:P263"/>
  <sortState ref="A2:Q371">
    <sortCondition ref="A1:A371"/>
  </sortState>
  <tableColumns count="16">
    <tableColumn id="1" name="Spell ID"/>
    <tableColumn id="2" name="Name"/>
    <tableColumn id="3" name="Category"/>
    <tableColumn id="4" name="Speed"/>
    <tableColumn id="11" name="MinSpeed" dataDxfId="44"/>
    <tableColumn id="12" name="SwimSpeed"/>
    <tableColumn id="16" name="NormalMount"/>
    <tableColumn id="17" name="AQMounts"/>
    <tableColumn id="5" name="ItemID"/>
    <tableColumn id="8" name="Source"/>
    <tableColumn id="10" name="Alliance"/>
    <tableColumn id="9" name="Horde"/>
    <tableColumn id="15" name="Send to Addon"/>
    <tableColumn id="14" name="MountKey" dataDxfId="43">
      <calculatedColumnFormula>CONCATENATE(Table3[[#This Row],[Spell ID]])</calculatedColumnFormula>
    </tableColumn>
    <tableColumn id="6" name="Table Data" dataDxfId="42">
      <calculatedColumnFormula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calculatedColumnFormula>
    </tableColumn>
    <tableColumn id="7" name="Link" dataDxfId="41">
      <calculatedColumnFormula>CONCATENATE("https://www.wowhead.com/wotlk/item=",Table3[[#This Row],[ItemID]])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E263" totalsRowShown="0">
  <autoFilter ref="A1:E263"/>
  <sortState ref="A2:D263">
    <sortCondition ref="C1:C263"/>
  </sortState>
  <tableColumns count="5">
    <tableColumn id="1" name="Name"/>
    <tableColumn id="2" name="MountID" dataDxfId="40"/>
    <tableColumn id="3" name="SpellID" dataDxfId="39"/>
    <tableColumn id="4" name="MountTypeID"/>
    <tableColumn id="5" name="Column1" dataDxfId="38">
      <calculatedColumnFormula>Table4[[#This Row],[SpellID]]-Table5[[#This Row],[Spell ID]]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G1:S263" totalsRowShown="0" headerRowDxfId="37" dataDxfId="35" headerRowBorderDxfId="36" tableBorderDxfId="34" totalsRowBorderDxfId="33">
  <autoFilter ref="G1:S263"/>
  <sortState ref="G2:S371">
    <sortCondition ref="G1:G371"/>
  </sortState>
  <tableColumns count="13">
    <tableColumn id="1" name="Spell ID" dataDxfId="32"/>
    <tableColumn id="2" name="Name" dataDxfId="31"/>
    <tableColumn id="3" name="Category" dataDxfId="30"/>
    <tableColumn id="4" name="Speed" dataDxfId="29"/>
    <tableColumn id="5" name="MinSpeed"/>
    <tableColumn id="6" name="SwimSpeed" dataDxfId="28"/>
    <tableColumn id="7" name="NormalMount" dataDxfId="27"/>
    <tableColumn id="8" name="AQMounts" dataDxfId="26"/>
    <tableColumn id="9" name="ItemID" dataDxfId="25"/>
    <tableColumn id="10" name="Source" dataDxfId="24"/>
    <tableColumn id="11" name="Alliance" dataDxfId="23"/>
    <tableColumn id="12" name="Horde" dataDxfId="22"/>
    <tableColumn id="13" name="Send to Addon" dataDxf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9"/>
  <sheetViews>
    <sheetView topLeftCell="A430" workbookViewId="0">
      <selection activeCell="E1" sqref="E1:F489"/>
    </sheetView>
  </sheetViews>
  <sheetFormatPr defaultRowHeight="14.5" x14ac:dyDescent="0.35"/>
  <cols>
    <col min="1" max="1" width="52" customWidth="1"/>
    <col min="2" max="2" width="30.1796875" bestFit="1" customWidth="1"/>
    <col min="5" max="5" width="12.1796875" customWidth="1"/>
    <col min="6" max="6" width="19.81640625" customWidth="1"/>
  </cols>
  <sheetData>
    <row r="1" spans="1:6" x14ac:dyDescent="0.35">
      <c r="A1" t="s">
        <v>537</v>
      </c>
      <c r="B1">
        <f>FIND("]",A1)</f>
        <v>8</v>
      </c>
      <c r="C1">
        <f t="shared" ref="C1:C64" si="0">FIND("""",A1)</f>
        <v>12</v>
      </c>
      <c r="D1">
        <f t="shared" ref="D1:D64" si="1">FIND("""",A1,C1+1)</f>
        <v>31</v>
      </c>
      <c r="E1">
        <f t="shared" ref="E1:E65" si="2">INT(MID(A1,2,B1-2))</f>
        <v>387320</v>
      </c>
      <c r="F1" t="str">
        <f t="shared" ref="F1:F64" si="3">MID(A1,C1+1,D1-C1-1)</f>
        <v>Blazing Hippogryph</v>
      </c>
    </row>
    <row r="2" spans="1:6" x14ac:dyDescent="0.35">
      <c r="A2" t="s">
        <v>538</v>
      </c>
      <c r="B2">
        <f t="shared" ref="B2:B65" si="4">FIND("]",A2)</f>
        <v>7</v>
      </c>
      <c r="C2">
        <f t="shared" si="0"/>
        <v>11</v>
      </c>
      <c r="D2">
        <f t="shared" si="1"/>
        <v>32</v>
      </c>
      <c r="E2">
        <f t="shared" si="2"/>
        <v>17453</v>
      </c>
      <c r="F2" t="str">
        <f t="shared" si="3"/>
        <v>Green Mechanostrider</v>
      </c>
    </row>
    <row r="3" spans="1:6" x14ac:dyDescent="0.35">
      <c r="A3" t="s">
        <v>539</v>
      </c>
      <c r="B3">
        <f t="shared" si="4"/>
        <v>7</v>
      </c>
      <c r="C3">
        <f t="shared" si="0"/>
        <v>11</v>
      </c>
      <c r="D3">
        <f t="shared" si="1"/>
        <v>21</v>
      </c>
      <c r="E3">
        <f t="shared" si="2"/>
        <v>17461</v>
      </c>
      <c r="F3" t="str">
        <f t="shared" si="3"/>
        <v>Black Ram</v>
      </c>
    </row>
    <row r="4" spans="1:6" x14ac:dyDescent="0.35">
      <c r="A4" t="s">
        <v>540</v>
      </c>
      <c r="B4">
        <f t="shared" si="4"/>
        <v>7</v>
      </c>
      <c r="C4">
        <f t="shared" si="0"/>
        <v>11</v>
      </c>
      <c r="D4">
        <f t="shared" si="1"/>
        <v>31</v>
      </c>
      <c r="E4">
        <f t="shared" si="2"/>
        <v>60424</v>
      </c>
      <c r="F4" t="str">
        <f t="shared" si="3"/>
        <v>Mekgineer's Chopper</v>
      </c>
    </row>
    <row r="5" spans="1:6" x14ac:dyDescent="0.35">
      <c r="A5" t="s">
        <v>541</v>
      </c>
      <c r="B5">
        <f t="shared" si="4"/>
        <v>7</v>
      </c>
      <c r="C5">
        <f t="shared" si="0"/>
        <v>11</v>
      </c>
      <c r="D5">
        <f t="shared" si="1"/>
        <v>35</v>
      </c>
      <c r="E5">
        <f t="shared" si="2"/>
        <v>32296</v>
      </c>
      <c r="F5" t="str">
        <f t="shared" si="3"/>
        <v>Swift Yellow Wind Rider</v>
      </c>
    </row>
    <row r="6" spans="1:6" x14ac:dyDescent="0.35">
      <c r="A6" t="s">
        <v>542</v>
      </c>
      <c r="B6">
        <f t="shared" si="4"/>
        <v>7</v>
      </c>
      <c r="C6">
        <f t="shared" si="0"/>
        <v>11</v>
      </c>
      <c r="D6">
        <f t="shared" si="1"/>
        <v>27</v>
      </c>
      <c r="E6">
        <f t="shared" si="2"/>
        <v>59961</v>
      </c>
      <c r="F6" t="str">
        <f t="shared" si="3"/>
        <v>Red Proto-Drake</v>
      </c>
    </row>
    <row r="7" spans="1:6" x14ac:dyDescent="0.35">
      <c r="A7" t="s">
        <v>543</v>
      </c>
      <c r="B7">
        <f t="shared" si="4"/>
        <v>7</v>
      </c>
      <c r="C7">
        <f t="shared" si="0"/>
        <v>11</v>
      </c>
      <c r="D7">
        <f t="shared" si="1"/>
        <v>25</v>
      </c>
      <c r="E7">
        <f t="shared" si="2"/>
        <v>92232</v>
      </c>
      <c r="F7" t="str">
        <f t="shared" si="3"/>
        <v>Spectral Wolf</v>
      </c>
    </row>
    <row r="8" spans="1:6" x14ac:dyDescent="0.35">
      <c r="A8" t="s">
        <v>544</v>
      </c>
      <c r="B8">
        <f t="shared" si="4"/>
        <v>7</v>
      </c>
      <c r="C8">
        <f t="shared" si="0"/>
        <v>11</v>
      </c>
      <c r="D8">
        <f t="shared" si="1"/>
        <v>24</v>
      </c>
      <c r="E8">
        <f t="shared" si="2"/>
        <v>60025</v>
      </c>
      <c r="F8" t="str">
        <f t="shared" si="3"/>
        <v>Albino Drake</v>
      </c>
    </row>
    <row r="9" spans="1:6" x14ac:dyDescent="0.35">
      <c r="A9" t="s">
        <v>545</v>
      </c>
      <c r="B9">
        <f t="shared" si="4"/>
        <v>8</v>
      </c>
      <c r="C9">
        <f t="shared" si="0"/>
        <v>12</v>
      </c>
      <c r="D9">
        <f t="shared" si="1"/>
        <v>31</v>
      </c>
      <c r="E9">
        <f t="shared" si="2"/>
        <v>387323</v>
      </c>
      <c r="F9" t="str">
        <f t="shared" si="3"/>
        <v>X-51 Nether-Rocket</v>
      </c>
    </row>
    <row r="10" spans="1:6" x14ac:dyDescent="0.35">
      <c r="A10" t="s">
        <v>546</v>
      </c>
      <c r="B10">
        <f t="shared" si="4"/>
        <v>7</v>
      </c>
      <c r="C10">
        <f t="shared" si="0"/>
        <v>11</v>
      </c>
      <c r="D10">
        <f t="shared" si="1"/>
        <v>30</v>
      </c>
      <c r="E10">
        <f t="shared" si="2"/>
        <v>35018</v>
      </c>
      <c r="F10" t="str">
        <f t="shared" si="3"/>
        <v>Purple Hawkstrider</v>
      </c>
    </row>
    <row r="11" spans="1:6" x14ac:dyDescent="0.35">
      <c r="A11" t="s">
        <v>547</v>
      </c>
      <c r="B11">
        <f t="shared" si="4"/>
        <v>7</v>
      </c>
      <c r="C11">
        <f t="shared" si="0"/>
        <v>11</v>
      </c>
      <c r="D11">
        <f t="shared" si="1"/>
        <v>26</v>
      </c>
      <c r="E11">
        <f t="shared" si="2"/>
        <v>66906</v>
      </c>
      <c r="F11" t="str">
        <f t="shared" si="3"/>
        <v>Argent Charger</v>
      </c>
    </row>
    <row r="12" spans="1:6" x14ac:dyDescent="0.35">
      <c r="A12" t="s">
        <v>548</v>
      </c>
      <c r="B12">
        <f t="shared" si="4"/>
        <v>7</v>
      </c>
      <c r="C12">
        <f t="shared" si="0"/>
        <v>11</v>
      </c>
      <c r="D12">
        <f t="shared" si="1"/>
        <v>26</v>
      </c>
      <c r="E12">
        <f t="shared" si="2"/>
        <v>40192</v>
      </c>
      <c r="F12" t="str">
        <f t="shared" si="3"/>
        <v>Ashes of Al'ar</v>
      </c>
    </row>
    <row r="13" spans="1:6" x14ac:dyDescent="0.35">
      <c r="A13" t="s">
        <v>549</v>
      </c>
      <c r="B13">
        <f t="shared" si="4"/>
        <v>7</v>
      </c>
      <c r="C13">
        <f t="shared" si="0"/>
        <v>11</v>
      </c>
      <c r="D13">
        <f t="shared" si="1"/>
        <v>28</v>
      </c>
      <c r="E13">
        <f t="shared" si="2"/>
        <v>68056</v>
      </c>
      <c r="F13" t="str">
        <f t="shared" si="3"/>
        <v>Swift Horde Wolf</v>
      </c>
    </row>
    <row r="14" spans="1:6" x14ac:dyDescent="0.35">
      <c r="A14" t="s">
        <v>550</v>
      </c>
      <c r="B14">
        <f t="shared" si="4"/>
        <v>7</v>
      </c>
      <c r="C14">
        <f t="shared" si="0"/>
        <v>11</v>
      </c>
      <c r="D14">
        <f t="shared" si="1"/>
        <v>27</v>
      </c>
      <c r="E14">
        <f t="shared" si="2"/>
        <v>22723</v>
      </c>
      <c r="F14" t="str">
        <f t="shared" si="3"/>
        <v>Black War Tiger</v>
      </c>
    </row>
    <row r="15" spans="1:6" x14ac:dyDescent="0.35">
      <c r="A15" t="s">
        <v>551</v>
      </c>
      <c r="B15">
        <f t="shared" si="4"/>
        <v>7</v>
      </c>
      <c r="C15">
        <f t="shared" si="0"/>
        <v>11</v>
      </c>
      <c r="D15">
        <f t="shared" si="1"/>
        <v>30</v>
      </c>
      <c r="E15">
        <f t="shared" si="2"/>
        <v>23242</v>
      </c>
      <c r="F15" t="str">
        <f t="shared" si="3"/>
        <v>Swift Olive Raptor</v>
      </c>
    </row>
    <row r="16" spans="1:6" x14ac:dyDescent="0.35">
      <c r="A16" t="s">
        <v>552</v>
      </c>
      <c r="B16">
        <f t="shared" si="4"/>
        <v>7</v>
      </c>
      <c r="C16">
        <f t="shared" si="0"/>
        <v>11</v>
      </c>
      <c r="D16">
        <f t="shared" si="1"/>
        <v>28</v>
      </c>
      <c r="E16">
        <f t="shared" si="2"/>
        <v>23250</v>
      </c>
      <c r="F16" t="str">
        <f t="shared" si="3"/>
        <v>Swift Brown Wolf</v>
      </c>
    </row>
    <row r="17" spans="1:6" x14ac:dyDescent="0.35">
      <c r="A17" t="s">
        <v>553</v>
      </c>
      <c r="B17">
        <f t="shared" si="4"/>
        <v>7</v>
      </c>
      <c r="C17">
        <f t="shared" si="0"/>
        <v>11</v>
      </c>
      <c r="D17">
        <f t="shared" si="1"/>
        <v>42</v>
      </c>
      <c r="E17">
        <f t="shared" si="2"/>
        <v>65439</v>
      </c>
      <c r="F17" t="str">
        <f t="shared" si="3"/>
        <v>Furious Gladiator's Frost Wyrm</v>
      </c>
    </row>
    <row r="18" spans="1:6" x14ac:dyDescent="0.35">
      <c r="A18" t="s">
        <v>554</v>
      </c>
      <c r="B18">
        <f t="shared" si="4"/>
        <v>7</v>
      </c>
      <c r="C18">
        <f t="shared" si="0"/>
        <v>11</v>
      </c>
      <c r="D18">
        <f t="shared" si="1"/>
        <v>27</v>
      </c>
      <c r="E18">
        <f t="shared" si="2"/>
        <v>34795</v>
      </c>
      <c r="F18" t="str">
        <f t="shared" si="3"/>
        <v>Red Hawkstrider</v>
      </c>
    </row>
    <row r="19" spans="1:6" x14ac:dyDescent="0.35">
      <c r="A19" t="s">
        <v>555</v>
      </c>
      <c r="B19">
        <f t="shared" si="4"/>
        <v>7</v>
      </c>
      <c r="C19">
        <f t="shared" si="0"/>
        <v>11</v>
      </c>
      <c r="D19">
        <f t="shared" si="1"/>
        <v>25</v>
      </c>
      <c r="E19">
        <f t="shared" si="2"/>
        <v>65917</v>
      </c>
      <c r="F19" t="str">
        <f t="shared" si="3"/>
        <v>Magic Rooster</v>
      </c>
    </row>
    <row r="20" spans="1:6" x14ac:dyDescent="0.35">
      <c r="A20" t="s">
        <v>556</v>
      </c>
      <c r="B20">
        <f t="shared" si="4"/>
        <v>7</v>
      </c>
      <c r="C20">
        <f t="shared" si="0"/>
        <v>11</v>
      </c>
      <c r="D20">
        <f t="shared" si="1"/>
        <v>28</v>
      </c>
      <c r="E20">
        <f t="shared" si="2"/>
        <v>23338</v>
      </c>
      <c r="F20" t="str">
        <f t="shared" si="3"/>
        <v>Swift Stormsaber</v>
      </c>
    </row>
    <row r="21" spans="1:6" x14ac:dyDescent="0.35">
      <c r="A21" t="s">
        <v>557</v>
      </c>
      <c r="B21">
        <f t="shared" si="4"/>
        <v>7</v>
      </c>
      <c r="C21">
        <f t="shared" si="0"/>
        <v>11</v>
      </c>
      <c r="D21">
        <f t="shared" si="1"/>
        <v>35</v>
      </c>
      <c r="E21">
        <f t="shared" si="2"/>
        <v>46628</v>
      </c>
      <c r="F21" t="str">
        <f t="shared" si="3"/>
        <v>Swift White Hawkstrider</v>
      </c>
    </row>
    <row r="22" spans="1:6" x14ac:dyDescent="0.35">
      <c r="A22" t="s">
        <v>558</v>
      </c>
      <c r="B22">
        <f t="shared" si="4"/>
        <v>7</v>
      </c>
      <c r="C22">
        <f t="shared" si="0"/>
        <v>11</v>
      </c>
      <c r="D22">
        <f t="shared" si="1"/>
        <v>26</v>
      </c>
      <c r="E22">
        <f t="shared" si="2"/>
        <v>44153</v>
      </c>
      <c r="F22" t="str">
        <f t="shared" si="3"/>
        <v>Flying Machine</v>
      </c>
    </row>
    <row r="23" spans="1:6" x14ac:dyDescent="0.35">
      <c r="A23" t="s">
        <v>559</v>
      </c>
      <c r="B23">
        <f t="shared" si="4"/>
        <v>7</v>
      </c>
      <c r="C23">
        <f t="shared" si="0"/>
        <v>11</v>
      </c>
      <c r="D23">
        <f t="shared" si="1"/>
        <v>30</v>
      </c>
      <c r="E23">
        <f t="shared" si="2"/>
        <v>37015</v>
      </c>
      <c r="F23" t="str">
        <f t="shared" si="3"/>
        <v>Swift Nether Drake</v>
      </c>
    </row>
    <row r="24" spans="1:6" x14ac:dyDescent="0.35">
      <c r="A24" t="s">
        <v>560</v>
      </c>
      <c r="B24">
        <f t="shared" si="4"/>
        <v>7</v>
      </c>
      <c r="C24">
        <f t="shared" si="0"/>
        <v>11</v>
      </c>
      <c r="D24">
        <f t="shared" si="1"/>
        <v>28</v>
      </c>
      <c r="E24">
        <f t="shared" si="2"/>
        <v>63635</v>
      </c>
      <c r="F24" t="str">
        <f t="shared" si="3"/>
        <v>Darkspear Raptor</v>
      </c>
    </row>
    <row r="25" spans="1:6" x14ac:dyDescent="0.35">
      <c r="A25" t="s">
        <v>561</v>
      </c>
      <c r="B25">
        <f t="shared" si="4"/>
        <v>7</v>
      </c>
      <c r="C25">
        <f t="shared" si="0"/>
        <v>11</v>
      </c>
      <c r="D25">
        <f t="shared" si="1"/>
        <v>34</v>
      </c>
      <c r="E25">
        <f t="shared" si="2"/>
        <v>44744</v>
      </c>
      <c r="F25" t="str">
        <f t="shared" si="3"/>
        <v>Merciless Nether Drake</v>
      </c>
    </row>
    <row r="26" spans="1:6" x14ac:dyDescent="0.35">
      <c r="A26" t="s">
        <v>903</v>
      </c>
      <c r="B26">
        <f t="shared" si="4"/>
        <v>8</v>
      </c>
      <c r="C26">
        <f t="shared" si="0"/>
        <v>12</v>
      </c>
      <c r="D26">
        <f t="shared" si="1"/>
        <v>27</v>
      </c>
      <c r="E26">
        <f t="shared" si="2"/>
        <v>153489</v>
      </c>
      <c r="F26" t="str">
        <f t="shared" si="3"/>
        <v>Iron Skyreaver</v>
      </c>
    </row>
    <row r="27" spans="1:6" x14ac:dyDescent="0.35">
      <c r="A27" t="s">
        <v>904</v>
      </c>
      <c r="B27">
        <f t="shared" si="4"/>
        <v>8</v>
      </c>
      <c r="C27">
        <f t="shared" si="0"/>
        <v>12</v>
      </c>
      <c r="D27">
        <f t="shared" si="1"/>
        <v>29</v>
      </c>
      <c r="E27">
        <f t="shared" si="2"/>
        <v>123182</v>
      </c>
      <c r="F27" t="str">
        <f t="shared" si="3"/>
        <v>White Riding Yak</v>
      </c>
    </row>
    <row r="28" spans="1:6" x14ac:dyDescent="0.35">
      <c r="A28" t="s">
        <v>905</v>
      </c>
      <c r="B28">
        <f t="shared" si="4"/>
        <v>8</v>
      </c>
      <c r="C28">
        <f t="shared" si="0"/>
        <v>12</v>
      </c>
      <c r="D28">
        <f t="shared" si="1"/>
        <v>37</v>
      </c>
      <c r="E28">
        <f t="shared" si="2"/>
        <v>127302</v>
      </c>
      <c r="F28" t="str">
        <f t="shared" si="3"/>
        <v>Great Blue Dragon Turtle</v>
      </c>
    </row>
    <row r="29" spans="1:6" x14ac:dyDescent="0.35">
      <c r="A29" t="s">
        <v>563</v>
      </c>
      <c r="B29">
        <f t="shared" si="4"/>
        <v>7</v>
      </c>
      <c r="C29">
        <f t="shared" si="0"/>
        <v>11</v>
      </c>
      <c r="D29">
        <f t="shared" si="1"/>
        <v>28</v>
      </c>
      <c r="E29">
        <f t="shared" si="2"/>
        <v>98718</v>
      </c>
      <c r="F29" t="str">
        <f t="shared" si="3"/>
        <v>Subdued Seahorse</v>
      </c>
    </row>
    <row r="30" spans="1:6" x14ac:dyDescent="0.35">
      <c r="A30" t="s">
        <v>906</v>
      </c>
      <c r="B30">
        <f t="shared" si="4"/>
        <v>9</v>
      </c>
      <c r="C30">
        <f t="shared" si="0"/>
        <v>13</v>
      </c>
      <c r="D30">
        <f t="shared" si="1"/>
        <v>38</v>
      </c>
      <c r="E30">
        <f t="shared" si="2"/>
        <v>1247596</v>
      </c>
      <c r="F30" t="str">
        <f t="shared" si="3"/>
        <v>Celestial Riding Serpent</v>
      </c>
    </row>
    <row r="31" spans="1:6" x14ac:dyDescent="0.35">
      <c r="A31" t="s">
        <v>564</v>
      </c>
      <c r="B31">
        <f t="shared" si="4"/>
        <v>6</v>
      </c>
      <c r="C31">
        <f t="shared" si="0"/>
        <v>10</v>
      </c>
      <c r="D31">
        <f t="shared" si="1"/>
        <v>20</v>
      </c>
      <c r="E31">
        <f t="shared" si="2"/>
        <v>6653</v>
      </c>
      <c r="F31" t="str">
        <f t="shared" si="3"/>
        <v>Dire Wolf</v>
      </c>
    </row>
    <row r="32" spans="1:6" x14ac:dyDescent="0.35">
      <c r="A32" t="s">
        <v>565</v>
      </c>
      <c r="B32">
        <f t="shared" si="4"/>
        <v>7</v>
      </c>
      <c r="C32">
        <f t="shared" si="0"/>
        <v>11</v>
      </c>
      <c r="D32">
        <f t="shared" si="1"/>
        <v>31</v>
      </c>
      <c r="E32">
        <f t="shared" si="2"/>
        <v>33630</v>
      </c>
      <c r="F32" t="str">
        <f t="shared" si="3"/>
        <v>Blue Mechanostrider</v>
      </c>
    </row>
    <row r="33" spans="1:6" x14ac:dyDescent="0.35">
      <c r="A33" t="s">
        <v>907</v>
      </c>
      <c r="B33">
        <f t="shared" si="4"/>
        <v>9</v>
      </c>
      <c r="C33">
        <f t="shared" si="0"/>
        <v>13</v>
      </c>
      <c r="D33">
        <f t="shared" si="1"/>
        <v>36</v>
      </c>
      <c r="E33">
        <f t="shared" si="2"/>
        <v>1247591</v>
      </c>
      <c r="F33" t="str">
        <f t="shared" si="3"/>
        <v>Celestial Riding Crane</v>
      </c>
    </row>
    <row r="34" spans="1:6" x14ac:dyDescent="0.35">
      <c r="A34" t="s">
        <v>908</v>
      </c>
      <c r="B34">
        <f t="shared" si="4"/>
        <v>8</v>
      </c>
      <c r="C34">
        <f t="shared" si="0"/>
        <v>12</v>
      </c>
      <c r="D34">
        <f t="shared" si="1"/>
        <v>47</v>
      </c>
      <c r="E34">
        <f t="shared" si="2"/>
        <v>148620</v>
      </c>
      <c r="F34" t="str">
        <f t="shared" si="3"/>
        <v>Prideful Gladiator's Cloud Serpent</v>
      </c>
    </row>
    <row r="35" spans="1:6" x14ac:dyDescent="0.35">
      <c r="A35" t="s">
        <v>909</v>
      </c>
      <c r="B35">
        <f t="shared" si="4"/>
        <v>8</v>
      </c>
      <c r="C35">
        <f t="shared" si="0"/>
        <v>12</v>
      </c>
      <c r="D35">
        <f t="shared" si="1"/>
        <v>47</v>
      </c>
      <c r="E35">
        <f t="shared" si="2"/>
        <v>148619</v>
      </c>
      <c r="F35" t="str">
        <f t="shared" si="3"/>
        <v>Grievous Gladiator's Cloud Serpent</v>
      </c>
    </row>
    <row r="36" spans="1:6" x14ac:dyDescent="0.35">
      <c r="A36" t="s">
        <v>566</v>
      </c>
      <c r="B36">
        <f t="shared" si="4"/>
        <v>7</v>
      </c>
      <c r="C36">
        <f t="shared" si="0"/>
        <v>11</v>
      </c>
      <c r="D36">
        <f t="shared" si="1"/>
        <v>32</v>
      </c>
      <c r="E36">
        <f t="shared" si="2"/>
        <v>39315</v>
      </c>
      <c r="F36" t="str">
        <f t="shared" si="3"/>
        <v>Cobalt Riding Talbuk</v>
      </c>
    </row>
    <row r="37" spans="1:6" x14ac:dyDescent="0.35">
      <c r="A37" t="s">
        <v>814</v>
      </c>
      <c r="B37">
        <f t="shared" si="4"/>
        <v>7</v>
      </c>
      <c r="C37">
        <f t="shared" si="0"/>
        <v>11</v>
      </c>
      <c r="D37">
        <f t="shared" si="1"/>
        <v>26</v>
      </c>
      <c r="E37">
        <f t="shared" si="2"/>
        <v>23214</v>
      </c>
      <c r="F37" t="str">
        <f t="shared" si="3"/>
        <v>Summon Charger</v>
      </c>
    </row>
    <row r="38" spans="1:6" x14ac:dyDescent="0.35">
      <c r="A38" t="s">
        <v>910</v>
      </c>
      <c r="B38">
        <f t="shared" si="4"/>
        <v>8</v>
      </c>
      <c r="C38">
        <f t="shared" si="0"/>
        <v>12</v>
      </c>
      <c r="D38">
        <f t="shared" si="1"/>
        <v>42</v>
      </c>
      <c r="E38">
        <f t="shared" si="2"/>
        <v>148476</v>
      </c>
      <c r="F38" t="str">
        <f t="shared" si="3"/>
        <v>Thundering Onyx Cloud Serpent</v>
      </c>
    </row>
    <row r="39" spans="1:6" x14ac:dyDescent="0.35">
      <c r="A39" t="s">
        <v>911</v>
      </c>
      <c r="B39">
        <f t="shared" si="4"/>
        <v>8</v>
      </c>
      <c r="C39">
        <f t="shared" si="0"/>
        <v>12</v>
      </c>
      <c r="D39">
        <f t="shared" si="1"/>
        <v>30</v>
      </c>
      <c r="E39">
        <f t="shared" si="2"/>
        <v>148396</v>
      </c>
      <c r="F39" t="str">
        <f t="shared" si="3"/>
        <v>Kor'kron War Wolf</v>
      </c>
    </row>
    <row r="40" spans="1:6" x14ac:dyDescent="0.35">
      <c r="A40" t="s">
        <v>912</v>
      </c>
      <c r="B40">
        <f t="shared" si="4"/>
        <v>8</v>
      </c>
      <c r="C40">
        <f t="shared" si="0"/>
        <v>12</v>
      </c>
      <c r="D40">
        <f t="shared" si="1"/>
        <v>30</v>
      </c>
      <c r="E40">
        <f t="shared" si="2"/>
        <v>148392</v>
      </c>
      <c r="F40" t="str">
        <f t="shared" si="3"/>
        <v>Spawn of Galakras</v>
      </c>
    </row>
    <row r="41" spans="1:6" x14ac:dyDescent="0.35">
      <c r="A41" t="s">
        <v>567</v>
      </c>
      <c r="B41">
        <f t="shared" si="4"/>
        <v>7</v>
      </c>
      <c r="C41">
        <f t="shared" si="0"/>
        <v>11</v>
      </c>
      <c r="D41">
        <f t="shared" si="1"/>
        <v>32</v>
      </c>
      <c r="E41">
        <f t="shared" si="2"/>
        <v>75596</v>
      </c>
      <c r="F41" t="str">
        <f t="shared" si="3"/>
        <v>Frosty Flying Carpet</v>
      </c>
    </row>
    <row r="42" spans="1:6" x14ac:dyDescent="0.35">
      <c r="A42" t="s">
        <v>913</v>
      </c>
      <c r="B42">
        <f t="shared" si="4"/>
        <v>8</v>
      </c>
      <c r="C42">
        <f t="shared" si="0"/>
        <v>12</v>
      </c>
      <c r="D42">
        <f t="shared" si="1"/>
        <v>36</v>
      </c>
      <c r="E42">
        <f t="shared" si="2"/>
        <v>142478</v>
      </c>
      <c r="F42" t="str">
        <f t="shared" si="3"/>
        <v>Armored Blue Dragonhawk</v>
      </c>
    </row>
    <row r="43" spans="1:6" x14ac:dyDescent="0.35">
      <c r="A43" t="s">
        <v>568</v>
      </c>
      <c r="B43">
        <f t="shared" si="4"/>
        <v>7</v>
      </c>
      <c r="C43">
        <f t="shared" si="0"/>
        <v>11</v>
      </c>
      <c r="D43">
        <f t="shared" si="1"/>
        <v>32</v>
      </c>
      <c r="E43">
        <f t="shared" si="2"/>
        <v>64977</v>
      </c>
      <c r="F43" t="str">
        <f t="shared" si="3"/>
        <v>Black Skeletal Horse</v>
      </c>
    </row>
    <row r="44" spans="1:6" x14ac:dyDescent="0.35">
      <c r="A44" t="s">
        <v>569</v>
      </c>
      <c r="B44">
        <f t="shared" si="4"/>
        <v>7</v>
      </c>
      <c r="C44">
        <f t="shared" si="0"/>
        <v>11</v>
      </c>
      <c r="D44">
        <f t="shared" si="1"/>
        <v>36</v>
      </c>
      <c r="E44">
        <f t="shared" si="2"/>
        <v>17454</v>
      </c>
      <c r="F44" t="str">
        <f t="shared" si="3"/>
        <v>Unpainted Mechanostrider</v>
      </c>
    </row>
    <row r="45" spans="1:6" x14ac:dyDescent="0.35">
      <c r="A45" t="s">
        <v>570</v>
      </c>
      <c r="B45">
        <f t="shared" si="4"/>
        <v>7</v>
      </c>
      <c r="C45">
        <f t="shared" si="0"/>
        <v>11</v>
      </c>
      <c r="D45">
        <f t="shared" si="1"/>
        <v>30</v>
      </c>
      <c r="E45">
        <f t="shared" si="2"/>
        <v>17462</v>
      </c>
      <c r="F45" t="str">
        <f t="shared" si="3"/>
        <v>Red Skeletal Horse</v>
      </c>
    </row>
    <row r="46" spans="1:6" x14ac:dyDescent="0.35">
      <c r="A46" t="s">
        <v>571</v>
      </c>
      <c r="B46">
        <f t="shared" si="4"/>
        <v>7</v>
      </c>
      <c r="C46">
        <f t="shared" si="0"/>
        <v>11</v>
      </c>
      <c r="D46">
        <f t="shared" si="1"/>
        <v>29</v>
      </c>
      <c r="E46">
        <f t="shared" si="2"/>
        <v>32289</v>
      </c>
      <c r="F46" t="str">
        <f t="shared" si="3"/>
        <v>Swift Red Gryphon</v>
      </c>
    </row>
    <row r="47" spans="1:6" x14ac:dyDescent="0.35">
      <c r="A47" t="s">
        <v>572</v>
      </c>
      <c r="B47">
        <f t="shared" si="4"/>
        <v>7</v>
      </c>
      <c r="C47">
        <f t="shared" si="0"/>
        <v>11</v>
      </c>
      <c r="D47">
        <f t="shared" si="1"/>
        <v>35</v>
      </c>
      <c r="E47">
        <f t="shared" si="2"/>
        <v>32297</v>
      </c>
      <c r="F47" t="str">
        <f t="shared" si="3"/>
        <v>Swift Purple Wind Rider</v>
      </c>
    </row>
    <row r="48" spans="1:6" x14ac:dyDescent="0.35">
      <c r="A48" t="s">
        <v>914</v>
      </c>
      <c r="B48">
        <f t="shared" si="4"/>
        <v>8</v>
      </c>
      <c r="C48">
        <f t="shared" si="0"/>
        <v>12</v>
      </c>
      <c r="D48">
        <f t="shared" si="1"/>
        <v>35</v>
      </c>
      <c r="E48">
        <f t="shared" si="2"/>
        <v>142266</v>
      </c>
      <c r="F48" t="str">
        <f t="shared" si="3"/>
        <v>Armored Red Dragonhawk</v>
      </c>
    </row>
    <row r="49" spans="1:6" x14ac:dyDescent="0.35">
      <c r="A49" t="s">
        <v>573</v>
      </c>
      <c r="B49">
        <f t="shared" si="4"/>
        <v>7</v>
      </c>
      <c r="C49">
        <f t="shared" si="0"/>
        <v>11</v>
      </c>
      <c r="D49">
        <f t="shared" si="1"/>
        <v>37</v>
      </c>
      <c r="E49">
        <f t="shared" si="2"/>
        <v>68187</v>
      </c>
      <c r="F49" t="str">
        <f t="shared" si="3"/>
        <v>Crusader's White Warhorse</v>
      </c>
    </row>
    <row r="50" spans="1:6" x14ac:dyDescent="0.35">
      <c r="A50" t="s">
        <v>915</v>
      </c>
      <c r="B50">
        <f t="shared" si="4"/>
        <v>8</v>
      </c>
      <c r="C50">
        <f t="shared" si="0"/>
        <v>12</v>
      </c>
      <c r="D50">
        <f t="shared" si="1"/>
        <v>29</v>
      </c>
      <c r="E50">
        <f t="shared" si="2"/>
        <v>139448</v>
      </c>
      <c r="F50" t="str">
        <f t="shared" si="3"/>
        <v>Clutch of Ji-Kun</v>
      </c>
    </row>
    <row r="51" spans="1:6" x14ac:dyDescent="0.35">
      <c r="A51" t="s">
        <v>574</v>
      </c>
      <c r="B51">
        <f t="shared" si="4"/>
        <v>8</v>
      </c>
      <c r="C51">
        <f t="shared" si="0"/>
        <v>12</v>
      </c>
      <c r="D51">
        <f t="shared" si="1"/>
        <v>31</v>
      </c>
      <c r="E51">
        <f t="shared" si="2"/>
        <v>102488</v>
      </c>
      <c r="F51" t="str">
        <f t="shared" si="3"/>
        <v>White Riding Camel</v>
      </c>
    </row>
    <row r="52" spans="1:6" x14ac:dyDescent="0.35">
      <c r="A52" t="s">
        <v>916</v>
      </c>
      <c r="B52">
        <f t="shared" si="4"/>
        <v>8</v>
      </c>
      <c r="C52">
        <f t="shared" si="0"/>
        <v>12</v>
      </c>
      <c r="D52">
        <f t="shared" si="1"/>
        <v>42</v>
      </c>
      <c r="E52">
        <f t="shared" si="2"/>
        <v>132036</v>
      </c>
      <c r="F52" t="str">
        <f t="shared" si="3"/>
        <v>Thundering Ruby Cloud Serpent</v>
      </c>
    </row>
    <row r="53" spans="1:6" x14ac:dyDescent="0.35">
      <c r="A53" t="s">
        <v>917</v>
      </c>
      <c r="B53">
        <f t="shared" si="4"/>
        <v>8</v>
      </c>
      <c r="C53">
        <f t="shared" si="0"/>
        <v>12</v>
      </c>
      <c r="D53">
        <f t="shared" si="1"/>
        <v>49</v>
      </c>
      <c r="E53">
        <f t="shared" si="2"/>
        <v>139407</v>
      </c>
      <c r="F53" t="str">
        <f t="shared" si="3"/>
        <v>Malevolent Gladiator's Cloud Serpent</v>
      </c>
    </row>
    <row r="54" spans="1:6" x14ac:dyDescent="0.35">
      <c r="A54" t="s">
        <v>918</v>
      </c>
      <c r="B54">
        <f t="shared" si="4"/>
        <v>8</v>
      </c>
      <c r="C54">
        <f t="shared" si="0"/>
        <v>12</v>
      </c>
      <c r="D54">
        <f t="shared" si="1"/>
        <v>34</v>
      </c>
      <c r="E54">
        <f t="shared" si="2"/>
        <v>135416</v>
      </c>
      <c r="F54" t="str">
        <f t="shared" si="3"/>
        <v>Grand Armored Gryphon</v>
      </c>
    </row>
    <row r="55" spans="1:6" x14ac:dyDescent="0.35">
      <c r="A55" t="s">
        <v>575</v>
      </c>
      <c r="B55">
        <f t="shared" si="4"/>
        <v>7</v>
      </c>
      <c r="C55">
        <f t="shared" si="0"/>
        <v>11</v>
      </c>
      <c r="D55">
        <f t="shared" si="1"/>
        <v>28</v>
      </c>
      <c r="E55">
        <f t="shared" si="2"/>
        <v>35020</v>
      </c>
      <c r="F55" t="str">
        <f t="shared" si="3"/>
        <v>Blue Hawkstrider</v>
      </c>
    </row>
    <row r="56" spans="1:6" x14ac:dyDescent="0.35">
      <c r="A56" t="s">
        <v>919</v>
      </c>
      <c r="B56">
        <f t="shared" si="4"/>
        <v>8</v>
      </c>
      <c r="C56">
        <f t="shared" si="0"/>
        <v>12</v>
      </c>
      <c r="D56">
        <f t="shared" si="1"/>
        <v>32</v>
      </c>
      <c r="E56">
        <f t="shared" si="2"/>
        <v>127176</v>
      </c>
      <c r="F56" t="str">
        <f t="shared" si="3"/>
        <v>Golden Riding Crane</v>
      </c>
    </row>
    <row r="57" spans="1:6" x14ac:dyDescent="0.35">
      <c r="A57" t="s">
        <v>920</v>
      </c>
      <c r="B57">
        <f t="shared" si="4"/>
        <v>8</v>
      </c>
      <c r="C57">
        <f t="shared" si="0"/>
        <v>12</v>
      </c>
      <c r="D57">
        <f t="shared" si="1"/>
        <v>32</v>
      </c>
      <c r="E57">
        <f t="shared" si="2"/>
        <v>127286</v>
      </c>
      <c r="F57" t="str">
        <f t="shared" si="3"/>
        <v>Black Dragon Turtle</v>
      </c>
    </row>
    <row r="58" spans="1:6" x14ac:dyDescent="0.35">
      <c r="A58" t="s">
        <v>921</v>
      </c>
      <c r="B58">
        <f t="shared" si="4"/>
        <v>8</v>
      </c>
      <c r="C58">
        <f t="shared" si="0"/>
        <v>12</v>
      </c>
      <c r="D58">
        <f t="shared" si="1"/>
        <v>29</v>
      </c>
      <c r="E58">
        <f t="shared" si="2"/>
        <v>127213</v>
      </c>
      <c r="F58" t="str">
        <f t="shared" si="3"/>
        <v>Brown Riding Yak</v>
      </c>
    </row>
    <row r="59" spans="1:6" x14ac:dyDescent="0.35">
      <c r="A59" t="s">
        <v>922</v>
      </c>
      <c r="B59">
        <f t="shared" si="4"/>
        <v>8</v>
      </c>
      <c r="C59">
        <f t="shared" si="0"/>
        <v>12</v>
      </c>
      <c r="D59">
        <f t="shared" si="1"/>
        <v>33</v>
      </c>
      <c r="E59">
        <f t="shared" si="2"/>
        <v>127272</v>
      </c>
      <c r="F59" t="str">
        <f t="shared" si="3"/>
        <v>Orange Water Strider</v>
      </c>
    </row>
    <row r="60" spans="1:6" x14ac:dyDescent="0.35">
      <c r="A60" t="s">
        <v>923</v>
      </c>
      <c r="B60">
        <f t="shared" si="4"/>
        <v>8</v>
      </c>
      <c r="C60">
        <f t="shared" si="0"/>
        <v>12</v>
      </c>
      <c r="D60">
        <f t="shared" si="1"/>
        <v>37</v>
      </c>
      <c r="E60">
        <f t="shared" si="2"/>
        <v>132118</v>
      </c>
      <c r="F60" t="str">
        <f t="shared" si="3"/>
        <v>Emerald Pandaren Phoenix</v>
      </c>
    </row>
    <row r="61" spans="1:6" x14ac:dyDescent="0.35">
      <c r="A61" t="s">
        <v>924</v>
      </c>
      <c r="B61">
        <f t="shared" si="4"/>
        <v>8</v>
      </c>
      <c r="C61">
        <f t="shared" si="0"/>
        <v>12</v>
      </c>
      <c r="D61">
        <f t="shared" si="1"/>
        <v>35</v>
      </c>
      <c r="E61">
        <f t="shared" si="2"/>
        <v>132117</v>
      </c>
      <c r="F61" t="str">
        <f t="shared" si="3"/>
        <v>Ashen Pandaren Phoenix</v>
      </c>
    </row>
    <row r="62" spans="1:6" x14ac:dyDescent="0.35">
      <c r="A62" t="s">
        <v>576</v>
      </c>
      <c r="B62">
        <f t="shared" si="4"/>
        <v>7</v>
      </c>
      <c r="C62">
        <f t="shared" si="0"/>
        <v>11</v>
      </c>
      <c r="D62">
        <f t="shared" si="1"/>
        <v>27</v>
      </c>
      <c r="E62">
        <f t="shared" si="2"/>
        <v>23219</v>
      </c>
      <c r="F62" t="str">
        <f t="shared" si="3"/>
        <v>Swift Mistsaber</v>
      </c>
    </row>
    <row r="63" spans="1:6" x14ac:dyDescent="0.35">
      <c r="A63" t="s">
        <v>577</v>
      </c>
      <c r="B63">
        <f t="shared" si="4"/>
        <v>7</v>
      </c>
      <c r="C63">
        <f t="shared" si="0"/>
        <v>11</v>
      </c>
      <c r="D63">
        <f t="shared" si="1"/>
        <v>26</v>
      </c>
      <c r="E63">
        <f t="shared" si="2"/>
        <v>23227</v>
      </c>
      <c r="F63" t="str">
        <f t="shared" si="3"/>
        <v>Swift Palomino</v>
      </c>
    </row>
    <row r="64" spans="1:6" x14ac:dyDescent="0.35">
      <c r="A64" t="s">
        <v>578</v>
      </c>
      <c r="B64">
        <f t="shared" si="4"/>
        <v>7</v>
      </c>
      <c r="C64">
        <f t="shared" si="0"/>
        <v>11</v>
      </c>
      <c r="D64">
        <f t="shared" si="1"/>
        <v>26</v>
      </c>
      <c r="E64">
        <f t="shared" si="2"/>
        <v>22724</v>
      </c>
      <c r="F64" t="str">
        <f t="shared" si="3"/>
        <v>Black War Wolf</v>
      </c>
    </row>
    <row r="65" spans="1:6" x14ac:dyDescent="0.35">
      <c r="A65" t="s">
        <v>579</v>
      </c>
      <c r="B65">
        <f t="shared" si="4"/>
        <v>7</v>
      </c>
      <c r="C65">
        <f t="shared" ref="C65:C128" si="5">FIND("""",A65)</f>
        <v>11</v>
      </c>
      <c r="D65">
        <f t="shared" ref="D65:D128" si="6">FIND("""",A65,C65+1)</f>
        <v>31</v>
      </c>
      <c r="E65">
        <f t="shared" si="2"/>
        <v>23243</v>
      </c>
      <c r="F65" t="str">
        <f t="shared" ref="F65:F128" si="7">MID(A65,C65+1,D65-C65-1)</f>
        <v>Swift Orange Raptor</v>
      </c>
    </row>
    <row r="66" spans="1:6" x14ac:dyDescent="0.35">
      <c r="A66" t="s">
        <v>580</v>
      </c>
      <c r="B66">
        <f t="shared" ref="B66:B129" si="8">FIND("]",A66)</f>
        <v>7</v>
      </c>
      <c r="C66">
        <f t="shared" si="5"/>
        <v>11</v>
      </c>
      <c r="D66">
        <f t="shared" si="6"/>
        <v>29</v>
      </c>
      <c r="E66">
        <f t="shared" ref="E66:E129" si="9">INT(MID(A66,2,B66-2))</f>
        <v>23251</v>
      </c>
      <c r="F66" t="str">
        <f t="shared" si="7"/>
        <v>Swift Timber Wolf</v>
      </c>
    </row>
    <row r="67" spans="1:6" x14ac:dyDescent="0.35">
      <c r="A67" t="s">
        <v>581</v>
      </c>
      <c r="B67">
        <f t="shared" si="8"/>
        <v>7</v>
      </c>
      <c r="C67">
        <f t="shared" si="5"/>
        <v>11</v>
      </c>
      <c r="D67">
        <f t="shared" si="6"/>
        <v>24</v>
      </c>
      <c r="E67">
        <f t="shared" si="9"/>
        <v>43899</v>
      </c>
      <c r="F67" t="str">
        <f t="shared" si="7"/>
        <v>Brewfest Ram</v>
      </c>
    </row>
    <row r="68" spans="1:6" x14ac:dyDescent="0.35">
      <c r="A68" t="s">
        <v>582</v>
      </c>
      <c r="B68">
        <f t="shared" si="8"/>
        <v>7</v>
      </c>
      <c r="C68">
        <f t="shared" si="5"/>
        <v>11</v>
      </c>
      <c r="D68">
        <f t="shared" si="6"/>
        <v>30</v>
      </c>
      <c r="E68">
        <f t="shared" si="9"/>
        <v>39316</v>
      </c>
      <c r="F68" t="str">
        <f t="shared" si="7"/>
        <v>Dark Riding Talbuk</v>
      </c>
    </row>
    <row r="69" spans="1:6" x14ac:dyDescent="0.35">
      <c r="A69" t="s">
        <v>925</v>
      </c>
      <c r="B69">
        <f t="shared" si="8"/>
        <v>8</v>
      </c>
      <c r="C69">
        <f t="shared" si="5"/>
        <v>12</v>
      </c>
      <c r="D69">
        <f t="shared" si="6"/>
        <v>44</v>
      </c>
      <c r="E69">
        <f t="shared" si="9"/>
        <v>139442</v>
      </c>
      <c r="F69" t="str">
        <f t="shared" si="7"/>
        <v>Thundering Cobalt Cloud Serpent</v>
      </c>
    </row>
    <row r="70" spans="1:6" x14ac:dyDescent="0.35">
      <c r="A70" t="s">
        <v>583</v>
      </c>
      <c r="B70">
        <f t="shared" si="8"/>
        <v>7</v>
      </c>
      <c r="C70">
        <f t="shared" si="5"/>
        <v>11</v>
      </c>
      <c r="D70">
        <f t="shared" si="6"/>
        <v>29</v>
      </c>
      <c r="E70">
        <f t="shared" si="9"/>
        <v>59788</v>
      </c>
      <c r="F70" t="str">
        <f t="shared" si="7"/>
        <v>Black War Mammoth</v>
      </c>
    </row>
    <row r="71" spans="1:6" x14ac:dyDescent="0.35">
      <c r="A71" t="s">
        <v>584</v>
      </c>
      <c r="B71">
        <f t="shared" si="8"/>
        <v>7</v>
      </c>
      <c r="C71">
        <f t="shared" si="5"/>
        <v>11</v>
      </c>
      <c r="D71">
        <f t="shared" si="6"/>
        <v>29</v>
      </c>
      <c r="E71">
        <f t="shared" si="9"/>
        <v>66847</v>
      </c>
      <c r="F71" t="str">
        <f t="shared" si="7"/>
        <v>Striped Dawnsaber</v>
      </c>
    </row>
    <row r="72" spans="1:6" x14ac:dyDescent="0.35">
      <c r="A72" t="s">
        <v>926</v>
      </c>
      <c r="B72">
        <f t="shared" si="8"/>
        <v>8</v>
      </c>
      <c r="C72">
        <f t="shared" si="5"/>
        <v>12</v>
      </c>
      <c r="D72">
        <f t="shared" si="6"/>
        <v>31</v>
      </c>
      <c r="E72">
        <f t="shared" si="9"/>
        <v>127177</v>
      </c>
      <c r="F72" t="str">
        <f t="shared" si="7"/>
        <v>Regal Riding Crane</v>
      </c>
    </row>
    <row r="73" spans="1:6" x14ac:dyDescent="0.35">
      <c r="A73" t="s">
        <v>927</v>
      </c>
      <c r="B73">
        <f t="shared" si="8"/>
        <v>8</v>
      </c>
      <c r="C73">
        <f t="shared" si="5"/>
        <v>12</v>
      </c>
      <c r="D73">
        <f t="shared" si="6"/>
        <v>29</v>
      </c>
      <c r="E73">
        <f t="shared" si="9"/>
        <v>127209</v>
      </c>
      <c r="F73" t="str">
        <f t="shared" si="7"/>
        <v>Black Riding Yak</v>
      </c>
    </row>
    <row r="74" spans="1:6" x14ac:dyDescent="0.35">
      <c r="A74" t="s">
        <v>928</v>
      </c>
      <c r="B74">
        <f t="shared" si="8"/>
        <v>8</v>
      </c>
      <c r="C74">
        <f t="shared" si="5"/>
        <v>12</v>
      </c>
      <c r="D74">
        <f t="shared" si="6"/>
        <v>26</v>
      </c>
      <c r="E74">
        <f t="shared" si="9"/>
        <v>130985</v>
      </c>
      <c r="F74" t="str">
        <f t="shared" si="7"/>
        <v>Pandaren Kite</v>
      </c>
    </row>
    <row r="75" spans="1:6" x14ac:dyDescent="0.35">
      <c r="A75" t="s">
        <v>585</v>
      </c>
      <c r="B75">
        <f t="shared" si="8"/>
        <v>7</v>
      </c>
      <c r="C75">
        <f t="shared" si="5"/>
        <v>11</v>
      </c>
      <c r="D75">
        <f t="shared" si="6"/>
        <v>33</v>
      </c>
      <c r="E75">
        <f t="shared" si="9"/>
        <v>63956</v>
      </c>
      <c r="F75" t="str">
        <f t="shared" si="7"/>
        <v>Ironbound Proto-Drake</v>
      </c>
    </row>
    <row r="76" spans="1:6" x14ac:dyDescent="0.35">
      <c r="A76" t="s">
        <v>743</v>
      </c>
      <c r="B76">
        <f t="shared" si="8"/>
        <v>7</v>
      </c>
      <c r="C76">
        <f t="shared" si="5"/>
        <v>11</v>
      </c>
      <c r="D76">
        <f t="shared" si="6"/>
        <v>29</v>
      </c>
      <c r="E76">
        <f t="shared" si="9"/>
        <v>98204</v>
      </c>
      <c r="F76" t="str">
        <f t="shared" si="7"/>
        <v>Amani Battle Bear</v>
      </c>
    </row>
    <row r="77" spans="1:6" x14ac:dyDescent="0.35">
      <c r="A77" t="s">
        <v>699</v>
      </c>
      <c r="B77">
        <f t="shared" si="8"/>
        <v>8</v>
      </c>
      <c r="C77">
        <f t="shared" si="5"/>
        <v>12</v>
      </c>
      <c r="D77">
        <f t="shared" si="6"/>
        <v>34</v>
      </c>
      <c r="E77">
        <f t="shared" si="9"/>
        <v>466977</v>
      </c>
      <c r="F77" t="str">
        <f t="shared" si="7"/>
        <v>Chaos-Born Wind Rider</v>
      </c>
    </row>
    <row r="78" spans="1:6" x14ac:dyDescent="0.35">
      <c r="A78" t="s">
        <v>929</v>
      </c>
      <c r="B78">
        <f t="shared" si="8"/>
        <v>8</v>
      </c>
      <c r="C78">
        <f t="shared" si="5"/>
        <v>12</v>
      </c>
      <c r="D78">
        <f t="shared" si="6"/>
        <v>44</v>
      </c>
      <c r="E78">
        <f t="shared" si="9"/>
        <v>129918</v>
      </c>
      <c r="F78" t="str">
        <f t="shared" si="7"/>
        <v>Thundering August Cloud Serpent</v>
      </c>
    </row>
    <row r="79" spans="1:6" x14ac:dyDescent="0.35">
      <c r="A79" t="s">
        <v>586</v>
      </c>
      <c r="B79">
        <f t="shared" si="8"/>
        <v>7</v>
      </c>
      <c r="C79">
        <f t="shared" si="5"/>
        <v>11</v>
      </c>
      <c r="D79">
        <f t="shared" si="6"/>
        <v>35</v>
      </c>
      <c r="E79">
        <f t="shared" si="9"/>
        <v>61465</v>
      </c>
      <c r="F79" t="str">
        <f t="shared" si="7"/>
        <v>Grand Black War Mammoth</v>
      </c>
    </row>
    <row r="80" spans="1:6" x14ac:dyDescent="0.35">
      <c r="A80" t="s">
        <v>930</v>
      </c>
      <c r="B80">
        <f t="shared" si="8"/>
        <v>8</v>
      </c>
      <c r="C80">
        <f t="shared" si="5"/>
        <v>12</v>
      </c>
      <c r="D80">
        <f t="shared" si="6"/>
        <v>37</v>
      </c>
      <c r="E80">
        <f t="shared" si="9"/>
        <v>129552</v>
      </c>
      <c r="F80" t="str">
        <f t="shared" si="7"/>
        <v>Crimson Pandaren Phoenix</v>
      </c>
    </row>
    <row r="81" spans="1:6" x14ac:dyDescent="0.35">
      <c r="A81" t="s">
        <v>931</v>
      </c>
      <c r="B81">
        <f t="shared" si="8"/>
        <v>8</v>
      </c>
      <c r="C81">
        <f t="shared" si="5"/>
        <v>12</v>
      </c>
      <c r="D81">
        <f t="shared" si="6"/>
        <v>36</v>
      </c>
      <c r="E81">
        <f t="shared" si="9"/>
        <v>120822</v>
      </c>
      <c r="F81" t="str">
        <f t="shared" si="7"/>
        <v>Great Red Dragon Turtle</v>
      </c>
    </row>
    <row r="82" spans="1:6" x14ac:dyDescent="0.35">
      <c r="A82" t="s">
        <v>772</v>
      </c>
      <c r="B82">
        <f t="shared" si="8"/>
        <v>7</v>
      </c>
      <c r="C82">
        <f t="shared" si="5"/>
        <v>11</v>
      </c>
      <c r="D82">
        <f t="shared" si="6"/>
        <v>34</v>
      </c>
      <c r="E82">
        <f t="shared" si="9"/>
        <v>88741</v>
      </c>
      <c r="F82" t="str">
        <f t="shared" si="7"/>
        <v>Drake of the West Wind</v>
      </c>
    </row>
    <row r="83" spans="1:6" x14ac:dyDescent="0.35">
      <c r="A83" t="s">
        <v>587</v>
      </c>
      <c r="B83">
        <f t="shared" si="8"/>
        <v>7</v>
      </c>
      <c r="C83">
        <f t="shared" si="5"/>
        <v>11</v>
      </c>
      <c r="D83">
        <f t="shared" si="6"/>
        <v>38</v>
      </c>
      <c r="E83">
        <f t="shared" si="9"/>
        <v>46199</v>
      </c>
      <c r="F83" t="str">
        <f t="shared" si="7"/>
        <v>X-51 Nether-Rocket X-TREME</v>
      </c>
    </row>
    <row r="84" spans="1:6" x14ac:dyDescent="0.35">
      <c r="A84" t="s">
        <v>802</v>
      </c>
      <c r="B84">
        <f t="shared" si="8"/>
        <v>7</v>
      </c>
      <c r="C84">
        <f t="shared" si="5"/>
        <v>11</v>
      </c>
      <c r="D84">
        <f t="shared" si="6"/>
        <v>37</v>
      </c>
      <c r="E84">
        <f t="shared" si="9"/>
        <v>68188</v>
      </c>
      <c r="F84" t="str">
        <f t="shared" si="7"/>
        <v>Crusader's Black Warhorse</v>
      </c>
    </row>
    <row r="85" spans="1:6" x14ac:dyDescent="0.35">
      <c r="A85" t="s">
        <v>932</v>
      </c>
      <c r="B85">
        <f t="shared" si="8"/>
        <v>8</v>
      </c>
      <c r="C85">
        <f t="shared" si="5"/>
        <v>12</v>
      </c>
      <c r="D85">
        <f t="shared" si="6"/>
        <v>34</v>
      </c>
      <c r="E85">
        <f t="shared" si="9"/>
        <v>127271</v>
      </c>
      <c r="F85" t="str">
        <f t="shared" si="7"/>
        <v>Crimson Water Strider</v>
      </c>
    </row>
    <row r="86" spans="1:6" x14ac:dyDescent="0.35">
      <c r="A86" t="s">
        <v>886</v>
      </c>
      <c r="B86">
        <f t="shared" si="8"/>
        <v>7</v>
      </c>
      <c r="C86">
        <f t="shared" si="5"/>
        <v>11</v>
      </c>
      <c r="D86">
        <f t="shared" si="6"/>
        <v>36</v>
      </c>
      <c r="E86">
        <f t="shared" si="9"/>
        <v>26056</v>
      </c>
      <c r="F86" t="str">
        <f t="shared" si="7"/>
        <v>Green Qiraji Battle Tank</v>
      </c>
    </row>
    <row r="87" spans="1:6" x14ac:dyDescent="0.35">
      <c r="A87" t="s">
        <v>588</v>
      </c>
      <c r="B87">
        <f t="shared" si="8"/>
        <v>7</v>
      </c>
      <c r="C87">
        <f t="shared" si="5"/>
        <v>11</v>
      </c>
      <c r="D87">
        <f t="shared" si="6"/>
        <v>33</v>
      </c>
      <c r="E87">
        <f t="shared" si="9"/>
        <v>63637</v>
      </c>
      <c r="F87" t="str">
        <f t="shared" si="7"/>
        <v>Darnassian Nightsaber</v>
      </c>
    </row>
    <row r="88" spans="1:6" x14ac:dyDescent="0.35">
      <c r="A88" t="s">
        <v>933</v>
      </c>
      <c r="B88">
        <f t="shared" si="8"/>
        <v>8</v>
      </c>
      <c r="C88">
        <f t="shared" si="5"/>
        <v>12</v>
      </c>
      <c r="D88">
        <f t="shared" si="6"/>
        <v>32</v>
      </c>
      <c r="E88">
        <f t="shared" si="9"/>
        <v>127178</v>
      </c>
      <c r="F88" t="str">
        <f t="shared" si="7"/>
        <v>Jungle Riding Crane</v>
      </c>
    </row>
    <row r="89" spans="1:6" x14ac:dyDescent="0.35">
      <c r="A89" t="s">
        <v>673</v>
      </c>
      <c r="B89">
        <f t="shared" si="8"/>
        <v>7</v>
      </c>
      <c r="C89">
        <f t="shared" si="5"/>
        <v>11</v>
      </c>
      <c r="D89">
        <f t="shared" si="6"/>
        <v>30</v>
      </c>
      <c r="E89">
        <f t="shared" si="9"/>
        <v>24252</v>
      </c>
      <c r="F89" t="str">
        <f t="shared" si="7"/>
        <v>Swift Zulian Tiger</v>
      </c>
    </row>
    <row r="90" spans="1:6" x14ac:dyDescent="0.35">
      <c r="A90" t="s">
        <v>589</v>
      </c>
      <c r="B90">
        <f t="shared" si="8"/>
        <v>7</v>
      </c>
      <c r="C90">
        <f t="shared" si="5"/>
        <v>11</v>
      </c>
      <c r="D90">
        <f t="shared" si="6"/>
        <v>23</v>
      </c>
      <c r="E90">
        <f t="shared" si="9"/>
        <v>16081</v>
      </c>
      <c r="F90" t="str">
        <f t="shared" si="7"/>
        <v>Winter Wolf</v>
      </c>
    </row>
    <row r="91" spans="1:6" x14ac:dyDescent="0.35">
      <c r="A91" t="s">
        <v>934</v>
      </c>
      <c r="B91">
        <f t="shared" si="8"/>
        <v>8</v>
      </c>
      <c r="C91">
        <f t="shared" si="5"/>
        <v>12</v>
      </c>
      <c r="D91">
        <f t="shared" si="6"/>
        <v>31</v>
      </c>
      <c r="E91">
        <f t="shared" si="9"/>
        <v>127274</v>
      </c>
      <c r="F91" t="str">
        <f t="shared" si="7"/>
        <v>Jade Water Strider</v>
      </c>
    </row>
    <row r="92" spans="1:6" x14ac:dyDescent="0.35">
      <c r="A92" t="s">
        <v>590</v>
      </c>
      <c r="B92">
        <f t="shared" si="8"/>
        <v>7</v>
      </c>
      <c r="C92">
        <f t="shared" si="5"/>
        <v>11</v>
      </c>
      <c r="D92">
        <f t="shared" si="6"/>
        <v>33</v>
      </c>
      <c r="E92">
        <f t="shared" si="9"/>
        <v>60140</v>
      </c>
      <c r="F92" t="str">
        <f t="shared" si="7"/>
        <v>Grand Caravan Mammoth</v>
      </c>
    </row>
    <row r="93" spans="1:6" x14ac:dyDescent="0.35">
      <c r="A93" t="s">
        <v>591</v>
      </c>
      <c r="B93">
        <f t="shared" si="8"/>
        <v>6</v>
      </c>
      <c r="C93">
        <f t="shared" si="5"/>
        <v>10</v>
      </c>
      <c r="D93">
        <f t="shared" si="6"/>
        <v>19</v>
      </c>
      <c r="E93">
        <f t="shared" si="9"/>
        <v>6777</v>
      </c>
      <c r="F93" t="str">
        <f t="shared" si="7"/>
        <v>Gray Ram</v>
      </c>
    </row>
    <row r="94" spans="1:6" x14ac:dyDescent="0.35">
      <c r="A94" t="s">
        <v>592</v>
      </c>
      <c r="B94">
        <f t="shared" si="8"/>
        <v>7</v>
      </c>
      <c r="C94">
        <f t="shared" si="5"/>
        <v>11</v>
      </c>
      <c r="D94">
        <f t="shared" si="6"/>
        <v>32</v>
      </c>
      <c r="E94">
        <f t="shared" si="9"/>
        <v>93644</v>
      </c>
      <c r="F94" t="str">
        <f t="shared" si="7"/>
        <v>Kor'kron Annihilator</v>
      </c>
    </row>
    <row r="95" spans="1:6" x14ac:dyDescent="0.35">
      <c r="A95" t="s">
        <v>935</v>
      </c>
      <c r="B95">
        <f t="shared" si="8"/>
        <v>8</v>
      </c>
      <c r="C95">
        <f t="shared" si="5"/>
        <v>12</v>
      </c>
      <c r="D95">
        <f t="shared" si="6"/>
        <v>42</v>
      </c>
      <c r="E95">
        <f t="shared" si="9"/>
        <v>127164</v>
      </c>
      <c r="F95" t="str">
        <f t="shared" si="7"/>
        <v>Heavenly Golden Cloud Serpent</v>
      </c>
    </row>
    <row r="96" spans="1:6" x14ac:dyDescent="0.35">
      <c r="A96" t="s">
        <v>936</v>
      </c>
      <c r="B96">
        <f t="shared" si="8"/>
        <v>8</v>
      </c>
      <c r="C96">
        <f t="shared" si="5"/>
        <v>12</v>
      </c>
      <c r="D96">
        <f t="shared" si="6"/>
        <v>31</v>
      </c>
      <c r="E96">
        <f t="shared" si="9"/>
        <v>127287</v>
      </c>
      <c r="F96" t="str">
        <f t="shared" si="7"/>
        <v>Blue Dragon Turtle</v>
      </c>
    </row>
    <row r="97" spans="1:6" x14ac:dyDescent="0.35">
      <c r="A97" t="s">
        <v>593</v>
      </c>
      <c r="B97">
        <f t="shared" si="8"/>
        <v>5</v>
      </c>
      <c r="C97">
        <f t="shared" si="5"/>
        <v>9</v>
      </c>
      <c r="D97">
        <f t="shared" si="6"/>
        <v>21</v>
      </c>
      <c r="E97">
        <f t="shared" si="9"/>
        <v>458</v>
      </c>
      <c r="F97" t="str">
        <f t="shared" si="7"/>
        <v>Brown Horse</v>
      </c>
    </row>
    <row r="98" spans="1:6" x14ac:dyDescent="0.35">
      <c r="A98" t="s">
        <v>937</v>
      </c>
      <c r="B98">
        <f t="shared" si="8"/>
        <v>8</v>
      </c>
      <c r="C98">
        <f t="shared" si="5"/>
        <v>12</v>
      </c>
      <c r="D98">
        <f t="shared" si="6"/>
        <v>40</v>
      </c>
      <c r="E98">
        <f t="shared" si="9"/>
        <v>127158</v>
      </c>
      <c r="F98" t="str">
        <f t="shared" si="7"/>
        <v>Heavenly Onyx Cloud Serpent</v>
      </c>
    </row>
    <row r="99" spans="1:6" x14ac:dyDescent="0.35">
      <c r="A99" t="s">
        <v>594</v>
      </c>
      <c r="B99">
        <f t="shared" si="8"/>
        <v>7</v>
      </c>
      <c r="C99">
        <f t="shared" si="5"/>
        <v>11</v>
      </c>
      <c r="D99">
        <f t="shared" si="6"/>
        <v>30</v>
      </c>
      <c r="E99">
        <f t="shared" si="9"/>
        <v>43900</v>
      </c>
      <c r="F99" t="str">
        <f t="shared" si="7"/>
        <v>Swift Brewfest Ram</v>
      </c>
    </row>
    <row r="100" spans="1:6" x14ac:dyDescent="0.35">
      <c r="A100" t="s">
        <v>595</v>
      </c>
      <c r="B100">
        <f t="shared" si="8"/>
        <v>7</v>
      </c>
      <c r="C100">
        <f t="shared" si="5"/>
        <v>11</v>
      </c>
      <c r="D100">
        <f t="shared" si="6"/>
        <v>32</v>
      </c>
      <c r="E100">
        <f t="shared" si="9"/>
        <v>39317</v>
      </c>
      <c r="F100" t="str">
        <f t="shared" si="7"/>
        <v>Silver Riding Talbuk</v>
      </c>
    </row>
    <row r="101" spans="1:6" x14ac:dyDescent="0.35">
      <c r="A101" t="s">
        <v>938</v>
      </c>
      <c r="B101">
        <f t="shared" si="8"/>
        <v>8</v>
      </c>
      <c r="C101">
        <f t="shared" si="5"/>
        <v>12</v>
      </c>
      <c r="D101">
        <f t="shared" si="6"/>
        <v>38</v>
      </c>
      <c r="E101">
        <f t="shared" si="9"/>
        <v>138424</v>
      </c>
      <c r="F101" t="str">
        <f t="shared" si="7"/>
        <v>Amber Primordial Direhorn</v>
      </c>
    </row>
    <row r="102" spans="1:6" x14ac:dyDescent="0.35">
      <c r="A102" t="s">
        <v>939</v>
      </c>
      <c r="B102">
        <f t="shared" si="8"/>
        <v>8</v>
      </c>
      <c r="C102">
        <f t="shared" si="5"/>
        <v>12</v>
      </c>
      <c r="D102">
        <f t="shared" si="6"/>
        <v>34</v>
      </c>
      <c r="E102">
        <f t="shared" si="9"/>
        <v>127156</v>
      </c>
      <c r="F102" t="str">
        <f t="shared" si="7"/>
        <v>Crimson Cloud Serpent</v>
      </c>
    </row>
    <row r="103" spans="1:6" x14ac:dyDescent="0.35">
      <c r="A103" t="s">
        <v>940</v>
      </c>
      <c r="B103">
        <f t="shared" si="8"/>
        <v>8</v>
      </c>
      <c r="C103">
        <f t="shared" si="5"/>
        <v>12</v>
      </c>
      <c r="D103">
        <f t="shared" si="6"/>
        <v>31</v>
      </c>
      <c r="E103">
        <f t="shared" si="9"/>
        <v>127154</v>
      </c>
      <c r="F103" t="str">
        <f t="shared" si="7"/>
        <v>Onyx Cloud Serpent</v>
      </c>
    </row>
    <row r="104" spans="1:6" x14ac:dyDescent="0.35">
      <c r="A104" t="s">
        <v>596</v>
      </c>
      <c r="B104">
        <f t="shared" si="8"/>
        <v>7</v>
      </c>
      <c r="C104">
        <f t="shared" si="5"/>
        <v>11</v>
      </c>
      <c r="D104">
        <f t="shared" si="6"/>
        <v>30</v>
      </c>
      <c r="E104">
        <f t="shared" si="9"/>
        <v>32242</v>
      </c>
      <c r="F104" t="str">
        <f t="shared" si="7"/>
        <v>Swift Blue Gryphon</v>
      </c>
    </row>
    <row r="105" spans="1:6" x14ac:dyDescent="0.35">
      <c r="A105" t="s">
        <v>597</v>
      </c>
      <c r="B105">
        <f t="shared" si="8"/>
        <v>5</v>
      </c>
      <c r="C105">
        <f t="shared" si="5"/>
        <v>9</v>
      </c>
      <c r="D105">
        <f t="shared" si="6"/>
        <v>19</v>
      </c>
      <c r="E105">
        <f t="shared" si="9"/>
        <v>459</v>
      </c>
      <c r="F105" t="str">
        <f t="shared" si="7"/>
        <v>Gray Wolf</v>
      </c>
    </row>
    <row r="106" spans="1:6" x14ac:dyDescent="0.35">
      <c r="A106" t="s">
        <v>941</v>
      </c>
      <c r="B106">
        <f t="shared" si="8"/>
        <v>8</v>
      </c>
      <c r="C106">
        <f t="shared" si="5"/>
        <v>12</v>
      </c>
      <c r="D106">
        <f t="shared" si="6"/>
        <v>37</v>
      </c>
      <c r="E106">
        <f t="shared" si="9"/>
        <v>126507</v>
      </c>
      <c r="F106" t="str">
        <f t="shared" si="7"/>
        <v>Depleted-Kyparium Rocket</v>
      </c>
    </row>
    <row r="107" spans="1:6" x14ac:dyDescent="0.35">
      <c r="A107" t="s">
        <v>942</v>
      </c>
      <c r="B107">
        <f t="shared" si="8"/>
        <v>8</v>
      </c>
      <c r="C107">
        <f t="shared" si="5"/>
        <v>12</v>
      </c>
      <c r="D107">
        <f t="shared" si="6"/>
        <v>51</v>
      </c>
      <c r="E107">
        <f t="shared" si="9"/>
        <v>124550</v>
      </c>
      <c r="F107" t="str">
        <f t="shared" si="7"/>
        <v>Cataclysmic Gladiator's Twilight Drake</v>
      </c>
    </row>
    <row r="108" spans="1:6" x14ac:dyDescent="0.35">
      <c r="A108" t="s">
        <v>943</v>
      </c>
      <c r="B108">
        <f t="shared" si="8"/>
        <v>8</v>
      </c>
      <c r="C108">
        <f t="shared" si="5"/>
        <v>12</v>
      </c>
      <c r="D108">
        <f t="shared" si="6"/>
        <v>33</v>
      </c>
      <c r="E108">
        <f t="shared" si="9"/>
        <v>122708</v>
      </c>
      <c r="F108" t="str">
        <f t="shared" si="7"/>
        <v>Grand Expedition Yak</v>
      </c>
    </row>
    <row r="109" spans="1:6" x14ac:dyDescent="0.35">
      <c r="A109" t="s">
        <v>598</v>
      </c>
      <c r="B109">
        <f t="shared" si="8"/>
        <v>7</v>
      </c>
      <c r="C109">
        <f t="shared" si="5"/>
        <v>11</v>
      </c>
      <c r="D109">
        <f t="shared" si="6"/>
        <v>31</v>
      </c>
      <c r="E109">
        <f t="shared" si="9"/>
        <v>17463</v>
      </c>
      <c r="F109" t="str">
        <f t="shared" si="7"/>
        <v>Blue Skeletal Horse</v>
      </c>
    </row>
    <row r="110" spans="1:6" x14ac:dyDescent="0.35">
      <c r="A110" t="s">
        <v>599</v>
      </c>
      <c r="B110">
        <f t="shared" si="8"/>
        <v>7</v>
      </c>
      <c r="C110">
        <f t="shared" si="5"/>
        <v>11</v>
      </c>
      <c r="D110">
        <f t="shared" si="6"/>
        <v>31</v>
      </c>
      <c r="E110">
        <f t="shared" si="9"/>
        <v>32290</v>
      </c>
      <c r="F110" t="str">
        <f t="shared" si="7"/>
        <v>Swift Green Gryphon</v>
      </c>
    </row>
    <row r="111" spans="1:6" x14ac:dyDescent="0.35">
      <c r="A111" t="s">
        <v>944</v>
      </c>
      <c r="B111">
        <f t="shared" si="8"/>
        <v>8</v>
      </c>
      <c r="C111">
        <f t="shared" si="5"/>
        <v>12</v>
      </c>
      <c r="D111">
        <f t="shared" si="6"/>
        <v>41</v>
      </c>
      <c r="E111">
        <f t="shared" si="9"/>
        <v>142641</v>
      </c>
      <c r="F111" t="str">
        <f t="shared" si="7"/>
        <v>Brawler's Burly Mushan Beast</v>
      </c>
    </row>
    <row r="112" spans="1:6" x14ac:dyDescent="0.35">
      <c r="A112" t="s">
        <v>945</v>
      </c>
      <c r="B112">
        <f t="shared" si="8"/>
        <v>8</v>
      </c>
      <c r="C112">
        <f t="shared" si="5"/>
        <v>12</v>
      </c>
      <c r="D112">
        <f t="shared" si="6"/>
        <v>42</v>
      </c>
      <c r="E112">
        <f t="shared" si="9"/>
        <v>124408</v>
      </c>
      <c r="F112" t="str">
        <f t="shared" si="7"/>
        <v>Thundering Jade Cloud Serpent</v>
      </c>
    </row>
    <row r="113" spans="1:6" x14ac:dyDescent="0.35">
      <c r="A113" t="s">
        <v>946</v>
      </c>
      <c r="B113">
        <f t="shared" si="8"/>
        <v>8</v>
      </c>
      <c r="C113">
        <f t="shared" si="5"/>
        <v>12</v>
      </c>
      <c r="D113">
        <f t="shared" si="6"/>
        <v>33</v>
      </c>
      <c r="E113">
        <f t="shared" si="9"/>
        <v>123993</v>
      </c>
      <c r="F113" t="str">
        <f t="shared" si="7"/>
        <v>Golden Cloud Serpent</v>
      </c>
    </row>
    <row r="114" spans="1:6" x14ac:dyDescent="0.35">
      <c r="A114" t="s">
        <v>947</v>
      </c>
      <c r="B114">
        <f t="shared" si="8"/>
        <v>8</v>
      </c>
      <c r="C114">
        <f t="shared" si="5"/>
        <v>12</v>
      </c>
      <c r="D114">
        <f t="shared" si="6"/>
        <v>32</v>
      </c>
      <c r="E114">
        <f t="shared" si="9"/>
        <v>123992</v>
      </c>
      <c r="F114" t="str">
        <f t="shared" si="7"/>
        <v>Azure Cloud Serpent</v>
      </c>
    </row>
    <row r="115" spans="1:6" x14ac:dyDescent="0.35">
      <c r="A115" t="s">
        <v>948</v>
      </c>
      <c r="B115">
        <f t="shared" si="8"/>
        <v>8</v>
      </c>
      <c r="C115">
        <f t="shared" si="5"/>
        <v>12</v>
      </c>
      <c r="D115">
        <f t="shared" si="6"/>
        <v>30</v>
      </c>
      <c r="E115">
        <f t="shared" si="9"/>
        <v>130086</v>
      </c>
      <c r="F115" t="str">
        <f t="shared" si="7"/>
        <v>Brown Riding Goat</v>
      </c>
    </row>
    <row r="116" spans="1:6" x14ac:dyDescent="0.35">
      <c r="A116" t="s">
        <v>600</v>
      </c>
      <c r="B116">
        <f t="shared" si="8"/>
        <v>7</v>
      </c>
      <c r="C116">
        <f t="shared" si="5"/>
        <v>11</v>
      </c>
      <c r="D116">
        <f t="shared" si="6"/>
        <v>33</v>
      </c>
      <c r="E116">
        <f t="shared" si="9"/>
        <v>69820</v>
      </c>
      <c r="F116" t="str">
        <f t="shared" si="7"/>
        <v>Summon Sunwalker Kodo</v>
      </c>
    </row>
    <row r="117" spans="1:6" x14ac:dyDescent="0.35">
      <c r="A117" t="s">
        <v>949</v>
      </c>
      <c r="B117">
        <f t="shared" si="8"/>
        <v>8</v>
      </c>
      <c r="C117">
        <f t="shared" si="5"/>
        <v>12</v>
      </c>
      <c r="D117">
        <f t="shared" si="6"/>
        <v>37</v>
      </c>
      <c r="E117">
        <f t="shared" si="9"/>
        <v>138426</v>
      </c>
      <c r="F117" t="str">
        <f t="shared" si="7"/>
        <v>Jade Primordial Direhorn</v>
      </c>
    </row>
    <row r="118" spans="1:6" x14ac:dyDescent="0.35">
      <c r="A118" t="s">
        <v>950</v>
      </c>
      <c r="B118">
        <f t="shared" si="8"/>
        <v>8</v>
      </c>
      <c r="C118">
        <f t="shared" si="5"/>
        <v>12</v>
      </c>
      <c r="D118">
        <f t="shared" si="6"/>
        <v>26</v>
      </c>
      <c r="E118">
        <f t="shared" si="9"/>
        <v>118737</v>
      </c>
      <c r="F118" t="str">
        <f t="shared" si="7"/>
        <v>Pandaren Kite</v>
      </c>
    </row>
    <row r="119" spans="1:6" x14ac:dyDescent="0.35">
      <c r="A119" t="s">
        <v>601</v>
      </c>
      <c r="B119">
        <f t="shared" si="8"/>
        <v>7</v>
      </c>
      <c r="C119">
        <f t="shared" si="5"/>
        <v>11</v>
      </c>
      <c r="D119">
        <f t="shared" si="6"/>
        <v>29</v>
      </c>
      <c r="E119">
        <f t="shared" si="9"/>
        <v>35022</v>
      </c>
      <c r="F119" t="str">
        <f t="shared" si="7"/>
        <v>Black Hawkstrider</v>
      </c>
    </row>
    <row r="120" spans="1:6" x14ac:dyDescent="0.35">
      <c r="A120" t="s">
        <v>951</v>
      </c>
      <c r="B120">
        <f t="shared" si="8"/>
        <v>8</v>
      </c>
      <c r="C120">
        <f t="shared" si="5"/>
        <v>12</v>
      </c>
      <c r="D120">
        <f t="shared" si="6"/>
        <v>32</v>
      </c>
      <c r="E120">
        <f t="shared" si="9"/>
        <v>118089</v>
      </c>
      <c r="F120" t="str">
        <f t="shared" si="7"/>
        <v>Azure Water Strider</v>
      </c>
    </row>
    <row r="121" spans="1:6" x14ac:dyDescent="0.35">
      <c r="A121" t="s">
        <v>602</v>
      </c>
      <c r="B121">
        <f t="shared" si="8"/>
        <v>8</v>
      </c>
      <c r="C121">
        <f t="shared" si="5"/>
        <v>12</v>
      </c>
      <c r="D121">
        <f t="shared" si="6"/>
        <v>27</v>
      </c>
      <c r="E121">
        <f t="shared" si="9"/>
        <v>103195</v>
      </c>
      <c r="F121" t="str">
        <f t="shared" si="7"/>
        <v>Mountain Horse</v>
      </c>
    </row>
    <row r="122" spans="1:6" x14ac:dyDescent="0.35">
      <c r="A122" t="s">
        <v>603</v>
      </c>
      <c r="B122">
        <f t="shared" si="8"/>
        <v>7</v>
      </c>
      <c r="C122">
        <f t="shared" si="5"/>
        <v>11</v>
      </c>
      <c r="D122">
        <f t="shared" si="6"/>
        <v>32</v>
      </c>
      <c r="E122">
        <f t="shared" si="9"/>
        <v>49378</v>
      </c>
      <c r="F122" t="str">
        <f t="shared" si="7"/>
        <v>Brewfest Riding Kodo</v>
      </c>
    </row>
    <row r="123" spans="1:6" x14ac:dyDescent="0.35">
      <c r="A123" t="s">
        <v>952</v>
      </c>
      <c r="B123">
        <f t="shared" si="8"/>
        <v>8</v>
      </c>
      <c r="C123">
        <f t="shared" si="5"/>
        <v>12</v>
      </c>
      <c r="D123">
        <f t="shared" si="6"/>
        <v>31</v>
      </c>
      <c r="E123">
        <f t="shared" si="9"/>
        <v>113199</v>
      </c>
      <c r="F123" t="str">
        <f t="shared" si="7"/>
        <v>Jade Cloud Serpent</v>
      </c>
    </row>
    <row r="124" spans="1:6" x14ac:dyDescent="0.35">
      <c r="A124" t="s">
        <v>953</v>
      </c>
      <c r="B124">
        <f t="shared" si="8"/>
        <v>8</v>
      </c>
      <c r="C124">
        <f t="shared" si="5"/>
        <v>12</v>
      </c>
      <c r="D124">
        <f t="shared" si="6"/>
        <v>38</v>
      </c>
      <c r="E124">
        <f t="shared" si="9"/>
        <v>127308</v>
      </c>
      <c r="F124" t="str">
        <f t="shared" si="7"/>
        <v>Great Brown Dragon Turtle</v>
      </c>
    </row>
    <row r="125" spans="1:6" x14ac:dyDescent="0.35">
      <c r="A125" t="s">
        <v>716</v>
      </c>
      <c r="B125">
        <f t="shared" si="8"/>
        <v>8</v>
      </c>
      <c r="C125">
        <f t="shared" si="5"/>
        <v>12</v>
      </c>
      <c r="D125">
        <f t="shared" si="6"/>
        <v>28</v>
      </c>
      <c r="E125">
        <f t="shared" si="9"/>
        <v>110039</v>
      </c>
      <c r="F125" t="str">
        <f t="shared" si="7"/>
        <v>Experiment 12-B</v>
      </c>
    </row>
    <row r="126" spans="1:6" x14ac:dyDescent="0.35">
      <c r="A126" t="s">
        <v>604</v>
      </c>
      <c r="B126">
        <f t="shared" si="8"/>
        <v>7</v>
      </c>
      <c r="C126">
        <f t="shared" si="5"/>
        <v>11</v>
      </c>
      <c r="D126">
        <f t="shared" si="6"/>
        <v>33</v>
      </c>
      <c r="E126">
        <f t="shared" si="9"/>
        <v>24242</v>
      </c>
      <c r="F126" t="str">
        <f t="shared" si="7"/>
        <v>Swift Razzashi Raptor</v>
      </c>
    </row>
    <row r="127" spans="1:6" x14ac:dyDescent="0.35">
      <c r="A127" t="s">
        <v>605</v>
      </c>
      <c r="B127">
        <f t="shared" si="8"/>
        <v>7</v>
      </c>
      <c r="C127">
        <f t="shared" si="5"/>
        <v>11</v>
      </c>
      <c r="D127">
        <f t="shared" si="6"/>
        <v>29</v>
      </c>
      <c r="E127">
        <f t="shared" si="9"/>
        <v>23228</v>
      </c>
      <c r="F127" t="str">
        <f t="shared" si="7"/>
        <v>Swift White Steed</v>
      </c>
    </row>
    <row r="128" spans="1:6" x14ac:dyDescent="0.35">
      <c r="A128" t="s">
        <v>717</v>
      </c>
      <c r="B128">
        <f t="shared" si="8"/>
        <v>8</v>
      </c>
      <c r="C128">
        <f t="shared" si="5"/>
        <v>12</v>
      </c>
      <c r="D128">
        <f t="shared" si="6"/>
        <v>37</v>
      </c>
      <c r="E128">
        <f t="shared" si="9"/>
        <v>107845</v>
      </c>
      <c r="F128" t="str">
        <f t="shared" si="7"/>
        <v>Life-Binder's Handmaiden</v>
      </c>
    </row>
    <row r="129" spans="1:6" x14ac:dyDescent="0.35">
      <c r="A129" t="s">
        <v>606</v>
      </c>
      <c r="B129">
        <f t="shared" si="8"/>
        <v>7</v>
      </c>
      <c r="C129">
        <f t="shared" ref="C129:C192" si="10">FIND("""",A129)</f>
        <v>11</v>
      </c>
      <c r="D129">
        <f t="shared" ref="D129:D192" si="11">FIND("""",A129,C129+1)</f>
        <v>27</v>
      </c>
      <c r="E129">
        <f t="shared" si="9"/>
        <v>65637</v>
      </c>
      <c r="F129" t="str">
        <f t="shared" ref="F129:F192" si="12">MID(A129,C129+1,D129-C129-1)</f>
        <v>Great Red Elekk</v>
      </c>
    </row>
    <row r="130" spans="1:6" x14ac:dyDescent="0.35">
      <c r="A130" t="s">
        <v>607</v>
      </c>
      <c r="B130">
        <f t="shared" ref="B130:B193" si="13">FIND("]",A130)</f>
        <v>7</v>
      </c>
      <c r="C130">
        <f t="shared" si="10"/>
        <v>11</v>
      </c>
      <c r="D130">
        <f t="shared" si="11"/>
        <v>27</v>
      </c>
      <c r="E130">
        <f t="shared" ref="E130:E193" si="14">INT(MID(A130,2,B130-2))</f>
        <v>23252</v>
      </c>
      <c r="F130" t="str">
        <f t="shared" si="12"/>
        <v>Swift Gray Wolf</v>
      </c>
    </row>
    <row r="131" spans="1:6" x14ac:dyDescent="0.35">
      <c r="A131" t="s">
        <v>718</v>
      </c>
      <c r="B131">
        <f t="shared" si="13"/>
        <v>8</v>
      </c>
      <c r="C131">
        <f t="shared" si="10"/>
        <v>12</v>
      </c>
      <c r="D131">
        <f t="shared" si="11"/>
        <v>31</v>
      </c>
      <c r="E131">
        <f t="shared" si="14"/>
        <v>107844</v>
      </c>
      <c r="F131" t="str">
        <f t="shared" si="12"/>
        <v>Twilight Harbinger</v>
      </c>
    </row>
    <row r="132" spans="1:6" x14ac:dyDescent="0.35">
      <c r="A132" t="s">
        <v>608</v>
      </c>
      <c r="B132">
        <f t="shared" si="13"/>
        <v>7</v>
      </c>
      <c r="C132">
        <f t="shared" si="10"/>
        <v>11</v>
      </c>
      <c r="D132">
        <f t="shared" si="11"/>
        <v>29</v>
      </c>
      <c r="E132">
        <f t="shared" si="14"/>
        <v>39318</v>
      </c>
      <c r="F132" t="str">
        <f t="shared" si="12"/>
        <v>Tan Riding Talbuk</v>
      </c>
    </row>
    <row r="133" spans="1:6" x14ac:dyDescent="0.35">
      <c r="A133" t="s">
        <v>779</v>
      </c>
      <c r="B133">
        <f t="shared" si="13"/>
        <v>7</v>
      </c>
      <c r="C133">
        <f t="shared" si="10"/>
        <v>11</v>
      </c>
      <c r="D133">
        <f t="shared" si="11"/>
        <v>30</v>
      </c>
      <c r="E133">
        <f t="shared" si="14"/>
        <v>87091</v>
      </c>
      <c r="F133" t="str">
        <f t="shared" si="12"/>
        <v>Goblin Turbo-Trike</v>
      </c>
    </row>
    <row r="134" spans="1:6" x14ac:dyDescent="0.35">
      <c r="A134" t="s">
        <v>737</v>
      </c>
      <c r="B134">
        <f t="shared" si="13"/>
        <v>8</v>
      </c>
      <c r="C134">
        <f t="shared" si="10"/>
        <v>12</v>
      </c>
      <c r="D134">
        <f t="shared" si="11"/>
        <v>48</v>
      </c>
      <c r="E134">
        <f t="shared" si="14"/>
        <v>101821</v>
      </c>
      <c r="F134" t="str">
        <f t="shared" si="12"/>
        <v>Ruthless Gladiator's Twilight Drake</v>
      </c>
    </row>
    <row r="135" spans="1:6" x14ac:dyDescent="0.35">
      <c r="A135" t="s">
        <v>609</v>
      </c>
      <c r="B135">
        <f t="shared" si="13"/>
        <v>7</v>
      </c>
      <c r="C135">
        <f t="shared" si="10"/>
        <v>11</v>
      </c>
      <c r="D135">
        <f t="shared" si="11"/>
        <v>30</v>
      </c>
      <c r="E135">
        <f t="shared" si="14"/>
        <v>34767</v>
      </c>
      <c r="F135" t="str">
        <f t="shared" si="12"/>
        <v>Thalassian Charger</v>
      </c>
    </row>
    <row r="136" spans="1:6" x14ac:dyDescent="0.35">
      <c r="A136" t="s">
        <v>739</v>
      </c>
      <c r="B136">
        <f t="shared" si="13"/>
        <v>8</v>
      </c>
      <c r="C136">
        <f t="shared" si="10"/>
        <v>12</v>
      </c>
      <c r="D136">
        <f t="shared" si="11"/>
        <v>47</v>
      </c>
      <c r="E136">
        <f t="shared" si="14"/>
        <v>101282</v>
      </c>
      <c r="F136" t="str">
        <f t="shared" si="12"/>
        <v>Vicious Gladiator's Twilight Drake</v>
      </c>
    </row>
    <row r="137" spans="1:6" x14ac:dyDescent="0.35">
      <c r="A137" t="s">
        <v>610</v>
      </c>
      <c r="B137">
        <f t="shared" si="13"/>
        <v>7</v>
      </c>
      <c r="C137">
        <f t="shared" si="10"/>
        <v>11</v>
      </c>
      <c r="D137">
        <f t="shared" si="11"/>
        <v>36</v>
      </c>
      <c r="E137">
        <f t="shared" si="14"/>
        <v>25863</v>
      </c>
      <c r="F137" t="str">
        <f t="shared" si="12"/>
        <v>Black Qiraji Battle Tank</v>
      </c>
    </row>
    <row r="138" spans="1:6" x14ac:dyDescent="0.35">
      <c r="A138" t="s">
        <v>745</v>
      </c>
      <c r="B138">
        <f t="shared" si="13"/>
        <v>7</v>
      </c>
      <c r="C138">
        <f t="shared" si="10"/>
        <v>11</v>
      </c>
      <c r="D138">
        <f t="shared" si="11"/>
        <v>31</v>
      </c>
      <c r="E138">
        <f t="shared" si="14"/>
        <v>97560</v>
      </c>
      <c r="F138" t="str">
        <f t="shared" si="12"/>
        <v>Corrupted Fire Hawk</v>
      </c>
    </row>
    <row r="139" spans="1:6" x14ac:dyDescent="0.35">
      <c r="A139" t="s">
        <v>747</v>
      </c>
      <c r="B139">
        <f t="shared" si="13"/>
        <v>7</v>
      </c>
      <c r="C139">
        <f t="shared" si="10"/>
        <v>11</v>
      </c>
      <c r="D139">
        <f t="shared" si="11"/>
        <v>30</v>
      </c>
      <c r="E139">
        <f t="shared" si="14"/>
        <v>60114</v>
      </c>
      <c r="F139" t="str">
        <f t="shared" si="12"/>
        <v>Armored Brown Bear</v>
      </c>
    </row>
    <row r="140" spans="1:6" x14ac:dyDescent="0.35">
      <c r="A140" t="s">
        <v>748</v>
      </c>
      <c r="B140">
        <f t="shared" si="13"/>
        <v>7</v>
      </c>
      <c r="C140">
        <f t="shared" si="10"/>
        <v>11</v>
      </c>
      <c r="D140">
        <f t="shared" si="11"/>
        <v>31</v>
      </c>
      <c r="E140">
        <f t="shared" si="14"/>
        <v>97493</v>
      </c>
      <c r="F140" t="str">
        <f t="shared" si="12"/>
        <v>Pureblood Fire Hawk</v>
      </c>
    </row>
    <row r="141" spans="1:6" x14ac:dyDescent="0.35">
      <c r="A141" t="s">
        <v>738</v>
      </c>
      <c r="B141">
        <f t="shared" si="13"/>
        <v>8</v>
      </c>
      <c r="C141">
        <f t="shared" si="10"/>
        <v>12</v>
      </c>
      <c r="D141">
        <f t="shared" si="11"/>
        <v>31</v>
      </c>
      <c r="E141">
        <f t="shared" si="14"/>
        <v>101573</v>
      </c>
      <c r="F141" t="str">
        <f t="shared" si="12"/>
        <v>Swift Shorestrider</v>
      </c>
    </row>
    <row r="142" spans="1:6" x14ac:dyDescent="0.35">
      <c r="A142" t="s">
        <v>611</v>
      </c>
      <c r="B142">
        <f t="shared" si="13"/>
        <v>7</v>
      </c>
      <c r="C142">
        <f t="shared" si="10"/>
        <v>11</v>
      </c>
      <c r="D142">
        <f t="shared" si="11"/>
        <v>25</v>
      </c>
      <c r="E142">
        <f t="shared" si="14"/>
        <v>61451</v>
      </c>
      <c r="F142" t="str">
        <f t="shared" si="12"/>
        <v>Flying Carpet</v>
      </c>
    </row>
    <row r="143" spans="1:6" x14ac:dyDescent="0.35">
      <c r="A143" t="s">
        <v>612</v>
      </c>
      <c r="B143">
        <f t="shared" si="13"/>
        <v>7</v>
      </c>
      <c r="C143">
        <f t="shared" si="10"/>
        <v>11</v>
      </c>
      <c r="D143">
        <f t="shared" si="11"/>
        <v>35</v>
      </c>
      <c r="E143">
        <f t="shared" si="14"/>
        <v>61467</v>
      </c>
      <c r="F143" t="str">
        <f t="shared" si="12"/>
        <v>Grand Black War Mammoth</v>
      </c>
    </row>
    <row r="144" spans="1:6" x14ac:dyDescent="0.35">
      <c r="A144" t="s">
        <v>954</v>
      </c>
      <c r="B144">
        <f t="shared" si="13"/>
        <v>8</v>
      </c>
      <c r="C144">
        <f t="shared" si="10"/>
        <v>12</v>
      </c>
      <c r="D144">
        <f t="shared" si="11"/>
        <v>33</v>
      </c>
      <c r="E144">
        <f t="shared" si="14"/>
        <v>135418</v>
      </c>
      <c r="F144" t="str">
        <f t="shared" si="12"/>
        <v>Grand Armored Wyvern</v>
      </c>
    </row>
    <row r="145" spans="1:6" x14ac:dyDescent="0.35">
      <c r="A145" t="s">
        <v>613</v>
      </c>
      <c r="B145">
        <f t="shared" si="13"/>
        <v>7</v>
      </c>
      <c r="C145">
        <f t="shared" si="10"/>
        <v>11</v>
      </c>
      <c r="D145">
        <f t="shared" si="11"/>
        <v>27</v>
      </c>
      <c r="E145">
        <f t="shared" si="14"/>
        <v>65638</v>
      </c>
      <c r="F145" t="str">
        <f t="shared" si="12"/>
        <v>Swift Moonsaber</v>
      </c>
    </row>
    <row r="146" spans="1:6" x14ac:dyDescent="0.35">
      <c r="A146" t="s">
        <v>754</v>
      </c>
      <c r="B146">
        <f t="shared" si="13"/>
        <v>7</v>
      </c>
      <c r="C146">
        <f t="shared" si="10"/>
        <v>11</v>
      </c>
      <c r="D146">
        <f t="shared" si="11"/>
        <v>27</v>
      </c>
      <c r="E146">
        <f t="shared" si="14"/>
        <v>93326</v>
      </c>
      <c r="F146" t="str">
        <f t="shared" si="12"/>
        <v>Sandstone Drake</v>
      </c>
    </row>
    <row r="147" spans="1:6" x14ac:dyDescent="0.35">
      <c r="A147" t="s">
        <v>762</v>
      </c>
      <c r="B147">
        <f t="shared" si="13"/>
        <v>7</v>
      </c>
      <c r="C147">
        <f t="shared" si="10"/>
        <v>11</v>
      </c>
      <c r="D147">
        <f t="shared" si="11"/>
        <v>24</v>
      </c>
      <c r="E147">
        <f t="shared" si="14"/>
        <v>88990</v>
      </c>
      <c r="F147" t="str">
        <f t="shared" si="12"/>
        <v>Dark Phoenix</v>
      </c>
    </row>
    <row r="148" spans="1:6" x14ac:dyDescent="0.35">
      <c r="A148" t="s">
        <v>830</v>
      </c>
      <c r="B148">
        <f t="shared" si="13"/>
        <v>7</v>
      </c>
      <c r="C148">
        <f t="shared" si="10"/>
        <v>11</v>
      </c>
      <c r="D148">
        <f t="shared" si="11"/>
        <v>32</v>
      </c>
      <c r="E148">
        <f t="shared" si="14"/>
        <v>88746</v>
      </c>
      <c r="F148" t="str">
        <f t="shared" si="12"/>
        <v>Vitreous Stone Drake</v>
      </c>
    </row>
    <row r="149" spans="1:6" x14ac:dyDescent="0.35">
      <c r="A149" t="s">
        <v>791</v>
      </c>
      <c r="B149">
        <f t="shared" si="13"/>
        <v>7</v>
      </c>
      <c r="C149">
        <f t="shared" si="10"/>
        <v>11</v>
      </c>
      <c r="D149">
        <f t="shared" si="11"/>
        <v>22</v>
      </c>
      <c r="E149">
        <f t="shared" si="14"/>
        <v>72286</v>
      </c>
      <c r="F149" t="str">
        <f t="shared" si="12"/>
        <v>Invincible</v>
      </c>
    </row>
    <row r="150" spans="1:6" x14ac:dyDescent="0.35">
      <c r="A150" t="s">
        <v>796</v>
      </c>
      <c r="B150">
        <f t="shared" si="13"/>
        <v>7</v>
      </c>
      <c r="C150">
        <f t="shared" si="10"/>
        <v>11</v>
      </c>
      <c r="D150">
        <f t="shared" si="11"/>
        <v>30</v>
      </c>
      <c r="E150">
        <f t="shared" si="14"/>
        <v>74856</v>
      </c>
      <c r="F150" t="str">
        <f t="shared" si="12"/>
        <v>Blazing Hippogryph</v>
      </c>
    </row>
    <row r="151" spans="1:6" x14ac:dyDescent="0.35">
      <c r="A151" t="s">
        <v>614</v>
      </c>
      <c r="B151">
        <f t="shared" si="13"/>
        <v>7</v>
      </c>
      <c r="C151">
        <f t="shared" si="10"/>
        <v>11</v>
      </c>
      <c r="D151">
        <f t="shared" si="11"/>
        <v>24</v>
      </c>
      <c r="E151">
        <f t="shared" si="14"/>
        <v>63639</v>
      </c>
      <c r="F151" t="str">
        <f t="shared" si="12"/>
        <v>Exodar Elekk</v>
      </c>
    </row>
    <row r="152" spans="1:6" x14ac:dyDescent="0.35">
      <c r="A152" t="s">
        <v>615</v>
      </c>
      <c r="B152">
        <f t="shared" si="13"/>
        <v>7</v>
      </c>
      <c r="C152">
        <f t="shared" si="10"/>
        <v>11</v>
      </c>
      <c r="D152">
        <f t="shared" si="11"/>
        <v>23</v>
      </c>
      <c r="E152">
        <f t="shared" si="14"/>
        <v>59567</v>
      </c>
      <c r="F152" t="str">
        <f t="shared" si="12"/>
        <v>Azure Drake</v>
      </c>
    </row>
    <row r="153" spans="1:6" x14ac:dyDescent="0.35">
      <c r="A153" t="s">
        <v>955</v>
      </c>
      <c r="B153">
        <f t="shared" si="13"/>
        <v>8</v>
      </c>
      <c r="C153">
        <f t="shared" si="10"/>
        <v>12</v>
      </c>
      <c r="D153">
        <f t="shared" si="11"/>
        <v>28</v>
      </c>
      <c r="E153">
        <f t="shared" si="14"/>
        <v>124659</v>
      </c>
      <c r="F153" t="str">
        <f t="shared" si="12"/>
        <v>Imperial Quilen</v>
      </c>
    </row>
    <row r="154" spans="1:6" x14ac:dyDescent="0.35">
      <c r="A154" t="s">
        <v>616</v>
      </c>
      <c r="B154">
        <f t="shared" si="13"/>
        <v>6</v>
      </c>
      <c r="C154">
        <f t="shared" si="10"/>
        <v>10</v>
      </c>
      <c r="D154">
        <f t="shared" si="11"/>
        <v>20</v>
      </c>
      <c r="E154">
        <f t="shared" si="14"/>
        <v>6899</v>
      </c>
      <c r="F154" t="str">
        <f t="shared" si="12"/>
        <v>Brown Ram</v>
      </c>
    </row>
    <row r="155" spans="1:6" x14ac:dyDescent="0.35">
      <c r="A155" t="s">
        <v>956</v>
      </c>
      <c r="B155">
        <f t="shared" si="13"/>
        <v>8</v>
      </c>
      <c r="C155">
        <f t="shared" si="10"/>
        <v>12</v>
      </c>
      <c r="D155">
        <f t="shared" si="11"/>
        <v>33</v>
      </c>
      <c r="E155">
        <f t="shared" si="14"/>
        <v>127278</v>
      </c>
      <c r="F155" t="str">
        <f t="shared" si="12"/>
        <v>Golden Water Strider</v>
      </c>
    </row>
    <row r="156" spans="1:6" x14ac:dyDescent="0.35">
      <c r="A156" t="s">
        <v>957</v>
      </c>
      <c r="B156">
        <f t="shared" si="13"/>
        <v>8</v>
      </c>
      <c r="C156">
        <f t="shared" si="10"/>
        <v>12</v>
      </c>
      <c r="D156">
        <f t="shared" si="11"/>
        <v>39</v>
      </c>
      <c r="E156">
        <f t="shared" si="14"/>
        <v>127310</v>
      </c>
      <c r="F156" t="str">
        <f t="shared" si="12"/>
        <v>Great Purple Dragon Turtle</v>
      </c>
    </row>
    <row r="157" spans="1:6" x14ac:dyDescent="0.35">
      <c r="A157" t="s">
        <v>617</v>
      </c>
      <c r="B157">
        <f t="shared" si="13"/>
        <v>7</v>
      </c>
      <c r="C157">
        <f t="shared" si="10"/>
        <v>11</v>
      </c>
      <c r="D157">
        <f t="shared" si="11"/>
        <v>34</v>
      </c>
      <c r="E157">
        <f t="shared" si="14"/>
        <v>44317</v>
      </c>
      <c r="F157" t="str">
        <f t="shared" si="12"/>
        <v>Merciless Nether Drake</v>
      </c>
    </row>
    <row r="158" spans="1:6" x14ac:dyDescent="0.35">
      <c r="A158" t="s">
        <v>618</v>
      </c>
      <c r="B158">
        <f t="shared" si="13"/>
        <v>7</v>
      </c>
      <c r="C158">
        <f t="shared" si="10"/>
        <v>11</v>
      </c>
      <c r="D158">
        <f t="shared" si="11"/>
        <v>33</v>
      </c>
      <c r="E158">
        <f t="shared" si="14"/>
        <v>65639</v>
      </c>
      <c r="F158" t="str">
        <f t="shared" si="12"/>
        <v>Swift Red Hawkstrider</v>
      </c>
    </row>
    <row r="159" spans="1:6" x14ac:dyDescent="0.35">
      <c r="A159" t="s">
        <v>958</v>
      </c>
      <c r="B159">
        <f t="shared" si="13"/>
        <v>8</v>
      </c>
      <c r="C159">
        <f t="shared" si="10"/>
        <v>12</v>
      </c>
      <c r="D159">
        <f t="shared" si="11"/>
        <v>31</v>
      </c>
      <c r="E159">
        <f t="shared" si="14"/>
        <v>149801</v>
      </c>
      <c r="F159" t="str">
        <f t="shared" si="12"/>
        <v>Emerald Hippogryph</v>
      </c>
    </row>
    <row r="160" spans="1:6" x14ac:dyDescent="0.35">
      <c r="A160" t="s">
        <v>777</v>
      </c>
      <c r="B160">
        <f t="shared" si="13"/>
        <v>7</v>
      </c>
      <c r="C160">
        <f t="shared" si="10"/>
        <v>11</v>
      </c>
      <c r="D160">
        <f t="shared" si="11"/>
        <v>34</v>
      </c>
      <c r="E160">
        <f t="shared" si="14"/>
        <v>88335</v>
      </c>
      <c r="F160" t="str">
        <f t="shared" si="12"/>
        <v>Drake of the East Wind</v>
      </c>
    </row>
    <row r="161" spans="1:6" x14ac:dyDescent="0.35">
      <c r="A161" t="s">
        <v>817</v>
      </c>
      <c r="B161">
        <f t="shared" si="13"/>
        <v>7</v>
      </c>
      <c r="C161">
        <f t="shared" si="10"/>
        <v>11</v>
      </c>
      <c r="D161">
        <f t="shared" si="11"/>
        <v>37</v>
      </c>
      <c r="E161">
        <f t="shared" si="14"/>
        <v>26055</v>
      </c>
      <c r="F161" t="str">
        <f t="shared" si="12"/>
        <v>Yellow Qiraji Battle Tank</v>
      </c>
    </row>
    <row r="162" spans="1:6" x14ac:dyDescent="0.35">
      <c r="A162" t="s">
        <v>619</v>
      </c>
      <c r="B162">
        <f t="shared" si="13"/>
        <v>7</v>
      </c>
      <c r="C162">
        <f t="shared" si="10"/>
        <v>11</v>
      </c>
      <c r="D162">
        <f t="shared" si="11"/>
        <v>35</v>
      </c>
      <c r="E162">
        <f t="shared" si="14"/>
        <v>39798</v>
      </c>
      <c r="F162" t="str">
        <f t="shared" si="12"/>
        <v>Green Riding Nether Ray</v>
      </c>
    </row>
    <row r="163" spans="1:6" x14ac:dyDescent="0.35">
      <c r="A163" t="s">
        <v>620</v>
      </c>
      <c r="B163">
        <f t="shared" si="13"/>
        <v>8</v>
      </c>
      <c r="C163">
        <f t="shared" si="10"/>
        <v>12</v>
      </c>
      <c r="D163">
        <f t="shared" si="11"/>
        <v>36</v>
      </c>
      <c r="E163">
        <f t="shared" si="14"/>
        <v>388516</v>
      </c>
      <c r="F163" t="str">
        <f t="shared" si="12"/>
        <v>Hao-Yue, River Foreseer</v>
      </c>
    </row>
    <row r="164" spans="1:6" x14ac:dyDescent="0.35">
      <c r="A164" t="s">
        <v>621</v>
      </c>
      <c r="B164">
        <f t="shared" si="13"/>
        <v>7</v>
      </c>
      <c r="C164">
        <f t="shared" si="10"/>
        <v>11</v>
      </c>
      <c r="D164">
        <f t="shared" si="11"/>
        <v>31</v>
      </c>
      <c r="E164">
        <f t="shared" si="14"/>
        <v>39319</v>
      </c>
      <c r="F164" t="str">
        <f t="shared" si="12"/>
        <v>White Riding Talbuk</v>
      </c>
    </row>
    <row r="165" spans="1:6" x14ac:dyDescent="0.35">
      <c r="A165" t="s">
        <v>778</v>
      </c>
      <c r="B165">
        <f t="shared" si="13"/>
        <v>7</v>
      </c>
      <c r="C165">
        <f t="shared" si="10"/>
        <v>11</v>
      </c>
      <c r="D165">
        <f t="shared" si="11"/>
        <v>32</v>
      </c>
      <c r="E165">
        <f t="shared" si="14"/>
        <v>88331</v>
      </c>
      <c r="F165" t="str">
        <f t="shared" si="12"/>
        <v>Volcanic Stone Drake</v>
      </c>
    </row>
    <row r="166" spans="1:6" x14ac:dyDescent="0.35">
      <c r="A166" t="s">
        <v>622</v>
      </c>
      <c r="B166">
        <f t="shared" si="13"/>
        <v>7</v>
      </c>
      <c r="C166">
        <f t="shared" si="10"/>
        <v>11</v>
      </c>
      <c r="D166">
        <f t="shared" si="11"/>
        <v>25</v>
      </c>
      <c r="E166">
        <f t="shared" si="14"/>
        <v>59791</v>
      </c>
      <c r="F166" t="str">
        <f t="shared" si="12"/>
        <v>Wooly Mammoth</v>
      </c>
    </row>
    <row r="167" spans="1:6" x14ac:dyDescent="0.35">
      <c r="A167" t="s">
        <v>623</v>
      </c>
      <c r="B167">
        <f t="shared" si="13"/>
        <v>7</v>
      </c>
      <c r="C167">
        <f t="shared" si="10"/>
        <v>11</v>
      </c>
      <c r="D167">
        <f t="shared" si="11"/>
        <v>26</v>
      </c>
      <c r="E167">
        <f t="shared" si="14"/>
        <v>32235</v>
      </c>
      <c r="F167" t="str">
        <f t="shared" si="12"/>
        <v>Golden Gryphon</v>
      </c>
    </row>
    <row r="168" spans="1:6" x14ac:dyDescent="0.35">
      <c r="A168" t="s">
        <v>624</v>
      </c>
      <c r="B168">
        <f t="shared" si="13"/>
        <v>7</v>
      </c>
      <c r="C168">
        <f t="shared" si="10"/>
        <v>11</v>
      </c>
      <c r="D168">
        <f t="shared" si="11"/>
        <v>28</v>
      </c>
      <c r="E168">
        <f t="shared" si="14"/>
        <v>32243</v>
      </c>
      <c r="F168" t="str">
        <f t="shared" si="12"/>
        <v>Tawny Wind Rider</v>
      </c>
    </row>
    <row r="169" spans="1:6" x14ac:dyDescent="0.35">
      <c r="A169" t="s">
        <v>625</v>
      </c>
      <c r="B169">
        <f t="shared" si="13"/>
        <v>7</v>
      </c>
      <c r="C169">
        <f t="shared" si="10"/>
        <v>11</v>
      </c>
      <c r="D169">
        <f t="shared" si="11"/>
        <v>42</v>
      </c>
      <c r="E169">
        <f t="shared" si="14"/>
        <v>54729</v>
      </c>
      <c r="F169" t="str">
        <f t="shared" si="12"/>
        <v>Winged Steed of the Ebon Blade</v>
      </c>
    </row>
    <row r="170" spans="1:6" x14ac:dyDescent="0.35">
      <c r="A170" t="s">
        <v>959</v>
      </c>
      <c r="B170">
        <f t="shared" si="13"/>
        <v>7</v>
      </c>
      <c r="C170">
        <f t="shared" si="10"/>
        <v>11</v>
      </c>
      <c r="D170">
        <f t="shared" si="11"/>
        <v>25</v>
      </c>
      <c r="E170">
        <f t="shared" si="14"/>
        <v>30174</v>
      </c>
      <c r="F170" t="str">
        <f t="shared" si="12"/>
        <v>Riding Turtle</v>
      </c>
    </row>
    <row r="171" spans="1:6" x14ac:dyDescent="0.35">
      <c r="A171" t="s">
        <v>626</v>
      </c>
      <c r="B171">
        <f t="shared" si="13"/>
        <v>8</v>
      </c>
      <c r="C171">
        <f t="shared" si="10"/>
        <v>12</v>
      </c>
      <c r="D171">
        <f t="shared" si="11"/>
        <v>37</v>
      </c>
      <c r="E171">
        <f t="shared" si="14"/>
        <v>372677</v>
      </c>
      <c r="F171" t="str">
        <f t="shared" si="12"/>
        <v>Kalu'ak Whalebone Glider</v>
      </c>
    </row>
    <row r="172" spans="1:6" x14ac:dyDescent="0.35">
      <c r="A172" t="s">
        <v>627</v>
      </c>
      <c r="B172">
        <f t="shared" si="13"/>
        <v>7</v>
      </c>
      <c r="C172">
        <f t="shared" si="10"/>
        <v>11</v>
      </c>
      <c r="D172">
        <f t="shared" si="11"/>
        <v>21</v>
      </c>
      <c r="E172">
        <f t="shared" si="14"/>
        <v>18989</v>
      </c>
      <c r="F172" t="str">
        <f t="shared" si="12"/>
        <v>Gray Kodo</v>
      </c>
    </row>
    <row r="173" spans="1:6" x14ac:dyDescent="0.35">
      <c r="A173" t="s">
        <v>628</v>
      </c>
      <c r="B173">
        <f t="shared" si="13"/>
        <v>7</v>
      </c>
      <c r="C173">
        <f t="shared" si="10"/>
        <v>11</v>
      </c>
      <c r="D173">
        <f t="shared" si="11"/>
        <v>32</v>
      </c>
      <c r="E173">
        <f t="shared" si="14"/>
        <v>17464</v>
      </c>
      <c r="F173" t="str">
        <f t="shared" si="12"/>
        <v>Brown Skeletal Horse</v>
      </c>
    </row>
    <row r="174" spans="1:6" x14ac:dyDescent="0.35">
      <c r="A174" t="s">
        <v>629</v>
      </c>
      <c r="B174">
        <f t="shared" si="13"/>
        <v>7</v>
      </c>
      <c r="C174">
        <f t="shared" si="10"/>
        <v>11</v>
      </c>
      <c r="D174">
        <f t="shared" si="11"/>
        <v>28</v>
      </c>
      <c r="E174">
        <f t="shared" si="14"/>
        <v>10796</v>
      </c>
      <c r="F174" t="str">
        <f t="shared" si="12"/>
        <v>Turquoise Raptor</v>
      </c>
    </row>
    <row r="175" spans="1:6" x14ac:dyDescent="0.35">
      <c r="A175" t="s">
        <v>630</v>
      </c>
      <c r="B175">
        <f t="shared" si="13"/>
        <v>7</v>
      </c>
      <c r="C175">
        <f t="shared" si="10"/>
        <v>11</v>
      </c>
      <c r="D175">
        <f t="shared" si="11"/>
        <v>38</v>
      </c>
      <c r="E175">
        <f t="shared" si="14"/>
        <v>66087</v>
      </c>
      <c r="F175" t="str">
        <f t="shared" si="12"/>
        <v>Silver Covenant Hippogryph</v>
      </c>
    </row>
    <row r="176" spans="1:6" x14ac:dyDescent="0.35">
      <c r="A176" t="s">
        <v>960</v>
      </c>
      <c r="B176">
        <f t="shared" si="13"/>
        <v>9</v>
      </c>
      <c r="C176">
        <f t="shared" si="10"/>
        <v>13</v>
      </c>
      <c r="D176">
        <f t="shared" si="11"/>
        <v>36</v>
      </c>
      <c r="E176">
        <f t="shared" si="14"/>
        <v>1247598</v>
      </c>
      <c r="F176" t="str">
        <f t="shared" si="12"/>
        <v>Celestial Riding Tiger</v>
      </c>
    </row>
    <row r="177" spans="1:6" x14ac:dyDescent="0.35">
      <c r="A177" t="s">
        <v>631</v>
      </c>
      <c r="B177">
        <f t="shared" si="13"/>
        <v>5</v>
      </c>
      <c r="C177">
        <f t="shared" si="10"/>
        <v>9</v>
      </c>
      <c r="D177">
        <f t="shared" si="11"/>
        <v>24</v>
      </c>
      <c r="E177">
        <f t="shared" si="14"/>
        <v>468</v>
      </c>
      <c r="F177" t="str">
        <f t="shared" si="12"/>
        <v>White Stallion</v>
      </c>
    </row>
    <row r="178" spans="1:6" x14ac:dyDescent="0.35">
      <c r="A178" t="s">
        <v>961</v>
      </c>
      <c r="B178">
        <f t="shared" si="13"/>
        <v>9</v>
      </c>
      <c r="C178">
        <f t="shared" si="10"/>
        <v>13</v>
      </c>
      <c r="D178">
        <f t="shared" si="11"/>
        <v>33</v>
      </c>
      <c r="E178">
        <f t="shared" si="14"/>
        <v>1247597</v>
      </c>
      <c r="F178" t="str">
        <f t="shared" si="12"/>
        <v>Celestial Riding Ox</v>
      </c>
    </row>
    <row r="179" spans="1:6" x14ac:dyDescent="0.35">
      <c r="A179" t="s">
        <v>703</v>
      </c>
      <c r="B179">
        <f t="shared" si="13"/>
        <v>8</v>
      </c>
      <c r="C179">
        <f t="shared" si="10"/>
        <v>12</v>
      </c>
      <c r="D179">
        <f t="shared" si="11"/>
        <v>33</v>
      </c>
      <c r="E179">
        <f t="shared" si="14"/>
        <v>466948</v>
      </c>
      <c r="F179" t="str">
        <f t="shared" si="12"/>
        <v>Chaos-Born Dreadwing</v>
      </c>
    </row>
    <row r="180" spans="1:6" x14ac:dyDescent="0.35">
      <c r="A180" t="s">
        <v>632</v>
      </c>
      <c r="B180">
        <f t="shared" si="13"/>
        <v>8</v>
      </c>
      <c r="C180">
        <f t="shared" si="10"/>
        <v>12</v>
      </c>
      <c r="D180">
        <f t="shared" si="11"/>
        <v>24</v>
      </c>
      <c r="E180">
        <f t="shared" si="14"/>
        <v>446902</v>
      </c>
      <c r="F180" t="str">
        <f t="shared" si="12"/>
        <v>Polly Roger</v>
      </c>
    </row>
    <row r="181" spans="1:6" x14ac:dyDescent="0.35">
      <c r="A181" t="s">
        <v>803</v>
      </c>
      <c r="B181">
        <f t="shared" si="13"/>
        <v>7</v>
      </c>
      <c r="C181">
        <f t="shared" si="10"/>
        <v>11</v>
      </c>
      <c r="D181">
        <f t="shared" si="11"/>
        <v>32</v>
      </c>
      <c r="E181">
        <f t="shared" si="14"/>
        <v>68057</v>
      </c>
      <c r="F181" t="str">
        <f t="shared" si="12"/>
        <v>Swift Alliance Steed</v>
      </c>
    </row>
    <row r="182" spans="1:6" x14ac:dyDescent="0.35">
      <c r="A182" t="s">
        <v>962</v>
      </c>
      <c r="B182">
        <f t="shared" si="13"/>
        <v>9</v>
      </c>
      <c r="C182">
        <f t="shared" si="10"/>
        <v>13</v>
      </c>
      <c r="D182">
        <f t="shared" si="11"/>
        <v>30</v>
      </c>
      <c r="E182">
        <f t="shared" si="14"/>
        <v>1224646</v>
      </c>
      <c r="F182" t="str">
        <f t="shared" si="12"/>
        <v>Meeksi Wanderpaw</v>
      </c>
    </row>
    <row r="183" spans="1:6" x14ac:dyDescent="0.35">
      <c r="A183" t="s">
        <v>633</v>
      </c>
      <c r="B183">
        <f t="shared" si="13"/>
        <v>7</v>
      </c>
      <c r="C183">
        <f t="shared" si="10"/>
        <v>11</v>
      </c>
      <c r="D183">
        <f t="shared" si="11"/>
        <v>26</v>
      </c>
      <c r="E183">
        <f t="shared" si="14"/>
        <v>63640</v>
      </c>
      <c r="F183" t="str">
        <f t="shared" si="12"/>
        <v>Orgrimmar Wolf</v>
      </c>
    </row>
    <row r="184" spans="1:6" x14ac:dyDescent="0.35">
      <c r="A184" t="s">
        <v>634</v>
      </c>
      <c r="B184">
        <f t="shared" si="13"/>
        <v>7</v>
      </c>
      <c r="C184">
        <f t="shared" si="10"/>
        <v>11</v>
      </c>
      <c r="D184">
        <f t="shared" si="11"/>
        <v>22</v>
      </c>
      <c r="E184">
        <f t="shared" si="14"/>
        <v>59568</v>
      </c>
      <c r="F184" t="str">
        <f t="shared" si="12"/>
        <v>Blue Drake</v>
      </c>
    </row>
    <row r="185" spans="1:6" x14ac:dyDescent="0.35">
      <c r="A185" t="s">
        <v>963</v>
      </c>
      <c r="B185">
        <f t="shared" si="13"/>
        <v>8</v>
      </c>
      <c r="C185">
        <f t="shared" si="10"/>
        <v>12</v>
      </c>
      <c r="D185">
        <f t="shared" si="11"/>
        <v>28</v>
      </c>
      <c r="E185">
        <f t="shared" si="14"/>
        <v>127216</v>
      </c>
      <c r="F185" t="str">
        <f t="shared" si="12"/>
        <v>Grey Riding Yak</v>
      </c>
    </row>
    <row r="186" spans="1:6" x14ac:dyDescent="0.35">
      <c r="A186" t="s">
        <v>964</v>
      </c>
      <c r="B186">
        <f t="shared" si="13"/>
        <v>9</v>
      </c>
      <c r="C186">
        <f t="shared" si="10"/>
        <v>13</v>
      </c>
      <c r="D186">
        <f t="shared" si="11"/>
        <v>31</v>
      </c>
      <c r="E186">
        <f t="shared" si="14"/>
        <v>1224645</v>
      </c>
      <c r="F186" t="str">
        <f t="shared" si="12"/>
        <v>Meeksi Rufflemane</v>
      </c>
    </row>
    <row r="187" spans="1:6" x14ac:dyDescent="0.35">
      <c r="A187" t="s">
        <v>965</v>
      </c>
      <c r="B187">
        <f t="shared" si="13"/>
        <v>9</v>
      </c>
      <c r="C187">
        <f t="shared" si="10"/>
        <v>13</v>
      </c>
      <c r="D187">
        <f t="shared" si="11"/>
        <v>30</v>
      </c>
      <c r="E187">
        <f t="shared" si="14"/>
        <v>1224643</v>
      </c>
      <c r="F187" t="str">
        <f t="shared" si="12"/>
        <v>Meeksi Gentlepaw</v>
      </c>
    </row>
    <row r="188" spans="1:6" x14ac:dyDescent="0.35">
      <c r="A188" t="s">
        <v>770</v>
      </c>
      <c r="B188">
        <f t="shared" si="13"/>
        <v>7</v>
      </c>
      <c r="C188">
        <f t="shared" si="10"/>
        <v>11</v>
      </c>
      <c r="D188">
        <f t="shared" si="11"/>
        <v>27</v>
      </c>
      <c r="E188">
        <f t="shared" si="14"/>
        <v>34790</v>
      </c>
      <c r="F188" t="str">
        <f t="shared" si="12"/>
        <v>Dark War Talbuk</v>
      </c>
    </row>
    <row r="189" spans="1:6" x14ac:dyDescent="0.35">
      <c r="A189" t="s">
        <v>635</v>
      </c>
      <c r="B189">
        <f t="shared" si="13"/>
        <v>7</v>
      </c>
      <c r="C189">
        <f t="shared" si="10"/>
        <v>11</v>
      </c>
      <c r="D189">
        <f t="shared" si="11"/>
        <v>22</v>
      </c>
      <c r="E189">
        <f t="shared" si="14"/>
        <v>41252</v>
      </c>
      <c r="F189" t="str">
        <f t="shared" si="12"/>
        <v>Raven Lord</v>
      </c>
    </row>
    <row r="190" spans="1:6" x14ac:dyDescent="0.35">
      <c r="A190" t="s">
        <v>636</v>
      </c>
      <c r="B190">
        <f t="shared" si="13"/>
        <v>7</v>
      </c>
      <c r="C190">
        <f t="shared" si="10"/>
        <v>11</v>
      </c>
      <c r="D190">
        <f t="shared" si="11"/>
        <v>28</v>
      </c>
      <c r="E190">
        <f t="shared" si="14"/>
        <v>23221</v>
      </c>
      <c r="F190" t="str">
        <f t="shared" si="12"/>
        <v>Swift Frostsaber</v>
      </c>
    </row>
    <row r="191" spans="1:6" x14ac:dyDescent="0.35">
      <c r="A191" t="s">
        <v>637</v>
      </c>
      <c r="B191">
        <f t="shared" si="13"/>
        <v>7</v>
      </c>
      <c r="C191">
        <f t="shared" si="10"/>
        <v>11</v>
      </c>
      <c r="D191">
        <f t="shared" si="11"/>
        <v>26</v>
      </c>
      <c r="E191">
        <f t="shared" si="14"/>
        <v>22718</v>
      </c>
      <c r="F191" t="str">
        <f t="shared" si="12"/>
        <v>Black War Kodo</v>
      </c>
    </row>
    <row r="192" spans="1:6" x14ac:dyDescent="0.35">
      <c r="A192" t="s">
        <v>638</v>
      </c>
      <c r="B192">
        <f t="shared" si="13"/>
        <v>7</v>
      </c>
      <c r="C192">
        <f t="shared" si="10"/>
        <v>11</v>
      </c>
      <c r="D192">
        <f t="shared" si="11"/>
        <v>33</v>
      </c>
      <c r="E192">
        <f t="shared" si="14"/>
        <v>61229</v>
      </c>
      <c r="F192" t="str">
        <f t="shared" si="12"/>
        <v>Armored Snowy Gryphon</v>
      </c>
    </row>
    <row r="193" spans="1:6" x14ac:dyDescent="0.35">
      <c r="A193" t="s">
        <v>639</v>
      </c>
      <c r="B193">
        <f t="shared" si="13"/>
        <v>5</v>
      </c>
      <c r="C193">
        <f t="shared" ref="C193:C256" si="15">FIND("""",A193)</f>
        <v>9</v>
      </c>
      <c r="D193">
        <f t="shared" ref="D193:D256" si="16">FIND("""",A193,C193+1)</f>
        <v>24</v>
      </c>
      <c r="E193">
        <f t="shared" si="14"/>
        <v>470</v>
      </c>
      <c r="F193" t="str">
        <f t="shared" ref="F193:F256" si="17">MID(A193,C193+1,D193-C193-1)</f>
        <v>Black Stallion</v>
      </c>
    </row>
    <row r="194" spans="1:6" x14ac:dyDescent="0.35">
      <c r="A194" t="s">
        <v>640</v>
      </c>
      <c r="B194">
        <f t="shared" ref="B194:B257" si="18">FIND("]",A194)</f>
        <v>7</v>
      </c>
      <c r="C194">
        <f t="shared" si="15"/>
        <v>11</v>
      </c>
      <c r="D194">
        <f t="shared" si="16"/>
        <v>24</v>
      </c>
      <c r="E194">
        <f t="shared" ref="E194:E257" si="19">INT(MID(A194,2,B194-2))</f>
        <v>35711</v>
      </c>
      <c r="F194" t="str">
        <f t="shared" si="17"/>
        <v>Purple Elekk</v>
      </c>
    </row>
    <row r="195" spans="1:6" x14ac:dyDescent="0.35">
      <c r="A195" t="s">
        <v>966</v>
      </c>
      <c r="B195">
        <f t="shared" si="18"/>
        <v>8</v>
      </c>
      <c r="C195">
        <f t="shared" si="15"/>
        <v>12</v>
      </c>
      <c r="D195">
        <f t="shared" si="16"/>
        <v>24</v>
      </c>
      <c r="E195">
        <f t="shared" si="19"/>
        <v>155741</v>
      </c>
      <c r="F195" t="str">
        <f t="shared" si="17"/>
        <v>Dread Raven</v>
      </c>
    </row>
    <row r="196" spans="1:6" x14ac:dyDescent="0.35">
      <c r="A196" t="s">
        <v>641</v>
      </c>
      <c r="B196">
        <f t="shared" si="18"/>
        <v>8</v>
      </c>
      <c r="C196">
        <f t="shared" si="15"/>
        <v>12</v>
      </c>
      <c r="D196">
        <f t="shared" si="16"/>
        <v>37</v>
      </c>
      <c r="E196">
        <f t="shared" si="19"/>
        <v>473478</v>
      </c>
      <c r="F196" t="str">
        <f t="shared" si="17"/>
        <v>Sha-Touched Riding Tiger</v>
      </c>
    </row>
    <row r="197" spans="1:6" x14ac:dyDescent="0.35">
      <c r="A197" t="s">
        <v>642</v>
      </c>
      <c r="B197">
        <f t="shared" si="18"/>
        <v>7</v>
      </c>
      <c r="C197">
        <f t="shared" si="15"/>
        <v>11</v>
      </c>
      <c r="D197">
        <f t="shared" si="16"/>
        <v>37</v>
      </c>
      <c r="E197">
        <f t="shared" si="19"/>
        <v>61309</v>
      </c>
      <c r="F197" t="str">
        <f t="shared" si="17"/>
        <v>Magnificent Flying Carpet</v>
      </c>
    </row>
    <row r="198" spans="1:6" x14ac:dyDescent="0.35">
      <c r="A198" t="s">
        <v>967</v>
      </c>
      <c r="B198">
        <f t="shared" si="18"/>
        <v>8</v>
      </c>
      <c r="C198">
        <f t="shared" si="15"/>
        <v>12</v>
      </c>
      <c r="D198">
        <f t="shared" si="16"/>
        <v>27</v>
      </c>
      <c r="E198">
        <f t="shared" si="19"/>
        <v>473744</v>
      </c>
      <c r="F198" t="str">
        <f t="shared" si="17"/>
        <v>Meeksi Teatuft</v>
      </c>
    </row>
    <row r="199" spans="1:6" x14ac:dyDescent="0.35">
      <c r="A199" t="s">
        <v>643</v>
      </c>
      <c r="B199">
        <f t="shared" si="18"/>
        <v>7</v>
      </c>
      <c r="C199">
        <f t="shared" si="15"/>
        <v>11</v>
      </c>
      <c r="D199">
        <f t="shared" si="16"/>
        <v>31</v>
      </c>
      <c r="E199">
        <f t="shared" si="19"/>
        <v>34769</v>
      </c>
      <c r="F199" t="str">
        <f t="shared" si="17"/>
        <v>Thalassian Warhorse</v>
      </c>
    </row>
    <row r="200" spans="1:6" x14ac:dyDescent="0.35">
      <c r="A200" t="s">
        <v>790</v>
      </c>
      <c r="B200">
        <f t="shared" si="18"/>
        <v>7</v>
      </c>
      <c r="C200">
        <f t="shared" si="15"/>
        <v>11</v>
      </c>
      <c r="D200">
        <f t="shared" si="16"/>
        <v>32</v>
      </c>
      <c r="E200">
        <f t="shared" si="19"/>
        <v>48778</v>
      </c>
      <c r="F200" t="str">
        <f t="shared" si="17"/>
        <v>Acherus Deathcharger</v>
      </c>
    </row>
    <row r="201" spans="1:6" x14ac:dyDescent="0.35">
      <c r="A201" t="s">
        <v>968</v>
      </c>
      <c r="B201">
        <f t="shared" si="18"/>
        <v>8</v>
      </c>
      <c r="C201">
        <f t="shared" si="15"/>
        <v>12</v>
      </c>
      <c r="D201">
        <f t="shared" si="16"/>
        <v>27</v>
      </c>
      <c r="E201">
        <f t="shared" si="19"/>
        <v>473741</v>
      </c>
      <c r="F201" t="str">
        <f t="shared" si="17"/>
        <v>Meeksi Softpaw</v>
      </c>
    </row>
    <row r="202" spans="1:6" x14ac:dyDescent="0.35">
      <c r="A202" t="s">
        <v>969</v>
      </c>
      <c r="B202">
        <f t="shared" si="18"/>
        <v>8</v>
      </c>
      <c r="C202">
        <f t="shared" si="15"/>
        <v>12</v>
      </c>
      <c r="D202">
        <f t="shared" si="16"/>
        <v>29</v>
      </c>
      <c r="E202">
        <f t="shared" si="19"/>
        <v>473739</v>
      </c>
      <c r="F202" t="str">
        <f t="shared" si="17"/>
        <v>Meeksi Rufflefur</v>
      </c>
    </row>
    <row r="203" spans="1:6" x14ac:dyDescent="0.35">
      <c r="A203" t="s">
        <v>695</v>
      </c>
      <c r="B203">
        <f t="shared" si="18"/>
        <v>8</v>
      </c>
      <c r="C203">
        <f t="shared" si="15"/>
        <v>12</v>
      </c>
      <c r="D203">
        <f t="shared" si="16"/>
        <v>38</v>
      </c>
      <c r="E203">
        <f t="shared" si="19"/>
        <v>473487</v>
      </c>
      <c r="F203" t="str">
        <f t="shared" si="17"/>
        <v>Sha-Touched Cloud Serpent</v>
      </c>
    </row>
    <row r="204" spans="1:6" x14ac:dyDescent="0.35">
      <c r="A204" t="s">
        <v>689</v>
      </c>
      <c r="B204">
        <f t="shared" si="18"/>
        <v>8</v>
      </c>
      <c r="C204">
        <f t="shared" si="15"/>
        <v>12</v>
      </c>
      <c r="D204">
        <f t="shared" si="16"/>
        <v>31</v>
      </c>
      <c r="E204">
        <f t="shared" si="19"/>
        <v>466983</v>
      </c>
      <c r="F204" t="str">
        <f t="shared" si="17"/>
        <v>Chaos-Born Gryphon</v>
      </c>
    </row>
    <row r="205" spans="1:6" x14ac:dyDescent="0.35">
      <c r="A205" t="s">
        <v>970</v>
      </c>
      <c r="B205">
        <f t="shared" si="18"/>
        <v>8</v>
      </c>
      <c r="C205">
        <f t="shared" si="15"/>
        <v>12</v>
      </c>
      <c r="D205">
        <f t="shared" si="16"/>
        <v>32</v>
      </c>
      <c r="E205">
        <f t="shared" si="19"/>
        <v>138643</v>
      </c>
      <c r="F205" t="str">
        <f t="shared" si="17"/>
        <v>Green Primal Raptor</v>
      </c>
    </row>
    <row r="206" spans="1:6" x14ac:dyDescent="0.35">
      <c r="A206" t="s">
        <v>971</v>
      </c>
      <c r="B206">
        <f t="shared" si="18"/>
        <v>8</v>
      </c>
      <c r="C206">
        <f t="shared" si="15"/>
        <v>12</v>
      </c>
      <c r="D206">
        <f t="shared" si="16"/>
        <v>41</v>
      </c>
      <c r="E206">
        <f t="shared" si="19"/>
        <v>129932</v>
      </c>
      <c r="F206" t="str">
        <f t="shared" si="17"/>
        <v>Green Shado-Pan Riding Tiger</v>
      </c>
    </row>
    <row r="207" spans="1:6" x14ac:dyDescent="0.35">
      <c r="A207" t="s">
        <v>644</v>
      </c>
      <c r="B207">
        <f t="shared" si="18"/>
        <v>7</v>
      </c>
      <c r="C207">
        <f t="shared" si="15"/>
        <v>11</v>
      </c>
      <c r="D207">
        <f t="shared" si="16"/>
        <v>28</v>
      </c>
      <c r="E207">
        <f t="shared" si="19"/>
        <v>34897</v>
      </c>
      <c r="F207" t="str">
        <f t="shared" si="17"/>
        <v>White War Talbuk</v>
      </c>
    </row>
    <row r="208" spans="1:6" x14ac:dyDescent="0.35">
      <c r="A208" t="s">
        <v>645</v>
      </c>
      <c r="B208">
        <f t="shared" si="18"/>
        <v>7</v>
      </c>
      <c r="C208">
        <f t="shared" si="15"/>
        <v>11</v>
      </c>
      <c r="D208">
        <f t="shared" si="16"/>
        <v>27</v>
      </c>
      <c r="E208">
        <f t="shared" si="19"/>
        <v>61996</v>
      </c>
      <c r="F208" t="str">
        <f t="shared" si="17"/>
        <v>Blue Dragonhawk</v>
      </c>
    </row>
    <row r="209" spans="1:6" x14ac:dyDescent="0.35">
      <c r="A209" t="s">
        <v>646</v>
      </c>
      <c r="B209">
        <f t="shared" si="18"/>
        <v>7</v>
      </c>
      <c r="C209">
        <f t="shared" si="15"/>
        <v>11</v>
      </c>
      <c r="D209">
        <f t="shared" si="16"/>
        <v>24</v>
      </c>
      <c r="E209">
        <f t="shared" si="19"/>
        <v>65642</v>
      </c>
      <c r="F209" t="str">
        <f t="shared" si="17"/>
        <v>Turbostrider</v>
      </c>
    </row>
    <row r="210" spans="1:6" x14ac:dyDescent="0.35">
      <c r="A210" t="s">
        <v>972</v>
      </c>
      <c r="B210">
        <f t="shared" si="18"/>
        <v>9</v>
      </c>
      <c r="C210">
        <f t="shared" si="15"/>
        <v>13</v>
      </c>
      <c r="D210">
        <f t="shared" si="16"/>
        <v>29</v>
      </c>
      <c r="E210">
        <f t="shared" si="19"/>
        <v>1238816</v>
      </c>
      <c r="F210" t="str">
        <f t="shared" si="17"/>
        <v>Envoy of Sa'bak</v>
      </c>
    </row>
    <row r="211" spans="1:6" x14ac:dyDescent="0.35">
      <c r="A211" t="s">
        <v>973</v>
      </c>
      <c r="B211">
        <f t="shared" si="18"/>
        <v>8</v>
      </c>
      <c r="C211">
        <f t="shared" si="15"/>
        <v>12</v>
      </c>
      <c r="D211">
        <f t="shared" si="16"/>
        <v>29</v>
      </c>
      <c r="E211">
        <f t="shared" si="19"/>
        <v>130092</v>
      </c>
      <c r="F211" t="str">
        <f t="shared" si="17"/>
        <v>Red Flying Cloud</v>
      </c>
    </row>
    <row r="212" spans="1:6" x14ac:dyDescent="0.35">
      <c r="A212" t="s">
        <v>647</v>
      </c>
      <c r="B212">
        <f t="shared" si="18"/>
        <v>7</v>
      </c>
      <c r="C212">
        <f t="shared" si="15"/>
        <v>11</v>
      </c>
      <c r="D212">
        <f t="shared" si="16"/>
        <v>39</v>
      </c>
      <c r="E212">
        <f t="shared" si="19"/>
        <v>69826</v>
      </c>
      <c r="F212" t="str">
        <f t="shared" si="17"/>
        <v>Summon Great Sunwalker Kodo</v>
      </c>
    </row>
    <row r="213" spans="1:6" x14ac:dyDescent="0.35">
      <c r="A213" t="s">
        <v>733</v>
      </c>
      <c r="B213">
        <f t="shared" si="18"/>
        <v>8</v>
      </c>
      <c r="C213">
        <f t="shared" si="15"/>
        <v>12</v>
      </c>
      <c r="D213">
        <f t="shared" si="16"/>
        <v>27</v>
      </c>
      <c r="E213">
        <f t="shared" si="19"/>
        <v>102350</v>
      </c>
      <c r="F213" t="str">
        <f t="shared" si="17"/>
        <v>Swift Lovebird</v>
      </c>
    </row>
    <row r="214" spans="1:6" x14ac:dyDescent="0.35">
      <c r="A214" t="s">
        <v>562</v>
      </c>
      <c r="B214">
        <f t="shared" si="18"/>
        <v>8</v>
      </c>
      <c r="C214">
        <f t="shared" si="15"/>
        <v>12</v>
      </c>
      <c r="D214">
        <f t="shared" si="16"/>
        <v>28</v>
      </c>
      <c r="E214">
        <f t="shared" si="19"/>
        <v>423869</v>
      </c>
      <c r="F214" t="str">
        <f t="shared" si="17"/>
        <v>Avatar of Flame</v>
      </c>
    </row>
    <row r="215" spans="1:6" x14ac:dyDescent="0.35">
      <c r="A215" t="s">
        <v>648</v>
      </c>
      <c r="B215">
        <f t="shared" si="18"/>
        <v>7</v>
      </c>
      <c r="C215">
        <f t="shared" si="15"/>
        <v>11</v>
      </c>
      <c r="D215">
        <f t="shared" si="16"/>
        <v>35</v>
      </c>
      <c r="E215">
        <f t="shared" si="19"/>
        <v>35025</v>
      </c>
      <c r="F215" t="str">
        <f t="shared" si="17"/>
        <v>Swift Green Hawkstrider</v>
      </c>
    </row>
    <row r="216" spans="1:6" x14ac:dyDescent="0.35">
      <c r="A216" t="s">
        <v>649</v>
      </c>
      <c r="B216">
        <f t="shared" si="18"/>
        <v>7</v>
      </c>
      <c r="C216">
        <f t="shared" si="15"/>
        <v>11</v>
      </c>
      <c r="D216">
        <f t="shared" si="16"/>
        <v>24</v>
      </c>
      <c r="E216">
        <f t="shared" si="19"/>
        <v>59569</v>
      </c>
      <c r="F216" t="str">
        <f t="shared" si="17"/>
        <v>Bronze Drake</v>
      </c>
    </row>
    <row r="217" spans="1:6" x14ac:dyDescent="0.35">
      <c r="A217" t="s">
        <v>669</v>
      </c>
      <c r="B217">
        <f t="shared" si="18"/>
        <v>8</v>
      </c>
      <c r="C217">
        <f t="shared" si="15"/>
        <v>12</v>
      </c>
      <c r="D217">
        <f t="shared" si="16"/>
        <v>33</v>
      </c>
      <c r="E217">
        <f t="shared" si="19"/>
        <v>440915</v>
      </c>
      <c r="F217" t="str">
        <f t="shared" si="17"/>
        <v>Auspicious Arborwyrm</v>
      </c>
    </row>
    <row r="218" spans="1:6" x14ac:dyDescent="0.35">
      <c r="A218" t="s">
        <v>650</v>
      </c>
      <c r="B218">
        <f t="shared" si="18"/>
        <v>7</v>
      </c>
      <c r="C218">
        <f t="shared" si="15"/>
        <v>11</v>
      </c>
      <c r="D218">
        <f t="shared" si="16"/>
        <v>20</v>
      </c>
      <c r="E218">
        <f t="shared" si="19"/>
        <v>16082</v>
      </c>
      <c r="F218" t="str">
        <f t="shared" si="17"/>
        <v>Palomino</v>
      </c>
    </row>
    <row r="219" spans="1:6" x14ac:dyDescent="0.35">
      <c r="A219" t="s">
        <v>974</v>
      </c>
      <c r="B219">
        <f t="shared" si="18"/>
        <v>8</v>
      </c>
      <c r="C219">
        <f t="shared" si="15"/>
        <v>12</v>
      </c>
      <c r="D219">
        <f t="shared" si="16"/>
        <v>26</v>
      </c>
      <c r="E219">
        <f t="shared" si="19"/>
        <v>142910</v>
      </c>
      <c r="F219" t="str">
        <f t="shared" si="17"/>
        <v>Iron Warhorse</v>
      </c>
    </row>
    <row r="220" spans="1:6" x14ac:dyDescent="0.35">
      <c r="A220" t="s">
        <v>786</v>
      </c>
      <c r="B220">
        <f t="shared" si="18"/>
        <v>8</v>
      </c>
      <c r="C220">
        <f t="shared" si="15"/>
        <v>12</v>
      </c>
      <c r="D220">
        <f t="shared" si="16"/>
        <v>36</v>
      </c>
      <c r="E220">
        <f t="shared" si="19"/>
        <v>394209</v>
      </c>
      <c r="F220" t="str">
        <f t="shared" si="17"/>
        <v>Festering Emerald Drake</v>
      </c>
    </row>
    <row r="221" spans="1:6" x14ac:dyDescent="0.35">
      <c r="A221" t="s">
        <v>975</v>
      </c>
      <c r="B221">
        <f t="shared" si="18"/>
        <v>8</v>
      </c>
      <c r="C221">
        <f t="shared" si="15"/>
        <v>12</v>
      </c>
      <c r="D221">
        <f t="shared" si="16"/>
        <v>29</v>
      </c>
      <c r="E221">
        <f t="shared" si="19"/>
        <v>146615</v>
      </c>
      <c r="F221" t="str">
        <f t="shared" si="17"/>
        <v>Vicious Warsaber</v>
      </c>
    </row>
    <row r="222" spans="1:6" x14ac:dyDescent="0.35">
      <c r="A222" t="s">
        <v>787</v>
      </c>
      <c r="B222">
        <f t="shared" si="18"/>
        <v>8</v>
      </c>
      <c r="C222">
        <f t="shared" si="15"/>
        <v>12</v>
      </c>
      <c r="D222">
        <f t="shared" si="16"/>
        <v>30</v>
      </c>
      <c r="E222">
        <f t="shared" si="19"/>
        <v>387321</v>
      </c>
      <c r="F222" t="str">
        <f t="shared" si="17"/>
        <v>Wooly White Rhino</v>
      </c>
    </row>
    <row r="223" spans="1:6" x14ac:dyDescent="0.35">
      <c r="A223" t="s">
        <v>651</v>
      </c>
      <c r="B223">
        <f t="shared" si="18"/>
        <v>7</v>
      </c>
      <c r="C223">
        <f t="shared" si="15"/>
        <v>11</v>
      </c>
      <c r="D223">
        <f t="shared" si="16"/>
        <v>28</v>
      </c>
      <c r="E223">
        <f t="shared" si="19"/>
        <v>66090</v>
      </c>
      <c r="F223" t="str">
        <f t="shared" si="17"/>
        <v>Quel'dorei Steed</v>
      </c>
    </row>
    <row r="224" spans="1:6" x14ac:dyDescent="0.35">
      <c r="A224" t="s">
        <v>652</v>
      </c>
      <c r="B224">
        <f t="shared" si="18"/>
        <v>7</v>
      </c>
      <c r="C224">
        <f t="shared" si="15"/>
        <v>11</v>
      </c>
      <c r="D224">
        <f t="shared" si="16"/>
        <v>35</v>
      </c>
      <c r="E224">
        <f t="shared" si="19"/>
        <v>61230</v>
      </c>
      <c r="F224" t="str">
        <f t="shared" si="17"/>
        <v>Armored Blue Wind Rider</v>
      </c>
    </row>
    <row r="225" spans="1:6" x14ac:dyDescent="0.35">
      <c r="A225" t="s">
        <v>653</v>
      </c>
      <c r="B225">
        <f t="shared" si="18"/>
        <v>7</v>
      </c>
      <c r="C225">
        <f t="shared" si="15"/>
        <v>11</v>
      </c>
      <c r="D225">
        <f t="shared" si="16"/>
        <v>28</v>
      </c>
      <c r="E225">
        <f t="shared" si="19"/>
        <v>65643</v>
      </c>
      <c r="F225" t="str">
        <f t="shared" si="17"/>
        <v>Swift Violet Ram</v>
      </c>
    </row>
    <row r="226" spans="1:6" x14ac:dyDescent="0.35">
      <c r="A226" t="s">
        <v>850</v>
      </c>
      <c r="B226">
        <f t="shared" si="18"/>
        <v>7</v>
      </c>
      <c r="C226">
        <f t="shared" si="15"/>
        <v>11</v>
      </c>
      <c r="D226">
        <f t="shared" si="16"/>
        <v>28</v>
      </c>
      <c r="E226">
        <f t="shared" si="19"/>
        <v>23509</v>
      </c>
      <c r="F226" t="str">
        <f t="shared" si="17"/>
        <v>Frostwolf Howler</v>
      </c>
    </row>
    <row r="227" spans="1:6" x14ac:dyDescent="0.35">
      <c r="A227" t="s">
        <v>719</v>
      </c>
      <c r="B227">
        <f t="shared" si="18"/>
        <v>8</v>
      </c>
      <c r="C227">
        <f t="shared" si="15"/>
        <v>12</v>
      </c>
      <c r="D227">
        <f t="shared" si="16"/>
        <v>28</v>
      </c>
      <c r="E227">
        <f t="shared" si="19"/>
        <v>387319</v>
      </c>
      <c r="F227" t="str">
        <f t="shared" si="17"/>
        <v>Big Battle Bear</v>
      </c>
    </row>
    <row r="228" spans="1:6" x14ac:dyDescent="0.35">
      <c r="A228" t="s">
        <v>655</v>
      </c>
      <c r="B228">
        <f t="shared" si="18"/>
        <v>7</v>
      </c>
      <c r="C228">
        <f t="shared" si="15"/>
        <v>11</v>
      </c>
      <c r="D228">
        <f t="shared" si="16"/>
        <v>29</v>
      </c>
      <c r="E228">
        <f t="shared" si="19"/>
        <v>61294</v>
      </c>
      <c r="F228" t="str">
        <f t="shared" si="17"/>
        <v>Green Proto-Drake</v>
      </c>
    </row>
    <row r="229" spans="1:6" x14ac:dyDescent="0.35">
      <c r="A229" t="s">
        <v>864</v>
      </c>
      <c r="B229">
        <f t="shared" si="18"/>
        <v>7</v>
      </c>
      <c r="C229">
        <f t="shared" si="15"/>
        <v>11</v>
      </c>
      <c r="D229">
        <f t="shared" si="16"/>
        <v>22</v>
      </c>
      <c r="E229">
        <f t="shared" si="19"/>
        <v>35710</v>
      </c>
      <c r="F229" t="str">
        <f t="shared" si="17"/>
        <v>Gray Elekk</v>
      </c>
    </row>
    <row r="230" spans="1:6" x14ac:dyDescent="0.35">
      <c r="A230" t="s">
        <v>656</v>
      </c>
      <c r="B230">
        <f t="shared" si="18"/>
        <v>7</v>
      </c>
      <c r="C230">
        <f t="shared" si="15"/>
        <v>11</v>
      </c>
      <c r="D230">
        <f t="shared" si="16"/>
        <v>25</v>
      </c>
      <c r="E230">
        <f t="shared" si="19"/>
        <v>59793</v>
      </c>
      <c r="F230" t="str">
        <f t="shared" si="17"/>
        <v>Wooly Mammoth</v>
      </c>
    </row>
    <row r="231" spans="1:6" x14ac:dyDescent="0.35">
      <c r="A231" t="s">
        <v>657</v>
      </c>
      <c r="B231">
        <f t="shared" si="18"/>
        <v>6</v>
      </c>
      <c r="C231">
        <f t="shared" si="15"/>
        <v>10</v>
      </c>
      <c r="D231">
        <f t="shared" si="16"/>
        <v>25</v>
      </c>
      <c r="E231">
        <f t="shared" si="19"/>
        <v>8980</v>
      </c>
      <c r="F231" t="str">
        <f t="shared" si="17"/>
        <v>Skeletal Horse</v>
      </c>
    </row>
    <row r="232" spans="1:6" x14ac:dyDescent="0.35">
      <c r="A232" t="s">
        <v>658</v>
      </c>
      <c r="B232">
        <f t="shared" si="18"/>
        <v>7</v>
      </c>
      <c r="C232">
        <f t="shared" si="15"/>
        <v>11</v>
      </c>
      <c r="D232">
        <f t="shared" si="16"/>
        <v>27</v>
      </c>
      <c r="E232">
        <f t="shared" si="19"/>
        <v>32244</v>
      </c>
      <c r="F232" t="str">
        <f t="shared" si="17"/>
        <v>Blue Wind Rider</v>
      </c>
    </row>
    <row r="233" spans="1:6" x14ac:dyDescent="0.35">
      <c r="A233" t="s">
        <v>659</v>
      </c>
      <c r="B233">
        <f t="shared" si="18"/>
        <v>7</v>
      </c>
      <c r="C233">
        <f t="shared" si="15"/>
        <v>11</v>
      </c>
      <c r="D233">
        <f t="shared" si="16"/>
        <v>25</v>
      </c>
      <c r="E233">
        <f t="shared" si="19"/>
        <v>97581</v>
      </c>
      <c r="F233" t="str">
        <f t="shared" si="17"/>
        <v>Savage Raptor</v>
      </c>
    </row>
    <row r="234" spans="1:6" x14ac:dyDescent="0.35">
      <c r="A234" t="s">
        <v>976</v>
      </c>
      <c r="B234">
        <f t="shared" si="18"/>
        <v>8</v>
      </c>
      <c r="C234">
        <f t="shared" si="15"/>
        <v>12</v>
      </c>
      <c r="D234">
        <f t="shared" si="16"/>
        <v>30</v>
      </c>
      <c r="E234">
        <f t="shared" si="19"/>
        <v>473743</v>
      </c>
      <c r="F234" t="str">
        <f t="shared" si="17"/>
        <v>Meeksi Rollingpaw</v>
      </c>
    </row>
    <row r="235" spans="1:6" x14ac:dyDescent="0.35">
      <c r="A235" t="s">
        <v>865</v>
      </c>
      <c r="B235">
        <f t="shared" si="18"/>
        <v>7</v>
      </c>
      <c r="C235">
        <f t="shared" si="15"/>
        <v>11</v>
      </c>
      <c r="D235">
        <f t="shared" si="16"/>
        <v>29</v>
      </c>
      <c r="E235">
        <f t="shared" si="19"/>
        <v>61469</v>
      </c>
      <c r="F235" t="str">
        <f t="shared" si="17"/>
        <v>Grand Ice Mammoth</v>
      </c>
    </row>
    <row r="236" spans="1:6" x14ac:dyDescent="0.35">
      <c r="A236" t="s">
        <v>660</v>
      </c>
      <c r="B236">
        <f t="shared" si="18"/>
        <v>7</v>
      </c>
      <c r="C236">
        <f t="shared" si="15"/>
        <v>11</v>
      </c>
      <c r="D236">
        <f t="shared" si="16"/>
        <v>36</v>
      </c>
      <c r="E236">
        <f t="shared" si="19"/>
        <v>26655</v>
      </c>
      <c r="F236" t="str">
        <f t="shared" si="17"/>
        <v>Black Qiraji Battle Tank</v>
      </c>
    </row>
    <row r="237" spans="1:6" x14ac:dyDescent="0.35">
      <c r="A237" t="s">
        <v>661</v>
      </c>
      <c r="B237">
        <f t="shared" si="18"/>
        <v>7</v>
      </c>
      <c r="C237">
        <f t="shared" si="15"/>
        <v>11</v>
      </c>
      <c r="D237">
        <f t="shared" si="16"/>
        <v>35</v>
      </c>
      <c r="E237">
        <f t="shared" si="19"/>
        <v>17465</v>
      </c>
      <c r="F237" t="str">
        <f t="shared" si="17"/>
        <v>Green Skeletal Warhorse</v>
      </c>
    </row>
    <row r="238" spans="1:6" x14ac:dyDescent="0.35">
      <c r="A238" t="s">
        <v>662</v>
      </c>
      <c r="B238">
        <f t="shared" si="18"/>
        <v>7</v>
      </c>
      <c r="C238">
        <f t="shared" si="15"/>
        <v>11</v>
      </c>
      <c r="D238">
        <f t="shared" si="16"/>
        <v>32</v>
      </c>
      <c r="E238">
        <f t="shared" si="19"/>
        <v>32292</v>
      </c>
      <c r="F238" t="str">
        <f t="shared" si="17"/>
        <v>Swift Purple Gryphon</v>
      </c>
    </row>
    <row r="239" spans="1:6" x14ac:dyDescent="0.35">
      <c r="A239" t="s">
        <v>663</v>
      </c>
      <c r="B239">
        <f t="shared" si="18"/>
        <v>7</v>
      </c>
      <c r="C239">
        <f t="shared" si="15"/>
        <v>11</v>
      </c>
      <c r="D239">
        <f t="shared" si="16"/>
        <v>29</v>
      </c>
      <c r="E239">
        <f t="shared" si="19"/>
        <v>34898</v>
      </c>
      <c r="F239" t="str">
        <f t="shared" si="17"/>
        <v>Silver War Talbuk</v>
      </c>
    </row>
    <row r="240" spans="1:6" x14ac:dyDescent="0.35">
      <c r="A240" t="s">
        <v>664</v>
      </c>
      <c r="B240">
        <f t="shared" si="18"/>
        <v>7</v>
      </c>
      <c r="C240">
        <f t="shared" si="15"/>
        <v>11</v>
      </c>
      <c r="D240">
        <f t="shared" si="16"/>
        <v>26</v>
      </c>
      <c r="E240">
        <f t="shared" si="19"/>
        <v>61997</v>
      </c>
      <c r="F240" t="str">
        <f t="shared" si="17"/>
        <v>Red Dragonhawk</v>
      </c>
    </row>
    <row r="241" spans="1:6" x14ac:dyDescent="0.35">
      <c r="A241" t="s">
        <v>665</v>
      </c>
      <c r="B241">
        <f t="shared" si="18"/>
        <v>7</v>
      </c>
      <c r="C241">
        <f t="shared" si="15"/>
        <v>11</v>
      </c>
      <c r="D241">
        <f t="shared" si="16"/>
        <v>31</v>
      </c>
      <c r="E241">
        <f t="shared" si="19"/>
        <v>65644</v>
      </c>
      <c r="F241" t="str">
        <f t="shared" si="17"/>
        <v>Swift Purple Raptor</v>
      </c>
    </row>
    <row r="242" spans="1:6" x14ac:dyDescent="0.35">
      <c r="A242" t="s">
        <v>977</v>
      </c>
      <c r="B242">
        <f t="shared" si="18"/>
        <v>8</v>
      </c>
      <c r="C242">
        <f t="shared" si="15"/>
        <v>12</v>
      </c>
      <c r="D242">
        <f t="shared" si="16"/>
        <v>29</v>
      </c>
      <c r="E242">
        <f t="shared" si="19"/>
        <v>473745</v>
      </c>
      <c r="F242" t="str">
        <f t="shared" si="17"/>
        <v>Meeksi Brewthief</v>
      </c>
    </row>
    <row r="243" spans="1:6" x14ac:dyDescent="0.35">
      <c r="A243" t="s">
        <v>978</v>
      </c>
      <c r="B243">
        <f t="shared" si="18"/>
        <v>8</v>
      </c>
      <c r="C243">
        <f t="shared" si="15"/>
        <v>12</v>
      </c>
      <c r="D243">
        <f t="shared" si="16"/>
        <v>28</v>
      </c>
      <c r="E243">
        <f t="shared" si="19"/>
        <v>163025</v>
      </c>
      <c r="F243" t="str">
        <f t="shared" si="17"/>
        <v>Grinning Reaver</v>
      </c>
    </row>
    <row r="244" spans="1:6" x14ac:dyDescent="0.35">
      <c r="A244" t="s">
        <v>979</v>
      </c>
      <c r="B244">
        <f t="shared" si="18"/>
        <v>8</v>
      </c>
      <c r="C244">
        <f t="shared" si="15"/>
        <v>12</v>
      </c>
      <c r="D244">
        <f t="shared" si="16"/>
        <v>32</v>
      </c>
      <c r="E244">
        <f t="shared" si="19"/>
        <v>163024</v>
      </c>
      <c r="F244" t="str">
        <f t="shared" si="17"/>
        <v>Warforged Nightmare</v>
      </c>
    </row>
    <row r="245" spans="1:6" x14ac:dyDescent="0.35">
      <c r="A245" t="s">
        <v>666</v>
      </c>
      <c r="B245">
        <f t="shared" si="18"/>
        <v>8</v>
      </c>
      <c r="C245">
        <f t="shared" si="15"/>
        <v>12</v>
      </c>
      <c r="D245">
        <f t="shared" si="16"/>
        <v>36</v>
      </c>
      <c r="E245">
        <f t="shared" si="19"/>
        <v>101542</v>
      </c>
      <c r="F245" t="str">
        <f t="shared" si="17"/>
        <v>Flametalon of Alysrazor</v>
      </c>
    </row>
    <row r="246" spans="1:6" x14ac:dyDescent="0.35">
      <c r="A246" t="s">
        <v>980</v>
      </c>
      <c r="B246">
        <f t="shared" si="18"/>
        <v>8</v>
      </c>
      <c r="C246">
        <f t="shared" si="15"/>
        <v>12</v>
      </c>
      <c r="D246">
        <f t="shared" si="16"/>
        <v>33</v>
      </c>
      <c r="E246">
        <f t="shared" si="19"/>
        <v>148428</v>
      </c>
      <c r="F246" t="str">
        <f t="shared" si="17"/>
        <v>Ashhide Mushan Beast</v>
      </c>
    </row>
    <row r="247" spans="1:6" x14ac:dyDescent="0.35">
      <c r="A247" t="s">
        <v>667</v>
      </c>
      <c r="B247">
        <f t="shared" si="18"/>
        <v>7</v>
      </c>
      <c r="C247">
        <f t="shared" si="15"/>
        <v>11</v>
      </c>
      <c r="D247">
        <f t="shared" si="16"/>
        <v>34</v>
      </c>
      <c r="E247">
        <f t="shared" si="19"/>
        <v>63642</v>
      </c>
      <c r="F247" t="str">
        <f t="shared" si="17"/>
        <v>Silvermoon Hawkstrider</v>
      </c>
    </row>
    <row r="248" spans="1:6" x14ac:dyDescent="0.35">
      <c r="A248" t="s">
        <v>668</v>
      </c>
      <c r="B248">
        <f t="shared" si="18"/>
        <v>7</v>
      </c>
      <c r="C248">
        <f t="shared" si="15"/>
        <v>11</v>
      </c>
      <c r="D248">
        <f t="shared" si="16"/>
        <v>21</v>
      </c>
      <c r="E248">
        <f t="shared" si="19"/>
        <v>59570</v>
      </c>
      <c r="F248" t="str">
        <f t="shared" si="17"/>
        <v>Red Drake</v>
      </c>
    </row>
    <row r="249" spans="1:6" x14ac:dyDescent="0.35">
      <c r="A249" t="s">
        <v>981</v>
      </c>
      <c r="B249">
        <f t="shared" si="18"/>
        <v>8</v>
      </c>
      <c r="C249">
        <f t="shared" si="15"/>
        <v>12</v>
      </c>
      <c r="D249">
        <f t="shared" si="16"/>
        <v>30</v>
      </c>
      <c r="E249">
        <f t="shared" si="19"/>
        <v>127220</v>
      </c>
      <c r="F249" t="str">
        <f t="shared" si="17"/>
        <v>Blonde Riding Yak</v>
      </c>
    </row>
    <row r="250" spans="1:6" x14ac:dyDescent="0.35">
      <c r="A250" t="s">
        <v>982</v>
      </c>
      <c r="B250">
        <f t="shared" si="18"/>
        <v>8</v>
      </c>
      <c r="C250">
        <f t="shared" si="15"/>
        <v>12</v>
      </c>
      <c r="D250">
        <f t="shared" si="16"/>
        <v>36</v>
      </c>
      <c r="E250">
        <f t="shared" si="19"/>
        <v>132119</v>
      </c>
      <c r="F250" t="str">
        <f t="shared" si="17"/>
        <v>Violet Pandaren Phoenix</v>
      </c>
    </row>
    <row r="251" spans="1:6" x14ac:dyDescent="0.35">
      <c r="A251" t="s">
        <v>670</v>
      </c>
      <c r="B251">
        <f t="shared" si="18"/>
        <v>7</v>
      </c>
      <c r="C251">
        <f t="shared" si="15"/>
        <v>11</v>
      </c>
      <c r="D251">
        <f t="shared" si="16"/>
        <v>33</v>
      </c>
      <c r="E251">
        <f t="shared" si="19"/>
        <v>73629</v>
      </c>
      <c r="F251" t="str">
        <f t="shared" si="17"/>
        <v>Summon Exarch's Elekk</v>
      </c>
    </row>
    <row r="252" spans="1:6" x14ac:dyDescent="0.35">
      <c r="A252" t="s">
        <v>983</v>
      </c>
      <c r="B252">
        <f t="shared" si="18"/>
        <v>8</v>
      </c>
      <c r="C252">
        <f t="shared" si="15"/>
        <v>12</v>
      </c>
      <c r="D252">
        <f t="shared" si="16"/>
        <v>37</v>
      </c>
      <c r="E252">
        <f t="shared" si="19"/>
        <v>138640</v>
      </c>
      <c r="F252" t="str">
        <f t="shared" si="17"/>
        <v>Bone-White Primal Raptor</v>
      </c>
    </row>
    <row r="253" spans="1:6" x14ac:dyDescent="0.35">
      <c r="A253" t="s">
        <v>671</v>
      </c>
      <c r="B253">
        <f t="shared" si="18"/>
        <v>7</v>
      </c>
      <c r="C253">
        <f t="shared" si="15"/>
        <v>11</v>
      </c>
      <c r="D253">
        <f t="shared" si="16"/>
        <v>23</v>
      </c>
      <c r="E253">
        <f t="shared" si="19"/>
        <v>59650</v>
      </c>
      <c r="F253" t="str">
        <f t="shared" si="17"/>
        <v>Black Drake</v>
      </c>
    </row>
    <row r="254" spans="1:6" x14ac:dyDescent="0.35">
      <c r="A254" t="s">
        <v>672</v>
      </c>
      <c r="B254">
        <f t="shared" si="18"/>
        <v>7</v>
      </c>
      <c r="C254">
        <f t="shared" si="15"/>
        <v>11</v>
      </c>
      <c r="D254">
        <f t="shared" si="16"/>
        <v>39</v>
      </c>
      <c r="E254">
        <f t="shared" si="19"/>
        <v>23222</v>
      </c>
      <c r="F254" t="str">
        <f t="shared" si="17"/>
        <v>Swift Yellow Mechanostrider</v>
      </c>
    </row>
    <row r="255" spans="1:6" x14ac:dyDescent="0.35">
      <c r="A255" t="s">
        <v>720</v>
      </c>
      <c r="B255">
        <f t="shared" si="18"/>
        <v>7</v>
      </c>
      <c r="C255">
        <f t="shared" si="15"/>
        <v>11</v>
      </c>
      <c r="D255">
        <f t="shared" si="16"/>
        <v>31</v>
      </c>
      <c r="E255">
        <f t="shared" si="19"/>
        <v>22719</v>
      </c>
      <c r="F255" t="str">
        <f t="shared" si="17"/>
        <v>Black Battlestrider</v>
      </c>
    </row>
    <row r="256" spans="1:6" x14ac:dyDescent="0.35">
      <c r="A256" t="s">
        <v>674</v>
      </c>
      <c r="B256">
        <f t="shared" si="18"/>
        <v>7</v>
      </c>
      <c r="C256">
        <f t="shared" si="15"/>
        <v>11</v>
      </c>
      <c r="D256">
        <f t="shared" si="16"/>
        <v>27</v>
      </c>
      <c r="E256">
        <f t="shared" si="19"/>
        <v>23238</v>
      </c>
      <c r="F256" t="str">
        <f t="shared" si="17"/>
        <v>Swift Brown Ram</v>
      </c>
    </row>
    <row r="257" spans="1:6" x14ac:dyDescent="0.35">
      <c r="A257" t="s">
        <v>675</v>
      </c>
      <c r="B257">
        <f t="shared" si="18"/>
        <v>7</v>
      </c>
      <c r="C257">
        <f t="shared" ref="C257:C320" si="20">FIND("""",A257)</f>
        <v>11</v>
      </c>
      <c r="D257">
        <f t="shared" ref="D257:D320" si="21">FIND("""",A257,C257+1)</f>
        <v>36</v>
      </c>
      <c r="E257">
        <f t="shared" si="19"/>
        <v>23246</v>
      </c>
      <c r="F257" t="str">
        <f t="shared" ref="F257:F320" si="22">MID(A257,C257+1,D257-C257-1)</f>
        <v>Purple Skeletal Warhorse</v>
      </c>
    </row>
    <row r="258" spans="1:6" x14ac:dyDescent="0.35">
      <c r="A258" t="s">
        <v>676</v>
      </c>
      <c r="B258">
        <f t="shared" ref="B258:B321" si="23">FIND("]",A258)</f>
        <v>7</v>
      </c>
      <c r="C258">
        <f t="shared" si="20"/>
        <v>11</v>
      </c>
      <c r="D258">
        <f t="shared" si="21"/>
        <v>28</v>
      </c>
      <c r="E258">
        <f t="shared" ref="E258:E303" si="24">INT(MID(A258,2,B258-2))</f>
        <v>35713</v>
      </c>
      <c r="F258" t="str">
        <f t="shared" si="22"/>
        <v>Great Blue Elekk</v>
      </c>
    </row>
    <row r="259" spans="1:6" x14ac:dyDescent="0.35">
      <c r="A259" t="s">
        <v>984</v>
      </c>
      <c r="B259">
        <f t="shared" si="23"/>
        <v>8</v>
      </c>
      <c r="C259">
        <f t="shared" si="20"/>
        <v>12</v>
      </c>
      <c r="D259">
        <f t="shared" si="21"/>
        <v>33</v>
      </c>
      <c r="E259">
        <f t="shared" si="24"/>
        <v>142878</v>
      </c>
      <c r="F259" t="str">
        <f t="shared" si="22"/>
        <v>Enchanted Fey Dragon</v>
      </c>
    </row>
    <row r="260" spans="1:6" x14ac:dyDescent="0.35">
      <c r="A260" t="s">
        <v>985</v>
      </c>
      <c r="B260">
        <f t="shared" si="23"/>
        <v>8</v>
      </c>
      <c r="C260">
        <f t="shared" si="20"/>
        <v>12</v>
      </c>
      <c r="D260">
        <f t="shared" si="21"/>
        <v>24</v>
      </c>
      <c r="E260">
        <f t="shared" si="24"/>
        <v>142073</v>
      </c>
      <c r="F260" t="str">
        <f t="shared" si="22"/>
        <v>Hearthsteed</v>
      </c>
    </row>
    <row r="261" spans="1:6" x14ac:dyDescent="0.35">
      <c r="A261" t="s">
        <v>677</v>
      </c>
      <c r="B261">
        <f t="shared" si="23"/>
        <v>7</v>
      </c>
      <c r="C261">
        <f t="shared" si="20"/>
        <v>11</v>
      </c>
      <c r="D261">
        <f t="shared" si="21"/>
        <v>37</v>
      </c>
      <c r="E261">
        <f t="shared" si="24"/>
        <v>48025</v>
      </c>
      <c r="F261" t="str">
        <f t="shared" si="22"/>
        <v>Headless Horseman's Mount</v>
      </c>
    </row>
    <row r="262" spans="1:6" x14ac:dyDescent="0.35">
      <c r="A262" t="s">
        <v>986</v>
      </c>
      <c r="B262">
        <f t="shared" si="23"/>
        <v>8</v>
      </c>
      <c r="C262">
        <f t="shared" si="20"/>
        <v>12</v>
      </c>
      <c r="D262">
        <f t="shared" si="21"/>
        <v>36</v>
      </c>
      <c r="E262">
        <f t="shared" si="24"/>
        <v>140250</v>
      </c>
      <c r="F262" t="str">
        <f t="shared" si="22"/>
        <v>Crimson Primal Direhorn</v>
      </c>
    </row>
    <row r="263" spans="1:6" x14ac:dyDescent="0.35">
      <c r="A263" t="s">
        <v>804</v>
      </c>
      <c r="B263">
        <f t="shared" si="23"/>
        <v>7</v>
      </c>
      <c r="C263">
        <f t="shared" si="20"/>
        <v>11</v>
      </c>
      <c r="D263">
        <f t="shared" si="21"/>
        <v>45</v>
      </c>
      <c r="E263">
        <f t="shared" si="24"/>
        <v>67336</v>
      </c>
      <c r="F263" t="str">
        <f t="shared" si="22"/>
        <v>Relentless Gladiator's Frost Wyrm</v>
      </c>
    </row>
    <row r="264" spans="1:6" x14ac:dyDescent="0.35">
      <c r="A264" t="s">
        <v>987</v>
      </c>
      <c r="B264">
        <f t="shared" si="23"/>
        <v>8</v>
      </c>
      <c r="C264">
        <f t="shared" si="20"/>
        <v>12</v>
      </c>
      <c r="D264">
        <f t="shared" si="21"/>
        <v>30</v>
      </c>
      <c r="E264">
        <f t="shared" si="24"/>
        <v>139595</v>
      </c>
      <c r="F264" t="str">
        <f t="shared" si="22"/>
        <v>Armored Bloodwing</v>
      </c>
    </row>
    <row r="265" spans="1:6" x14ac:dyDescent="0.35">
      <c r="A265" t="s">
        <v>678</v>
      </c>
      <c r="B265">
        <f t="shared" si="23"/>
        <v>8</v>
      </c>
      <c r="C265">
        <f t="shared" si="20"/>
        <v>12</v>
      </c>
      <c r="D265">
        <f t="shared" si="21"/>
        <v>34</v>
      </c>
      <c r="E265">
        <f t="shared" si="24"/>
        <v>466980</v>
      </c>
      <c r="F265" t="str">
        <f t="shared" si="22"/>
        <v>Chaos-Born Hippogryph</v>
      </c>
    </row>
    <row r="266" spans="1:6" x14ac:dyDescent="0.35">
      <c r="A266" t="s">
        <v>679</v>
      </c>
      <c r="B266">
        <f t="shared" si="23"/>
        <v>7</v>
      </c>
      <c r="C266">
        <f t="shared" si="20"/>
        <v>11</v>
      </c>
      <c r="D266">
        <f t="shared" si="21"/>
        <v>27</v>
      </c>
      <c r="E266">
        <f t="shared" si="24"/>
        <v>67466</v>
      </c>
      <c r="F266" t="str">
        <f t="shared" si="22"/>
        <v>Argent Warhorse</v>
      </c>
    </row>
    <row r="267" spans="1:6" x14ac:dyDescent="0.35">
      <c r="A267" t="s">
        <v>680</v>
      </c>
      <c r="B267">
        <f t="shared" si="23"/>
        <v>7</v>
      </c>
      <c r="C267">
        <f t="shared" si="20"/>
        <v>11</v>
      </c>
      <c r="D267">
        <f t="shared" si="21"/>
        <v>39</v>
      </c>
      <c r="E267">
        <f t="shared" si="24"/>
        <v>73630</v>
      </c>
      <c r="F267" t="str">
        <f t="shared" si="22"/>
        <v>Summon Great Exarch's Elekk</v>
      </c>
    </row>
    <row r="268" spans="1:6" x14ac:dyDescent="0.35">
      <c r="A268" t="s">
        <v>988</v>
      </c>
      <c r="B268">
        <f t="shared" si="23"/>
        <v>8</v>
      </c>
      <c r="C268">
        <f t="shared" si="20"/>
        <v>12</v>
      </c>
      <c r="D268">
        <f t="shared" si="21"/>
        <v>32</v>
      </c>
      <c r="E268">
        <f t="shared" si="24"/>
        <v>138642</v>
      </c>
      <c r="F268" t="str">
        <f t="shared" si="22"/>
        <v>Black Primal Raptor</v>
      </c>
    </row>
    <row r="269" spans="1:6" x14ac:dyDescent="0.35">
      <c r="A269" t="s">
        <v>681</v>
      </c>
      <c r="B269">
        <f t="shared" si="23"/>
        <v>7</v>
      </c>
      <c r="C269">
        <f t="shared" si="20"/>
        <v>11</v>
      </c>
      <c r="D269">
        <f t="shared" si="21"/>
        <v>25</v>
      </c>
      <c r="E269">
        <f t="shared" si="24"/>
        <v>93623</v>
      </c>
      <c r="F269" t="str">
        <f t="shared" si="22"/>
        <v>Mottled Drake</v>
      </c>
    </row>
    <row r="270" spans="1:6" x14ac:dyDescent="0.35">
      <c r="A270" t="s">
        <v>682</v>
      </c>
      <c r="B270">
        <f t="shared" si="23"/>
        <v>7</v>
      </c>
      <c r="C270">
        <f t="shared" si="20"/>
        <v>11</v>
      </c>
      <c r="D270">
        <f t="shared" si="21"/>
        <v>38</v>
      </c>
      <c r="E270">
        <f t="shared" si="24"/>
        <v>15779</v>
      </c>
      <c r="F270" t="str">
        <f t="shared" si="22"/>
        <v>White Mechanostrider Mod B</v>
      </c>
    </row>
    <row r="271" spans="1:6" x14ac:dyDescent="0.35">
      <c r="A271" t="s">
        <v>683</v>
      </c>
      <c r="B271">
        <f t="shared" si="23"/>
        <v>7</v>
      </c>
      <c r="C271">
        <f t="shared" si="20"/>
        <v>11</v>
      </c>
      <c r="D271">
        <f t="shared" si="21"/>
        <v>26</v>
      </c>
      <c r="E271">
        <f t="shared" si="24"/>
        <v>34899</v>
      </c>
      <c r="F271" t="str">
        <f t="shared" si="22"/>
        <v>Tan War Talbuk</v>
      </c>
    </row>
    <row r="272" spans="1:6" x14ac:dyDescent="0.35">
      <c r="A272" t="s">
        <v>684</v>
      </c>
      <c r="B272">
        <f t="shared" si="23"/>
        <v>8</v>
      </c>
      <c r="C272">
        <f t="shared" si="20"/>
        <v>12</v>
      </c>
      <c r="D272">
        <f t="shared" si="21"/>
        <v>29</v>
      </c>
      <c r="E272">
        <f t="shared" si="24"/>
        <v>107516</v>
      </c>
      <c r="F272" t="str">
        <f t="shared" si="22"/>
        <v>Spectral Gryphon</v>
      </c>
    </row>
    <row r="273" spans="1:6" x14ac:dyDescent="0.35">
      <c r="A273" t="s">
        <v>685</v>
      </c>
      <c r="B273">
        <f t="shared" si="23"/>
        <v>7</v>
      </c>
      <c r="C273">
        <f t="shared" si="20"/>
        <v>11</v>
      </c>
      <c r="D273">
        <f t="shared" si="21"/>
        <v>31</v>
      </c>
      <c r="E273">
        <f t="shared" si="24"/>
        <v>65646</v>
      </c>
      <c r="F273" t="str">
        <f t="shared" si="22"/>
        <v>Swift Burgundy Wolf</v>
      </c>
    </row>
    <row r="274" spans="1:6" x14ac:dyDescent="0.35">
      <c r="A274" t="s">
        <v>686</v>
      </c>
      <c r="B274">
        <f t="shared" si="23"/>
        <v>7</v>
      </c>
      <c r="C274">
        <f t="shared" si="20"/>
        <v>11</v>
      </c>
      <c r="D274">
        <f t="shared" si="21"/>
        <v>43</v>
      </c>
      <c r="E274">
        <f t="shared" si="24"/>
        <v>71810</v>
      </c>
      <c r="F274" t="str">
        <f t="shared" si="22"/>
        <v>Wrathful Gladiator's Frost Wyrm</v>
      </c>
    </row>
    <row r="275" spans="1:6" x14ac:dyDescent="0.35">
      <c r="A275" t="s">
        <v>687</v>
      </c>
      <c r="B275">
        <f t="shared" si="23"/>
        <v>7</v>
      </c>
      <c r="C275">
        <f t="shared" si="20"/>
        <v>11</v>
      </c>
      <c r="D275">
        <f t="shared" si="21"/>
        <v>33</v>
      </c>
      <c r="E275">
        <f t="shared" si="24"/>
        <v>60002</v>
      </c>
      <c r="F275" t="str">
        <f t="shared" si="22"/>
        <v>Time-Lost Proto-Drake</v>
      </c>
    </row>
    <row r="276" spans="1:6" x14ac:dyDescent="0.35">
      <c r="A276" t="s">
        <v>688</v>
      </c>
      <c r="B276">
        <f t="shared" si="23"/>
        <v>7</v>
      </c>
      <c r="C276">
        <f t="shared" si="20"/>
        <v>11</v>
      </c>
      <c r="D276">
        <f t="shared" si="21"/>
        <v>35</v>
      </c>
      <c r="E276">
        <f t="shared" si="24"/>
        <v>25953</v>
      </c>
      <c r="F276" t="str">
        <f t="shared" si="22"/>
        <v>Blue Qiraji Battle Tank</v>
      </c>
    </row>
    <row r="277" spans="1:6" x14ac:dyDescent="0.35">
      <c r="A277" t="s">
        <v>989</v>
      </c>
      <c r="B277">
        <f t="shared" si="23"/>
        <v>8</v>
      </c>
      <c r="C277">
        <f t="shared" si="20"/>
        <v>12</v>
      </c>
      <c r="D277">
        <f t="shared" si="21"/>
        <v>38</v>
      </c>
      <c r="E277">
        <f t="shared" si="24"/>
        <v>146622</v>
      </c>
      <c r="F277" t="str">
        <f t="shared" si="22"/>
        <v>Vicious Skeletal Warhorse</v>
      </c>
    </row>
    <row r="278" spans="1:6" x14ac:dyDescent="0.35">
      <c r="A278" t="s">
        <v>990</v>
      </c>
      <c r="B278">
        <f t="shared" si="23"/>
        <v>8</v>
      </c>
      <c r="C278">
        <f t="shared" si="20"/>
        <v>12</v>
      </c>
      <c r="D278">
        <f t="shared" si="21"/>
        <v>38</v>
      </c>
      <c r="E278">
        <f t="shared" si="24"/>
        <v>138425</v>
      </c>
      <c r="F278" t="str">
        <f t="shared" si="22"/>
        <v>Slate Primordial Direhorn</v>
      </c>
    </row>
    <row r="279" spans="1:6" x14ac:dyDescent="0.35">
      <c r="A279" t="s">
        <v>690</v>
      </c>
      <c r="B279">
        <f t="shared" si="23"/>
        <v>7</v>
      </c>
      <c r="C279">
        <f t="shared" si="20"/>
        <v>11</v>
      </c>
      <c r="D279">
        <f t="shared" si="21"/>
        <v>36</v>
      </c>
      <c r="E279">
        <f t="shared" si="24"/>
        <v>35027</v>
      </c>
      <c r="F279" t="str">
        <f t="shared" si="22"/>
        <v>Swift Purple Hawkstrider</v>
      </c>
    </row>
    <row r="280" spans="1:6" x14ac:dyDescent="0.35">
      <c r="A280" t="s">
        <v>691</v>
      </c>
      <c r="B280">
        <f t="shared" si="23"/>
        <v>7</v>
      </c>
      <c r="C280">
        <f t="shared" si="20"/>
        <v>11</v>
      </c>
      <c r="D280">
        <f t="shared" si="21"/>
        <v>26</v>
      </c>
      <c r="E280">
        <f t="shared" si="24"/>
        <v>59571</v>
      </c>
      <c r="F280" t="str">
        <f t="shared" si="22"/>
        <v>Twilight Drake</v>
      </c>
    </row>
    <row r="281" spans="1:6" x14ac:dyDescent="0.35">
      <c r="A281" t="s">
        <v>991</v>
      </c>
      <c r="B281">
        <f t="shared" si="23"/>
        <v>8</v>
      </c>
      <c r="C281">
        <f t="shared" si="20"/>
        <v>12</v>
      </c>
      <c r="D281">
        <f t="shared" si="21"/>
        <v>39</v>
      </c>
      <c r="E281">
        <f t="shared" si="24"/>
        <v>138423</v>
      </c>
      <c r="F281" t="str">
        <f t="shared" si="22"/>
        <v>Cobalt Primordial Direhorn</v>
      </c>
    </row>
    <row r="282" spans="1:6" x14ac:dyDescent="0.35">
      <c r="A282" t="s">
        <v>692</v>
      </c>
      <c r="B282">
        <f t="shared" si="23"/>
        <v>5</v>
      </c>
      <c r="C282">
        <f t="shared" si="20"/>
        <v>9</v>
      </c>
      <c r="D282">
        <f t="shared" si="21"/>
        <v>20</v>
      </c>
      <c r="E282">
        <f t="shared" si="24"/>
        <v>578</v>
      </c>
      <c r="F282" t="str">
        <f t="shared" si="22"/>
        <v>Black Wolf</v>
      </c>
    </row>
    <row r="283" spans="1:6" x14ac:dyDescent="0.35">
      <c r="A283" t="s">
        <v>693</v>
      </c>
      <c r="B283">
        <f t="shared" si="23"/>
        <v>7</v>
      </c>
      <c r="C283">
        <f t="shared" si="20"/>
        <v>11</v>
      </c>
      <c r="D283">
        <f t="shared" si="21"/>
        <v>23</v>
      </c>
      <c r="E283">
        <f t="shared" si="24"/>
        <v>55531</v>
      </c>
      <c r="F283" t="str">
        <f t="shared" si="22"/>
        <v>Mechano-Hog</v>
      </c>
    </row>
    <row r="284" spans="1:6" x14ac:dyDescent="0.35">
      <c r="A284" t="s">
        <v>694</v>
      </c>
      <c r="B284">
        <f t="shared" si="23"/>
        <v>6</v>
      </c>
      <c r="C284">
        <f t="shared" si="20"/>
        <v>10</v>
      </c>
      <c r="D284">
        <f t="shared" si="21"/>
        <v>24</v>
      </c>
      <c r="E284">
        <f t="shared" si="24"/>
        <v>6648</v>
      </c>
      <c r="F284" t="str">
        <f t="shared" si="22"/>
        <v>Chestnut Mare</v>
      </c>
    </row>
    <row r="285" spans="1:6" x14ac:dyDescent="0.35">
      <c r="A285" t="s">
        <v>992</v>
      </c>
      <c r="B285">
        <f t="shared" si="23"/>
        <v>8</v>
      </c>
      <c r="C285">
        <f t="shared" si="20"/>
        <v>12</v>
      </c>
      <c r="D285">
        <f t="shared" si="21"/>
        <v>22</v>
      </c>
      <c r="E285">
        <f t="shared" si="24"/>
        <v>134359</v>
      </c>
      <c r="F285" t="str">
        <f t="shared" si="22"/>
        <v>Sky Golem</v>
      </c>
    </row>
    <row r="286" spans="1:6" x14ac:dyDescent="0.35">
      <c r="A286" t="s">
        <v>696</v>
      </c>
      <c r="B286">
        <f t="shared" si="23"/>
        <v>5</v>
      </c>
      <c r="C286">
        <f t="shared" si="20"/>
        <v>9</v>
      </c>
      <c r="D286">
        <f t="shared" si="21"/>
        <v>18</v>
      </c>
      <c r="E286">
        <f t="shared" si="24"/>
        <v>579</v>
      </c>
      <c r="F286" t="str">
        <f t="shared" si="22"/>
        <v>Red Wolf</v>
      </c>
    </row>
    <row r="287" spans="1:6" x14ac:dyDescent="0.35">
      <c r="A287" t="s">
        <v>697</v>
      </c>
      <c r="B287">
        <f t="shared" si="23"/>
        <v>6</v>
      </c>
      <c r="C287">
        <f t="shared" si="20"/>
        <v>10</v>
      </c>
      <c r="D287">
        <f t="shared" si="21"/>
        <v>21</v>
      </c>
      <c r="E287">
        <f t="shared" si="24"/>
        <v>6654</v>
      </c>
      <c r="F287" t="str">
        <f t="shared" si="22"/>
        <v>Brown Wolf</v>
      </c>
    </row>
    <row r="288" spans="1:6" x14ac:dyDescent="0.35">
      <c r="A288" t="s">
        <v>698</v>
      </c>
      <c r="B288">
        <f t="shared" si="23"/>
        <v>8</v>
      </c>
      <c r="C288">
        <f t="shared" si="20"/>
        <v>12</v>
      </c>
      <c r="D288">
        <f t="shared" si="21"/>
        <v>32</v>
      </c>
      <c r="E288">
        <f t="shared" si="24"/>
        <v>107517</v>
      </c>
      <c r="F288" t="str">
        <f t="shared" si="22"/>
        <v>Spectral Wind Rider</v>
      </c>
    </row>
    <row r="289" spans="1:6" x14ac:dyDescent="0.35">
      <c r="A289" t="s">
        <v>993</v>
      </c>
      <c r="B289">
        <f t="shared" si="23"/>
        <v>8</v>
      </c>
      <c r="C289">
        <f t="shared" si="20"/>
        <v>12</v>
      </c>
      <c r="D289">
        <f t="shared" si="21"/>
        <v>28</v>
      </c>
      <c r="E289">
        <f t="shared" si="24"/>
        <v>136505</v>
      </c>
      <c r="F289" t="str">
        <f t="shared" si="22"/>
        <v>Ghastly Charger</v>
      </c>
    </row>
    <row r="290" spans="1:6" x14ac:dyDescent="0.35">
      <c r="A290" t="s">
        <v>700</v>
      </c>
      <c r="B290">
        <f t="shared" si="23"/>
        <v>5</v>
      </c>
      <c r="C290">
        <f t="shared" si="20"/>
        <v>9</v>
      </c>
      <c r="D290">
        <f t="shared" si="21"/>
        <v>21</v>
      </c>
      <c r="E290">
        <f t="shared" si="24"/>
        <v>580</v>
      </c>
      <c r="F290" t="str">
        <f t="shared" si="22"/>
        <v>Timber Wolf</v>
      </c>
    </row>
    <row r="291" spans="1:6" x14ac:dyDescent="0.35">
      <c r="A291" t="s">
        <v>701</v>
      </c>
      <c r="B291">
        <f t="shared" si="23"/>
        <v>7</v>
      </c>
      <c r="C291">
        <f t="shared" si="20"/>
        <v>11</v>
      </c>
      <c r="D291">
        <f t="shared" si="21"/>
        <v>27</v>
      </c>
      <c r="E291">
        <f t="shared" si="24"/>
        <v>13819</v>
      </c>
      <c r="F291" t="str">
        <f t="shared" si="22"/>
        <v>Summon Warhorse</v>
      </c>
    </row>
    <row r="292" spans="1:6" x14ac:dyDescent="0.35">
      <c r="A292" t="s">
        <v>702</v>
      </c>
      <c r="B292">
        <f t="shared" si="23"/>
        <v>7</v>
      </c>
      <c r="C292">
        <f t="shared" si="20"/>
        <v>11</v>
      </c>
      <c r="D292">
        <f t="shared" si="21"/>
        <v>34</v>
      </c>
      <c r="E292">
        <f t="shared" si="24"/>
        <v>55164</v>
      </c>
      <c r="F292" t="str">
        <f t="shared" si="22"/>
        <v>Swift Spectral Gryphon</v>
      </c>
    </row>
    <row r="293" spans="1:6" x14ac:dyDescent="0.35">
      <c r="A293" t="s">
        <v>994</v>
      </c>
      <c r="B293">
        <f t="shared" si="23"/>
        <v>8</v>
      </c>
      <c r="C293">
        <f t="shared" si="20"/>
        <v>12</v>
      </c>
      <c r="D293">
        <f t="shared" si="21"/>
        <v>30</v>
      </c>
      <c r="E293">
        <f t="shared" si="24"/>
        <v>136471</v>
      </c>
      <c r="F293" t="str">
        <f t="shared" si="22"/>
        <v>Spawn of Horridon</v>
      </c>
    </row>
    <row r="294" spans="1:6" x14ac:dyDescent="0.35">
      <c r="A294" t="s">
        <v>704</v>
      </c>
      <c r="B294">
        <f t="shared" si="23"/>
        <v>5</v>
      </c>
      <c r="C294">
        <f t="shared" si="20"/>
        <v>9</v>
      </c>
      <c r="D294">
        <f t="shared" si="21"/>
        <v>21</v>
      </c>
      <c r="E294">
        <f t="shared" si="24"/>
        <v>581</v>
      </c>
      <c r="F294" t="str">
        <f t="shared" si="22"/>
        <v>Winter Wolf</v>
      </c>
    </row>
    <row r="295" spans="1:6" x14ac:dyDescent="0.35">
      <c r="A295" t="s">
        <v>705</v>
      </c>
      <c r="B295">
        <f t="shared" si="23"/>
        <v>7</v>
      </c>
      <c r="C295">
        <f t="shared" si="20"/>
        <v>11</v>
      </c>
      <c r="D295">
        <f t="shared" si="21"/>
        <v>32</v>
      </c>
      <c r="E295">
        <f t="shared" si="24"/>
        <v>96499</v>
      </c>
      <c r="F295" t="str">
        <f t="shared" si="22"/>
        <v>Swift Zulian Panther</v>
      </c>
    </row>
    <row r="296" spans="1:6" x14ac:dyDescent="0.35">
      <c r="A296" t="s">
        <v>706</v>
      </c>
      <c r="B296">
        <f t="shared" si="23"/>
        <v>7</v>
      </c>
      <c r="C296">
        <f t="shared" si="20"/>
        <v>11</v>
      </c>
      <c r="D296">
        <f t="shared" si="21"/>
        <v>28</v>
      </c>
      <c r="E296">
        <f t="shared" si="24"/>
        <v>32245</v>
      </c>
      <c r="F296" t="str">
        <f t="shared" si="22"/>
        <v>Green Wind Rider</v>
      </c>
    </row>
    <row r="297" spans="1:6" x14ac:dyDescent="0.35">
      <c r="A297" t="s">
        <v>995</v>
      </c>
      <c r="B297">
        <f t="shared" si="23"/>
        <v>8</v>
      </c>
      <c r="C297">
        <f t="shared" si="20"/>
        <v>12</v>
      </c>
      <c r="D297">
        <f t="shared" si="21"/>
        <v>32</v>
      </c>
      <c r="E297">
        <f t="shared" si="24"/>
        <v>136400</v>
      </c>
      <c r="F297" t="str">
        <f t="shared" si="22"/>
        <v>Armored Skyscreamer</v>
      </c>
    </row>
    <row r="298" spans="1:6" x14ac:dyDescent="0.35">
      <c r="A298" t="s">
        <v>996</v>
      </c>
      <c r="B298">
        <f t="shared" si="23"/>
        <v>9</v>
      </c>
      <c r="C298">
        <f t="shared" si="20"/>
        <v>13</v>
      </c>
      <c r="D298">
        <f t="shared" si="21"/>
        <v>28</v>
      </c>
      <c r="E298">
        <f t="shared" si="24"/>
        <v>1224596</v>
      </c>
      <c r="F298" t="str">
        <f t="shared" si="22"/>
        <v>Meeksi Teapuff</v>
      </c>
    </row>
    <row r="299" spans="1:6" x14ac:dyDescent="0.35">
      <c r="A299" t="s">
        <v>709</v>
      </c>
      <c r="B299">
        <f t="shared" si="23"/>
        <v>7</v>
      </c>
      <c r="C299">
        <f t="shared" si="20"/>
        <v>11</v>
      </c>
      <c r="D299">
        <f t="shared" si="21"/>
        <v>24</v>
      </c>
      <c r="E299">
        <f t="shared" si="24"/>
        <v>17450</v>
      </c>
      <c r="F299" t="str">
        <f t="shared" si="22"/>
        <v>Ivory Raptor</v>
      </c>
    </row>
    <row r="300" spans="1:6" x14ac:dyDescent="0.35">
      <c r="A300" t="s">
        <v>710</v>
      </c>
      <c r="B300">
        <f t="shared" si="23"/>
        <v>7</v>
      </c>
      <c r="C300">
        <f t="shared" si="20"/>
        <v>11</v>
      </c>
      <c r="D300">
        <f t="shared" si="21"/>
        <v>30</v>
      </c>
      <c r="E300">
        <f t="shared" si="24"/>
        <v>10789</v>
      </c>
      <c r="F300" t="str">
        <f t="shared" si="22"/>
        <v>Spotted Frostsaber</v>
      </c>
    </row>
    <row r="301" spans="1:6" x14ac:dyDescent="0.35">
      <c r="A301" t="s">
        <v>711</v>
      </c>
      <c r="B301">
        <f t="shared" si="23"/>
        <v>7</v>
      </c>
      <c r="C301">
        <f t="shared" si="20"/>
        <v>11</v>
      </c>
      <c r="D301">
        <f t="shared" si="21"/>
        <v>30</v>
      </c>
      <c r="E301">
        <f t="shared" si="24"/>
        <v>10793</v>
      </c>
      <c r="F301" t="str">
        <f t="shared" si="22"/>
        <v>Striped Nightsaber</v>
      </c>
    </row>
    <row r="302" spans="1:6" x14ac:dyDescent="0.35">
      <c r="A302" t="s">
        <v>997</v>
      </c>
      <c r="B302">
        <f t="shared" si="23"/>
        <v>8</v>
      </c>
      <c r="C302">
        <f t="shared" si="20"/>
        <v>12</v>
      </c>
      <c r="D302">
        <f t="shared" si="21"/>
        <v>26</v>
      </c>
      <c r="E302">
        <f t="shared" si="24"/>
        <v>136163</v>
      </c>
      <c r="F302" t="str">
        <f t="shared" si="22"/>
        <v>Grand Gryphon</v>
      </c>
    </row>
    <row r="303" spans="1:6" x14ac:dyDescent="0.35">
      <c r="A303" t="s">
        <v>713</v>
      </c>
      <c r="B303">
        <f t="shared" si="23"/>
        <v>8</v>
      </c>
      <c r="C303">
        <f t="shared" si="20"/>
        <v>12</v>
      </c>
      <c r="D303">
        <f t="shared" si="21"/>
        <v>30</v>
      </c>
      <c r="E303">
        <f t="shared" si="24"/>
        <v>100332</v>
      </c>
      <c r="F303" t="str">
        <f t="shared" si="22"/>
        <v>Vicious War Steed</v>
      </c>
    </row>
    <row r="304" spans="1:6" x14ac:dyDescent="0.35">
      <c r="A304" t="s">
        <v>998</v>
      </c>
      <c r="B304">
        <f t="shared" si="23"/>
        <v>8</v>
      </c>
      <c r="C304">
        <f t="shared" si="20"/>
        <v>12</v>
      </c>
      <c r="D304">
        <f t="shared" si="21"/>
        <v>30</v>
      </c>
      <c r="E304">
        <f>INT(MID(A304,2,B304-2))</f>
        <v>138641</v>
      </c>
      <c r="F304" t="str">
        <f t="shared" si="22"/>
        <v>Red Primal Raptor</v>
      </c>
    </row>
    <row r="305" spans="1:6" x14ac:dyDescent="0.35">
      <c r="A305" t="s">
        <v>715</v>
      </c>
      <c r="B305">
        <f t="shared" si="23"/>
        <v>7</v>
      </c>
      <c r="C305">
        <f t="shared" si="20"/>
        <v>11</v>
      </c>
      <c r="D305">
        <f t="shared" si="21"/>
        <v>32</v>
      </c>
      <c r="E305">
        <f t="shared" ref="E305:E363" si="25">INT(MID(A305,2,B305-2))</f>
        <v>73313</v>
      </c>
      <c r="F305" t="str">
        <f t="shared" si="22"/>
        <v>Crimson Deathcharger</v>
      </c>
    </row>
    <row r="306" spans="1:6" x14ac:dyDescent="0.35">
      <c r="A306" t="s">
        <v>999</v>
      </c>
      <c r="B306">
        <f t="shared" si="23"/>
        <v>8</v>
      </c>
      <c r="C306">
        <f t="shared" si="20"/>
        <v>12</v>
      </c>
      <c r="D306">
        <f t="shared" si="21"/>
        <v>28</v>
      </c>
      <c r="E306">
        <f t="shared" si="25"/>
        <v>134573</v>
      </c>
      <c r="F306" t="str">
        <f t="shared" si="22"/>
        <v>Swift Windsteed</v>
      </c>
    </row>
    <row r="307" spans="1:6" x14ac:dyDescent="0.35">
      <c r="A307" t="s">
        <v>1000</v>
      </c>
      <c r="B307">
        <f t="shared" si="23"/>
        <v>8</v>
      </c>
      <c r="C307">
        <f t="shared" si="20"/>
        <v>12</v>
      </c>
      <c r="D307">
        <f t="shared" si="21"/>
        <v>27</v>
      </c>
      <c r="E307">
        <f t="shared" si="25"/>
        <v>130965</v>
      </c>
      <c r="F307" t="str">
        <f t="shared" si="22"/>
        <v>Son of Galleon</v>
      </c>
    </row>
    <row r="308" spans="1:6" x14ac:dyDescent="0.35">
      <c r="A308" t="s">
        <v>846</v>
      </c>
      <c r="B308">
        <f t="shared" si="23"/>
        <v>7</v>
      </c>
      <c r="C308">
        <f t="shared" si="20"/>
        <v>11</v>
      </c>
      <c r="D308">
        <f t="shared" si="21"/>
        <v>30</v>
      </c>
      <c r="E308">
        <f t="shared" si="25"/>
        <v>63963</v>
      </c>
      <c r="F308" t="str">
        <f t="shared" si="22"/>
        <v>Rusted Proto-Drake</v>
      </c>
    </row>
    <row r="309" spans="1:6" x14ac:dyDescent="0.35">
      <c r="A309" t="s">
        <v>752</v>
      </c>
      <c r="B309">
        <f t="shared" si="23"/>
        <v>7</v>
      </c>
      <c r="C309">
        <f t="shared" si="20"/>
        <v>11</v>
      </c>
      <c r="D309">
        <f t="shared" si="21"/>
        <v>22</v>
      </c>
      <c r="E309">
        <f t="shared" si="25"/>
        <v>18990</v>
      </c>
      <c r="F309" t="str">
        <f t="shared" si="22"/>
        <v>Brown Kodo</v>
      </c>
    </row>
    <row r="310" spans="1:6" x14ac:dyDescent="0.35">
      <c r="A310" t="s">
        <v>1001</v>
      </c>
      <c r="B310">
        <f t="shared" si="23"/>
        <v>8</v>
      </c>
      <c r="C310">
        <f t="shared" si="20"/>
        <v>12</v>
      </c>
      <c r="D310">
        <f t="shared" si="21"/>
        <v>39</v>
      </c>
      <c r="E310">
        <f t="shared" si="25"/>
        <v>129935</v>
      </c>
      <c r="F310" t="str">
        <f t="shared" si="22"/>
        <v>Red Shado-Pan Riding Tiger</v>
      </c>
    </row>
    <row r="311" spans="1:6" x14ac:dyDescent="0.35">
      <c r="A311" t="s">
        <v>721</v>
      </c>
      <c r="B311">
        <f t="shared" si="23"/>
        <v>7</v>
      </c>
      <c r="C311">
        <f t="shared" si="20"/>
        <v>11</v>
      </c>
      <c r="D311">
        <f t="shared" si="21"/>
        <v>28</v>
      </c>
      <c r="E311">
        <f t="shared" si="25"/>
        <v>35028</v>
      </c>
      <c r="F311" t="str">
        <f t="shared" si="22"/>
        <v>Swift Warstrider</v>
      </c>
    </row>
    <row r="312" spans="1:6" x14ac:dyDescent="0.35">
      <c r="A312" t="s">
        <v>722</v>
      </c>
      <c r="B312">
        <f t="shared" si="23"/>
        <v>7</v>
      </c>
      <c r="C312">
        <f t="shared" si="20"/>
        <v>11</v>
      </c>
      <c r="D312">
        <f t="shared" si="21"/>
        <v>28</v>
      </c>
      <c r="E312">
        <f t="shared" si="25"/>
        <v>59572</v>
      </c>
      <c r="F312" t="str">
        <f t="shared" si="22"/>
        <v>Black Polar Bear</v>
      </c>
    </row>
    <row r="313" spans="1:6" x14ac:dyDescent="0.35">
      <c r="A313" t="s">
        <v>723</v>
      </c>
      <c r="B313">
        <f t="shared" si="23"/>
        <v>7</v>
      </c>
      <c r="C313">
        <f t="shared" si="20"/>
        <v>11</v>
      </c>
      <c r="D313">
        <f t="shared" si="21"/>
        <v>27</v>
      </c>
      <c r="E313">
        <f t="shared" si="25"/>
        <v>51412</v>
      </c>
      <c r="F313" t="str">
        <f t="shared" si="22"/>
        <v>Big Battle Bear</v>
      </c>
    </row>
    <row r="314" spans="1:6" x14ac:dyDescent="0.35">
      <c r="A314" t="s">
        <v>1002</v>
      </c>
      <c r="B314">
        <f t="shared" si="23"/>
        <v>8</v>
      </c>
      <c r="C314">
        <f t="shared" si="20"/>
        <v>12</v>
      </c>
      <c r="D314">
        <f t="shared" si="21"/>
        <v>40</v>
      </c>
      <c r="E314">
        <f t="shared" si="25"/>
        <v>129934</v>
      </c>
      <c r="F314" t="str">
        <f t="shared" si="22"/>
        <v>Blue Shado-Pan Riding Tiger</v>
      </c>
    </row>
    <row r="315" spans="1:6" x14ac:dyDescent="0.35">
      <c r="A315" t="s">
        <v>1003</v>
      </c>
      <c r="B315">
        <f t="shared" si="23"/>
        <v>8</v>
      </c>
      <c r="C315">
        <f t="shared" si="20"/>
        <v>12</v>
      </c>
      <c r="D315">
        <f t="shared" si="21"/>
        <v>32</v>
      </c>
      <c r="E315">
        <f t="shared" si="25"/>
        <v>127288</v>
      </c>
      <c r="F315" t="str">
        <f t="shared" si="22"/>
        <v>Brown Dragon Turtle</v>
      </c>
    </row>
    <row r="316" spans="1:6" x14ac:dyDescent="0.35">
      <c r="A316" t="s">
        <v>726</v>
      </c>
      <c r="B316">
        <f t="shared" si="23"/>
        <v>7</v>
      </c>
      <c r="C316">
        <f t="shared" si="20"/>
        <v>11</v>
      </c>
      <c r="D316">
        <f t="shared" si="21"/>
        <v>24</v>
      </c>
      <c r="E316">
        <f t="shared" si="25"/>
        <v>28828</v>
      </c>
      <c r="F316" t="str">
        <f t="shared" si="22"/>
        <v>Nether Drake</v>
      </c>
    </row>
    <row r="317" spans="1:6" x14ac:dyDescent="0.35">
      <c r="A317" t="s">
        <v>842</v>
      </c>
      <c r="B317">
        <f t="shared" si="23"/>
        <v>7</v>
      </c>
      <c r="C317">
        <f t="shared" si="20"/>
        <v>11</v>
      </c>
      <c r="D317">
        <f t="shared" si="21"/>
        <v>30</v>
      </c>
      <c r="E317">
        <f t="shared" si="25"/>
        <v>64659</v>
      </c>
      <c r="F317" t="str">
        <f t="shared" si="22"/>
        <v>Venomhide Ravasaur</v>
      </c>
    </row>
    <row r="318" spans="1:6" x14ac:dyDescent="0.35">
      <c r="A318" t="s">
        <v>728</v>
      </c>
      <c r="B318">
        <f t="shared" si="23"/>
        <v>7</v>
      </c>
      <c r="C318">
        <f t="shared" si="20"/>
        <v>11</v>
      </c>
      <c r="D318">
        <f t="shared" si="21"/>
        <v>38</v>
      </c>
      <c r="E318">
        <f t="shared" si="25"/>
        <v>23223</v>
      </c>
      <c r="F318" t="str">
        <f t="shared" si="22"/>
        <v>Swift White Mechanostrider</v>
      </c>
    </row>
    <row r="319" spans="1:6" x14ac:dyDescent="0.35">
      <c r="A319" t="s">
        <v>729</v>
      </c>
      <c r="B319">
        <f t="shared" si="23"/>
        <v>7</v>
      </c>
      <c r="C319">
        <f t="shared" si="20"/>
        <v>11</v>
      </c>
      <c r="D319">
        <f t="shared" si="21"/>
        <v>25</v>
      </c>
      <c r="E319">
        <f t="shared" si="25"/>
        <v>22720</v>
      </c>
      <c r="F319" t="str">
        <f t="shared" si="22"/>
        <v>Black War Ram</v>
      </c>
    </row>
    <row r="320" spans="1:6" x14ac:dyDescent="0.35">
      <c r="A320" t="s">
        <v>730</v>
      </c>
      <c r="B320">
        <f t="shared" si="23"/>
        <v>7</v>
      </c>
      <c r="C320">
        <f t="shared" si="20"/>
        <v>11</v>
      </c>
      <c r="D320">
        <f t="shared" si="21"/>
        <v>26</v>
      </c>
      <c r="E320">
        <f t="shared" si="25"/>
        <v>23239</v>
      </c>
      <c r="F320" t="str">
        <f t="shared" si="22"/>
        <v>Swift Gray Ram</v>
      </c>
    </row>
    <row r="321" spans="1:6" x14ac:dyDescent="0.35">
      <c r="A321" t="s">
        <v>731</v>
      </c>
      <c r="B321">
        <f t="shared" si="23"/>
        <v>7</v>
      </c>
      <c r="C321">
        <f t="shared" ref="C321:C363" si="26">FIND("""",A321)</f>
        <v>11</v>
      </c>
      <c r="D321">
        <f t="shared" ref="D321:D384" si="27">FIND("""",A321,C321+1)</f>
        <v>30</v>
      </c>
      <c r="E321">
        <f t="shared" si="25"/>
        <v>10873</v>
      </c>
      <c r="F321" t="str">
        <f t="shared" ref="F321:F363" si="28">MID(A321,C321+1,D321-C321-1)</f>
        <v>Red Mechanostrider</v>
      </c>
    </row>
    <row r="322" spans="1:6" x14ac:dyDescent="0.35">
      <c r="A322" t="s">
        <v>732</v>
      </c>
      <c r="B322">
        <f t="shared" ref="B322:B363" si="29">FIND("]",A322)</f>
        <v>7</v>
      </c>
      <c r="C322">
        <f t="shared" si="26"/>
        <v>11</v>
      </c>
      <c r="D322">
        <f t="shared" si="27"/>
        <v>34</v>
      </c>
      <c r="E322">
        <f t="shared" si="25"/>
        <v>39803</v>
      </c>
      <c r="F322" t="str">
        <f t="shared" si="28"/>
        <v>Blue Riding Nether Ray</v>
      </c>
    </row>
    <row r="323" spans="1:6" x14ac:dyDescent="0.35">
      <c r="A323" t="s">
        <v>806</v>
      </c>
      <c r="B323">
        <f t="shared" si="29"/>
        <v>7</v>
      </c>
      <c r="C323">
        <f t="shared" si="26"/>
        <v>11</v>
      </c>
      <c r="D323">
        <f t="shared" si="27"/>
        <v>25</v>
      </c>
      <c r="E323">
        <f t="shared" si="25"/>
        <v>66124</v>
      </c>
      <c r="F323" t="str">
        <f t="shared" si="28"/>
        <v>Magic Rooster</v>
      </c>
    </row>
    <row r="324" spans="1:6" x14ac:dyDescent="0.35">
      <c r="A324" t="s">
        <v>1004</v>
      </c>
      <c r="B324">
        <f t="shared" si="29"/>
        <v>8</v>
      </c>
      <c r="C324">
        <f t="shared" si="26"/>
        <v>12</v>
      </c>
      <c r="D324">
        <f t="shared" si="27"/>
        <v>30</v>
      </c>
      <c r="E324">
        <f t="shared" si="25"/>
        <v>127290</v>
      </c>
      <c r="F324" t="str">
        <f t="shared" si="28"/>
        <v>Red Dragon Turtle</v>
      </c>
    </row>
    <row r="325" spans="1:6" x14ac:dyDescent="0.35">
      <c r="A325" t="s">
        <v>735</v>
      </c>
      <c r="B325">
        <f t="shared" si="29"/>
        <v>7</v>
      </c>
      <c r="C325">
        <f t="shared" si="26"/>
        <v>11</v>
      </c>
      <c r="D325">
        <f t="shared" si="27"/>
        <v>27</v>
      </c>
      <c r="E325">
        <f t="shared" si="25"/>
        <v>48027</v>
      </c>
      <c r="F325" t="str">
        <f t="shared" si="28"/>
        <v>Black War Elekk</v>
      </c>
    </row>
    <row r="326" spans="1:6" x14ac:dyDescent="0.35">
      <c r="A326" t="s">
        <v>1005</v>
      </c>
      <c r="B326">
        <f t="shared" si="29"/>
        <v>8</v>
      </c>
      <c r="C326">
        <f t="shared" si="26"/>
        <v>12</v>
      </c>
      <c r="D326">
        <f t="shared" si="27"/>
        <v>41</v>
      </c>
      <c r="E326">
        <f t="shared" si="25"/>
        <v>126508</v>
      </c>
      <c r="F326" t="str">
        <f t="shared" si="28"/>
        <v>Geosynchronous World Spinner</v>
      </c>
    </row>
    <row r="327" spans="1:6" x14ac:dyDescent="0.35">
      <c r="A327" t="s">
        <v>1006</v>
      </c>
      <c r="B327">
        <f t="shared" si="29"/>
        <v>8</v>
      </c>
      <c r="C327">
        <f t="shared" si="26"/>
        <v>12</v>
      </c>
      <c r="D327">
        <f t="shared" si="27"/>
        <v>43</v>
      </c>
      <c r="E327">
        <f t="shared" si="25"/>
        <v>127161</v>
      </c>
      <c r="F327" t="str">
        <f t="shared" si="28"/>
        <v>Heavenly Crimson Cloud Serpent</v>
      </c>
    </row>
    <row r="328" spans="1:6" x14ac:dyDescent="0.35">
      <c r="A328" t="s">
        <v>1007</v>
      </c>
      <c r="B328">
        <f t="shared" si="29"/>
        <v>8</v>
      </c>
      <c r="C328">
        <f t="shared" si="26"/>
        <v>12</v>
      </c>
      <c r="D328">
        <f t="shared" si="27"/>
        <v>31</v>
      </c>
      <c r="E328">
        <f t="shared" si="25"/>
        <v>133023</v>
      </c>
      <c r="F328" t="str">
        <f t="shared" si="28"/>
        <v>Jade Pandaren Kite</v>
      </c>
    </row>
    <row r="329" spans="1:6" x14ac:dyDescent="0.35">
      <c r="A329" t="s">
        <v>1008</v>
      </c>
      <c r="B329">
        <f t="shared" si="29"/>
        <v>8</v>
      </c>
      <c r="C329">
        <f t="shared" si="26"/>
        <v>12</v>
      </c>
      <c r="D329">
        <f t="shared" si="27"/>
        <v>32</v>
      </c>
      <c r="E329">
        <f t="shared" si="25"/>
        <v>148417</v>
      </c>
      <c r="F329" t="str">
        <f t="shared" si="28"/>
        <v>Kor'kron Juggernaut</v>
      </c>
    </row>
    <row r="330" spans="1:6" x14ac:dyDescent="0.35">
      <c r="A330" t="s">
        <v>1009</v>
      </c>
      <c r="B330">
        <f t="shared" si="29"/>
        <v>8</v>
      </c>
      <c r="C330">
        <f t="shared" si="26"/>
        <v>12</v>
      </c>
      <c r="D330">
        <f t="shared" si="27"/>
        <v>31</v>
      </c>
      <c r="E330">
        <f t="shared" si="25"/>
        <v>127174</v>
      </c>
      <c r="F330" t="str">
        <f t="shared" si="28"/>
        <v>Azure Riding Crane</v>
      </c>
    </row>
    <row r="331" spans="1:6" x14ac:dyDescent="0.35">
      <c r="A331" t="s">
        <v>1010</v>
      </c>
      <c r="B331">
        <f t="shared" si="29"/>
        <v>8</v>
      </c>
      <c r="C331">
        <f t="shared" si="26"/>
        <v>12</v>
      </c>
      <c r="D331">
        <f t="shared" si="27"/>
        <v>33</v>
      </c>
      <c r="E331">
        <f t="shared" si="25"/>
        <v>127289</v>
      </c>
      <c r="F331" t="str">
        <f t="shared" si="28"/>
        <v>Purple Dragon Turtle</v>
      </c>
    </row>
    <row r="332" spans="1:6" x14ac:dyDescent="0.35">
      <c r="A332" t="s">
        <v>742</v>
      </c>
      <c r="B332">
        <f t="shared" si="29"/>
        <v>7</v>
      </c>
      <c r="C332">
        <f t="shared" si="26"/>
        <v>11</v>
      </c>
      <c r="D332">
        <f t="shared" si="27"/>
        <v>37</v>
      </c>
      <c r="E332">
        <f t="shared" si="25"/>
        <v>61425</v>
      </c>
      <c r="F332" t="str">
        <f t="shared" si="28"/>
        <v>Traveler's Tundra Mammoth</v>
      </c>
    </row>
    <row r="333" spans="1:6" x14ac:dyDescent="0.35">
      <c r="A333" t="s">
        <v>1011</v>
      </c>
      <c r="B333">
        <f t="shared" si="29"/>
        <v>8</v>
      </c>
      <c r="C333">
        <f t="shared" si="26"/>
        <v>12</v>
      </c>
      <c r="D333">
        <f t="shared" si="27"/>
        <v>27</v>
      </c>
      <c r="E333">
        <f t="shared" si="25"/>
        <v>123886</v>
      </c>
      <c r="F333" t="str">
        <f t="shared" si="28"/>
        <v>Amber Scorpion</v>
      </c>
    </row>
    <row r="334" spans="1:6" x14ac:dyDescent="0.35">
      <c r="A334" t="s">
        <v>744</v>
      </c>
      <c r="B334">
        <f t="shared" si="29"/>
        <v>7</v>
      </c>
      <c r="C334">
        <f t="shared" si="26"/>
        <v>11</v>
      </c>
      <c r="D334">
        <f t="shared" si="27"/>
        <v>33</v>
      </c>
      <c r="E334">
        <f t="shared" si="25"/>
        <v>49193</v>
      </c>
      <c r="F334" t="str">
        <f t="shared" si="28"/>
        <v>Vengeful Nether Drake</v>
      </c>
    </row>
    <row r="335" spans="1:6" x14ac:dyDescent="0.35">
      <c r="A335" t="s">
        <v>1012</v>
      </c>
      <c r="B335">
        <f t="shared" si="29"/>
        <v>8</v>
      </c>
      <c r="C335">
        <f t="shared" si="26"/>
        <v>12</v>
      </c>
      <c r="D335">
        <f t="shared" si="27"/>
        <v>29</v>
      </c>
      <c r="E335">
        <f t="shared" si="25"/>
        <v>121839</v>
      </c>
      <c r="F335" t="str">
        <f t="shared" si="28"/>
        <v>Sunstone Panther</v>
      </c>
    </row>
    <row r="336" spans="1:6" x14ac:dyDescent="0.35">
      <c r="A336" t="s">
        <v>746</v>
      </c>
      <c r="B336">
        <f t="shared" si="29"/>
        <v>7</v>
      </c>
      <c r="C336">
        <f t="shared" si="26"/>
        <v>11</v>
      </c>
      <c r="D336">
        <f t="shared" si="27"/>
        <v>23</v>
      </c>
      <c r="E336">
        <f t="shared" si="25"/>
        <v>34406</v>
      </c>
      <c r="F336" t="str">
        <f t="shared" si="28"/>
        <v>Brown Elekk</v>
      </c>
    </row>
    <row r="337" spans="1:6" x14ac:dyDescent="0.35">
      <c r="A337" t="s">
        <v>1013</v>
      </c>
      <c r="B337">
        <f t="shared" si="29"/>
        <v>8</v>
      </c>
      <c r="C337">
        <f t="shared" si="26"/>
        <v>12</v>
      </c>
      <c r="D337">
        <f t="shared" si="27"/>
        <v>25</v>
      </c>
      <c r="E337">
        <f t="shared" si="25"/>
        <v>121838</v>
      </c>
      <c r="F337" t="str">
        <f t="shared" si="28"/>
        <v>Ruby Panther</v>
      </c>
    </row>
    <row r="338" spans="1:6" x14ac:dyDescent="0.35">
      <c r="A338" t="s">
        <v>827</v>
      </c>
      <c r="B338">
        <f t="shared" si="29"/>
        <v>7</v>
      </c>
      <c r="C338">
        <f t="shared" si="26"/>
        <v>11</v>
      </c>
      <c r="D338">
        <f t="shared" si="27"/>
        <v>21</v>
      </c>
      <c r="E338">
        <f t="shared" si="25"/>
        <v>18992</v>
      </c>
      <c r="F338" t="str">
        <f t="shared" si="28"/>
        <v>Teal Kodo</v>
      </c>
    </row>
    <row r="339" spans="1:6" x14ac:dyDescent="0.35">
      <c r="A339" t="s">
        <v>749</v>
      </c>
      <c r="B339">
        <f t="shared" si="29"/>
        <v>7</v>
      </c>
      <c r="C339">
        <f t="shared" si="26"/>
        <v>11</v>
      </c>
      <c r="D339">
        <f t="shared" si="27"/>
        <v>28</v>
      </c>
      <c r="E339">
        <f t="shared" si="25"/>
        <v>16055</v>
      </c>
      <c r="F339" t="str">
        <f t="shared" si="28"/>
        <v>Black Nightsaber</v>
      </c>
    </row>
    <row r="340" spans="1:6" x14ac:dyDescent="0.35">
      <c r="A340" t="s">
        <v>750</v>
      </c>
      <c r="B340">
        <f t="shared" si="29"/>
        <v>6</v>
      </c>
      <c r="C340">
        <f t="shared" si="26"/>
        <v>10</v>
      </c>
      <c r="D340">
        <f t="shared" si="27"/>
        <v>29</v>
      </c>
      <c r="E340">
        <f t="shared" si="25"/>
        <v>8394</v>
      </c>
      <c r="F340" t="str">
        <f t="shared" si="28"/>
        <v>Striped Frostsaber</v>
      </c>
    </row>
    <row r="341" spans="1:6" x14ac:dyDescent="0.35">
      <c r="A341" t="s">
        <v>751</v>
      </c>
      <c r="B341">
        <f t="shared" si="29"/>
        <v>8</v>
      </c>
      <c r="C341">
        <f t="shared" si="26"/>
        <v>12</v>
      </c>
      <c r="D341">
        <f t="shared" si="27"/>
        <v>34</v>
      </c>
      <c r="E341">
        <f t="shared" si="25"/>
        <v>103081</v>
      </c>
      <c r="F341" t="str">
        <f t="shared" si="28"/>
        <v>Darkmoon Dancing Bear</v>
      </c>
    </row>
    <row r="342" spans="1:6" x14ac:dyDescent="0.35">
      <c r="A342" t="s">
        <v>881</v>
      </c>
      <c r="B342">
        <f t="shared" si="29"/>
        <v>7</v>
      </c>
      <c r="C342">
        <f t="shared" si="26"/>
        <v>11</v>
      </c>
      <c r="D342">
        <f t="shared" si="27"/>
        <v>28</v>
      </c>
      <c r="E342">
        <f t="shared" si="25"/>
        <v>65640</v>
      </c>
      <c r="F342" t="str">
        <f t="shared" si="28"/>
        <v>Swift Gray Steed</v>
      </c>
    </row>
    <row r="343" spans="1:6" x14ac:dyDescent="0.35">
      <c r="A343" t="s">
        <v>708</v>
      </c>
      <c r="B343">
        <f t="shared" si="29"/>
        <v>8</v>
      </c>
      <c r="C343">
        <f t="shared" si="26"/>
        <v>12</v>
      </c>
      <c r="D343">
        <f t="shared" si="27"/>
        <v>31</v>
      </c>
      <c r="E343">
        <f t="shared" si="25"/>
        <v>121820</v>
      </c>
      <c r="F343" t="str">
        <f t="shared" si="28"/>
        <v>Obsidian Nightwing</v>
      </c>
    </row>
    <row r="344" spans="1:6" x14ac:dyDescent="0.35">
      <c r="A344" t="s">
        <v>812</v>
      </c>
      <c r="B344">
        <f t="shared" si="29"/>
        <v>7</v>
      </c>
      <c r="C344">
        <f t="shared" si="26"/>
        <v>11</v>
      </c>
      <c r="D344">
        <f t="shared" si="27"/>
        <v>37</v>
      </c>
      <c r="E344">
        <f t="shared" si="25"/>
        <v>63638</v>
      </c>
      <c r="F344" t="str">
        <f t="shared" si="28"/>
        <v>Gnomeregan Mechanostrider</v>
      </c>
    </row>
    <row r="345" spans="1:6" x14ac:dyDescent="0.35">
      <c r="A345" t="s">
        <v>755</v>
      </c>
      <c r="B345">
        <f t="shared" si="29"/>
        <v>7</v>
      </c>
      <c r="C345">
        <f t="shared" si="26"/>
        <v>11</v>
      </c>
      <c r="D345">
        <f t="shared" si="27"/>
        <v>31</v>
      </c>
      <c r="E345">
        <f t="shared" si="25"/>
        <v>10969</v>
      </c>
      <c r="F345" t="str">
        <f t="shared" si="28"/>
        <v>Blue Mechanostrider</v>
      </c>
    </row>
    <row r="346" spans="1:6" x14ac:dyDescent="0.35">
      <c r="A346" t="s">
        <v>756</v>
      </c>
      <c r="B346">
        <f t="shared" si="29"/>
        <v>7</v>
      </c>
      <c r="C346">
        <f t="shared" si="26"/>
        <v>11</v>
      </c>
      <c r="D346">
        <f t="shared" si="27"/>
        <v>26</v>
      </c>
      <c r="E346">
        <f t="shared" si="25"/>
        <v>16083</v>
      </c>
      <c r="F346" t="str">
        <f t="shared" si="28"/>
        <v>White Stallion</v>
      </c>
    </row>
    <row r="347" spans="1:6" x14ac:dyDescent="0.35">
      <c r="A347" t="s">
        <v>757</v>
      </c>
      <c r="B347">
        <f t="shared" si="29"/>
        <v>7</v>
      </c>
      <c r="C347">
        <f t="shared" si="26"/>
        <v>11</v>
      </c>
      <c r="D347">
        <f t="shared" si="27"/>
        <v>22</v>
      </c>
      <c r="E347">
        <f t="shared" si="25"/>
        <v>64731</v>
      </c>
      <c r="F347" t="str">
        <f t="shared" si="28"/>
        <v>Sea Turtle</v>
      </c>
    </row>
    <row r="348" spans="1:6" x14ac:dyDescent="0.35">
      <c r="A348" t="s">
        <v>758</v>
      </c>
      <c r="B348">
        <f t="shared" si="29"/>
        <v>7</v>
      </c>
      <c r="C348">
        <f t="shared" si="26"/>
        <v>11</v>
      </c>
      <c r="D348">
        <f t="shared" si="27"/>
        <v>31</v>
      </c>
      <c r="E348">
        <f t="shared" si="25"/>
        <v>58615</v>
      </c>
      <c r="F348" t="str">
        <f t="shared" si="28"/>
        <v>Brutal Nether Drake</v>
      </c>
    </row>
    <row r="349" spans="1:6" x14ac:dyDescent="0.35">
      <c r="A349" t="s">
        <v>1014</v>
      </c>
      <c r="B349">
        <f t="shared" si="29"/>
        <v>9</v>
      </c>
      <c r="C349">
        <f t="shared" si="26"/>
        <v>13</v>
      </c>
      <c r="D349">
        <f t="shared" si="27"/>
        <v>31</v>
      </c>
      <c r="E349">
        <f t="shared" si="25"/>
        <v>1224647</v>
      </c>
      <c r="F349" t="str">
        <f t="shared" si="28"/>
        <v>Meeksi Brewrobber</v>
      </c>
    </row>
    <row r="350" spans="1:6" x14ac:dyDescent="0.35">
      <c r="A350" t="s">
        <v>712</v>
      </c>
      <c r="B350">
        <f t="shared" si="29"/>
        <v>8</v>
      </c>
      <c r="C350">
        <f t="shared" si="26"/>
        <v>12</v>
      </c>
      <c r="D350">
        <f t="shared" si="27"/>
        <v>21</v>
      </c>
      <c r="E350">
        <f t="shared" si="25"/>
        <v>113120</v>
      </c>
      <c r="F350" t="str">
        <f t="shared" si="28"/>
        <v>Feldrake</v>
      </c>
    </row>
    <row r="351" spans="1:6" x14ac:dyDescent="0.35">
      <c r="A351" t="s">
        <v>714</v>
      </c>
      <c r="B351">
        <f t="shared" si="29"/>
        <v>8</v>
      </c>
      <c r="C351">
        <f t="shared" si="26"/>
        <v>12</v>
      </c>
      <c r="D351">
        <f t="shared" si="27"/>
        <v>33</v>
      </c>
      <c r="E351">
        <f t="shared" si="25"/>
        <v>110051</v>
      </c>
      <c r="F351" t="str">
        <f t="shared" si="28"/>
        <v>Heart of the Aspects</v>
      </c>
    </row>
    <row r="352" spans="1:6" x14ac:dyDescent="0.35">
      <c r="A352" t="s">
        <v>763</v>
      </c>
      <c r="B352">
        <f t="shared" si="29"/>
        <v>7</v>
      </c>
      <c r="C352">
        <f t="shared" si="26"/>
        <v>11</v>
      </c>
      <c r="D352">
        <f t="shared" si="27"/>
        <v>36</v>
      </c>
      <c r="E352">
        <f t="shared" si="25"/>
        <v>39801</v>
      </c>
      <c r="F352" t="str">
        <f t="shared" si="28"/>
        <v>Purple Riding Nether Ray</v>
      </c>
    </row>
    <row r="353" spans="1:6" x14ac:dyDescent="0.35">
      <c r="A353" t="s">
        <v>724</v>
      </c>
      <c r="B353">
        <f t="shared" si="29"/>
        <v>8</v>
      </c>
      <c r="C353">
        <f t="shared" si="26"/>
        <v>12</v>
      </c>
      <c r="D353">
        <f t="shared" si="27"/>
        <v>33</v>
      </c>
      <c r="E353">
        <f t="shared" si="25"/>
        <v>103196</v>
      </c>
      <c r="F353" t="str">
        <f t="shared" si="28"/>
        <v>Swift Mountain Horse</v>
      </c>
    </row>
    <row r="354" spans="1:6" x14ac:dyDescent="0.35">
      <c r="A354" t="s">
        <v>727</v>
      </c>
      <c r="B354">
        <f t="shared" si="29"/>
        <v>8</v>
      </c>
      <c r="C354">
        <f t="shared" si="26"/>
        <v>12</v>
      </c>
      <c r="D354">
        <f t="shared" si="27"/>
        <v>33</v>
      </c>
      <c r="E354">
        <f t="shared" si="25"/>
        <v>102514</v>
      </c>
      <c r="F354" t="str">
        <f t="shared" si="28"/>
        <v>Corrupted Hippogryph</v>
      </c>
    </row>
    <row r="355" spans="1:6" x14ac:dyDescent="0.35">
      <c r="A355" t="s">
        <v>765</v>
      </c>
      <c r="B355">
        <f t="shared" si="29"/>
        <v>8</v>
      </c>
      <c r="C355">
        <f t="shared" si="26"/>
        <v>12</v>
      </c>
      <c r="D355">
        <f t="shared" si="27"/>
        <v>38</v>
      </c>
      <c r="E355">
        <f t="shared" si="25"/>
        <v>416158</v>
      </c>
      <c r="F355" t="str">
        <f t="shared" si="28"/>
        <v>Nightmarish Emerald Drake</v>
      </c>
    </row>
    <row r="356" spans="1:6" x14ac:dyDescent="0.35">
      <c r="A356" t="s">
        <v>766</v>
      </c>
      <c r="B356">
        <f t="shared" si="29"/>
        <v>7</v>
      </c>
      <c r="C356">
        <f t="shared" si="26"/>
        <v>11</v>
      </c>
      <c r="D356">
        <f t="shared" si="27"/>
        <v>35</v>
      </c>
      <c r="E356">
        <f t="shared" si="25"/>
        <v>88742</v>
      </c>
      <c r="F356" t="str">
        <f t="shared" si="28"/>
        <v>Drake of the North Wind</v>
      </c>
    </row>
    <row r="357" spans="1:6" x14ac:dyDescent="0.35">
      <c r="A357" t="s">
        <v>736</v>
      </c>
      <c r="B357">
        <f t="shared" si="29"/>
        <v>8</v>
      </c>
      <c r="C357">
        <f t="shared" si="26"/>
        <v>12</v>
      </c>
      <c r="D357">
        <f t="shared" si="27"/>
        <v>33</v>
      </c>
      <c r="E357">
        <f t="shared" si="25"/>
        <v>102346</v>
      </c>
      <c r="F357" t="str">
        <f t="shared" si="28"/>
        <v>Swift Forest Strider</v>
      </c>
    </row>
    <row r="358" spans="1:6" x14ac:dyDescent="0.35">
      <c r="A358" t="s">
        <v>768</v>
      </c>
      <c r="B358">
        <f t="shared" si="29"/>
        <v>7</v>
      </c>
      <c r="C358">
        <f t="shared" si="26"/>
        <v>11</v>
      </c>
      <c r="D358">
        <f t="shared" si="27"/>
        <v>23</v>
      </c>
      <c r="E358">
        <f t="shared" si="25"/>
        <v>59797</v>
      </c>
      <c r="F358" t="str">
        <f t="shared" si="28"/>
        <v>Ice Mammoth</v>
      </c>
    </row>
    <row r="359" spans="1:6" x14ac:dyDescent="0.35">
      <c r="A359" t="s">
        <v>769</v>
      </c>
      <c r="B359">
        <f t="shared" si="29"/>
        <v>7</v>
      </c>
      <c r="C359">
        <f t="shared" si="26"/>
        <v>11</v>
      </c>
      <c r="D359">
        <f t="shared" si="27"/>
        <v>28</v>
      </c>
      <c r="E359">
        <f t="shared" si="25"/>
        <v>96503</v>
      </c>
      <c r="F359" t="str">
        <f t="shared" si="28"/>
        <v>Amani Dragonhawk</v>
      </c>
    </row>
    <row r="360" spans="1:6" x14ac:dyDescent="0.35">
      <c r="A360" t="s">
        <v>829</v>
      </c>
      <c r="B360">
        <f t="shared" si="29"/>
        <v>7</v>
      </c>
      <c r="C360">
        <f t="shared" si="26"/>
        <v>11</v>
      </c>
      <c r="D360">
        <f t="shared" si="27"/>
        <v>32</v>
      </c>
      <c r="E360">
        <f t="shared" si="25"/>
        <v>32246</v>
      </c>
      <c r="F360" t="str">
        <f t="shared" si="28"/>
        <v>Swift Red Wind Rider</v>
      </c>
    </row>
    <row r="361" spans="1:6" x14ac:dyDescent="0.35">
      <c r="A361" t="s">
        <v>740</v>
      </c>
      <c r="B361">
        <f t="shared" si="29"/>
        <v>8</v>
      </c>
      <c r="C361">
        <f t="shared" si="26"/>
        <v>12</v>
      </c>
      <c r="D361">
        <f t="shared" si="27"/>
        <v>29</v>
      </c>
      <c r="E361">
        <f t="shared" si="25"/>
        <v>100333</v>
      </c>
      <c r="F361" t="str">
        <f t="shared" si="28"/>
        <v>Vicious War Wolf</v>
      </c>
    </row>
    <row r="362" spans="1:6" x14ac:dyDescent="0.35">
      <c r="A362" t="s">
        <v>741</v>
      </c>
      <c r="B362">
        <f t="shared" si="29"/>
        <v>7</v>
      </c>
      <c r="C362">
        <f t="shared" si="26"/>
        <v>11</v>
      </c>
      <c r="D362">
        <f t="shared" si="27"/>
        <v>27</v>
      </c>
      <c r="E362">
        <f t="shared" si="25"/>
        <v>98727</v>
      </c>
      <c r="F362" t="str">
        <f t="shared" si="28"/>
        <v>Winged Guardian</v>
      </c>
    </row>
    <row r="363" spans="1:6" x14ac:dyDescent="0.35">
      <c r="A363" t="s">
        <v>773</v>
      </c>
      <c r="B363">
        <f t="shared" si="29"/>
        <v>6</v>
      </c>
      <c r="C363">
        <f t="shared" si="26"/>
        <v>10</v>
      </c>
      <c r="D363">
        <f t="shared" si="27"/>
        <v>19</v>
      </c>
      <c r="E363">
        <f t="shared" si="25"/>
        <v>5784</v>
      </c>
      <c r="F363" t="str">
        <f t="shared" si="28"/>
        <v>Felsteed</v>
      </c>
    </row>
    <row r="364" spans="1:6" x14ac:dyDescent="0.35">
      <c r="A364" t="s">
        <v>774</v>
      </c>
      <c r="B364">
        <f t="shared" ref="B364:B427" si="30">FIND("]",A364)</f>
        <v>7</v>
      </c>
      <c r="C364">
        <f t="shared" ref="C364:C427" si="31">FIND("""",A364)</f>
        <v>11</v>
      </c>
      <c r="D364">
        <f t="shared" ref="D364:D427" si="32">FIND("""",A364,C364+1)</f>
        <v>41</v>
      </c>
      <c r="E364">
        <f t="shared" ref="E364:E427" si="33">INT(MID(A364,2,B364-2))</f>
        <v>17459</v>
      </c>
      <c r="F364" t="str">
        <f t="shared" ref="F364:F427" si="34">MID(A364,C364+1,D364-C364-1)</f>
        <v>Icy Blue Mechanostrider Mod A</v>
      </c>
    </row>
    <row r="365" spans="1:6" x14ac:dyDescent="0.35">
      <c r="A365" t="s">
        <v>775</v>
      </c>
      <c r="B365">
        <f t="shared" si="30"/>
        <v>7</v>
      </c>
      <c r="C365">
        <f t="shared" si="31"/>
        <v>11</v>
      </c>
      <c r="D365">
        <f t="shared" si="32"/>
        <v>33</v>
      </c>
      <c r="E365">
        <f t="shared" si="33"/>
        <v>41513</v>
      </c>
      <c r="F365" t="str">
        <f t="shared" si="34"/>
        <v>Onyx Netherwing Drake</v>
      </c>
    </row>
    <row r="366" spans="1:6" x14ac:dyDescent="0.35">
      <c r="A366" t="s">
        <v>776</v>
      </c>
      <c r="B366">
        <f t="shared" si="30"/>
        <v>8</v>
      </c>
      <c r="C366">
        <f t="shared" si="31"/>
        <v>12</v>
      </c>
      <c r="D366">
        <f t="shared" si="32"/>
        <v>23</v>
      </c>
      <c r="E366">
        <f t="shared" si="33"/>
        <v>463045</v>
      </c>
      <c r="F366" t="str">
        <f t="shared" si="34"/>
        <v>Lava Drake</v>
      </c>
    </row>
    <row r="367" spans="1:6" x14ac:dyDescent="0.35">
      <c r="A367" t="s">
        <v>725</v>
      </c>
      <c r="B367">
        <f t="shared" si="30"/>
        <v>7</v>
      </c>
      <c r="C367">
        <f t="shared" si="31"/>
        <v>11</v>
      </c>
      <c r="D367">
        <f t="shared" si="32"/>
        <v>32</v>
      </c>
      <c r="E367">
        <f t="shared" si="33"/>
        <v>97359</v>
      </c>
      <c r="F367" t="str">
        <f t="shared" si="34"/>
        <v>Flameward Hippogryph</v>
      </c>
    </row>
    <row r="368" spans="1:6" x14ac:dyDescent="0.35">
      <c r="A368" t="s">
        <v>753</v>
      </c>
      <c r="B368">
        <f t="shared" si="30"/>
        <v>7</v>
      </c>
      <c r="C368">
        <f t="shared" si="31"/>
        <v>11</v>
      </c>
      <c r="D368">
        <f t="shared" si="32"/>
        <v>35</v>
      </c>
      <c r="E368">
        <f t="shared" si="33"/>
        <v>96491</v>
      </c>
      <c r="F368" t="str">
        <f t="shared" si="34"/>
        <v>Armored Razzashi Raptor</v>
      </c>
    </row>
    <row r="369" spans="1:6" x14ac:dyDescent="0.35">
      <c r="A369" t="s">
        <v>759</v>
      </c>
      <c r="B369">
        <f t="shared" si="30"/>
        <v>7</v>
      </c>
      <c r="C369">
        <f t="shared" si="31"/>
        <v>11</v>
      </c>
      <c r="D369">
        <f t="shared" si="32"/>
        <v>26</v>
      </c>
      <c r="E369">
        <f t="shared" si="33"/>
        <v>92231</v>
      </c>
      <c r="F369" t="str">
        <f t="shared" si="34"/>
        <v>Spectral Steed</v>
      </c>
    </row>
    <row r="370" spans="1:6" x14ac:dyDescent="0.35">
      <c r="A370" t="s">
        <v>760</v>
      </c>
      <c r="B370">
        <f t="shared" si="30"/>
        <v>7</v>
      </c>
      <c r="C370">
        <f t="shared" si="31"/>
        <v>11</v>
      </c>
      <c r="D370">
        <f t="shared" si="32"/>
        <v>42</v>
      </c>
      <c r="E370">
        <f t="shared" si="33"/>
        <v>92155</v>
      </c>
      <c r="F370" t="str">
        <f t="shared" si="34"/>
        <v>Ultramarine Qiraji Battle Tank</v>
      </c>
    </row>
    <row r="371" spans="1:6" x14ac:dyDescent="0.35">
      <c r="A371" t="s">
        <v>781</v>
      </c>
      <c r="B371">
        <f t="shared" si="30"/>
        <v>7</v>
      </c>
      <c r="C371">
        <f t="shared" si="31"/>
        <v>11</v>
      </c>
      <c r="D371">
        <f t="shared" si="32"/>
        <v>29</v>
      </c>
      <c r="E371">
        <f t="shared" si="33"/>
        <v>58983</v>
      </c>
      <c r="F371" t="str">
        <f t="shared" si="34"/>
        <v>Big Blizzard Bear</v>
      </c>
    </row>
    <row r="372" spans="1:6" x14ac:dyDescent="0.35">
      <c r="A372" t="s">
        <v>782</v>
      </c>
      <c r="B372">
        <f t="shared" si="30"/>
        <v>7</v>
      </c>
      <c r="C372">
        <f t="shared" si="31"/>
        <v>11</v>
      </c>
      <c r="D372">
        <f t="shared" si="32"/>
        <v>31</v>
      </c>
      <c r="E372">
        <f t="shared" si="33"/>
        <v>60021</v>
      </c>
      <c r="F372" t="str">
        <f t="shared" si="34"/>
        <v>Plagued Proto-Drake</v>
      </c>
    </row>
    <row r="373" spans="1:6" x14ac:dyDescent="0.35">
      <c r="A373" t="s">
        <v>761</v>
      </c>
      <c r="B373">
        <f t="shared" si="30"/>
        <v>7</v>
      </c>
      <c r="C373">
        <f t="shared" si="31"/>
        <v>11</v>
      </c>
      <c r="D373">
        <f t="shared" si="32"/>
        <v>23</v>
      </c>
      <c r="E373">
        <f t="shared" si="33"/>
        <v>90621</v>
      </c>
      <c r="F373" t="str">
        <f t="shared" si="34"/>
        <v>Golden King</v>
      </c>
    </row>
    <row r="374" spans="1:6" x14ac:dyDescent="0.35">
      <c r="A374" t="s">
        <v>784</v>
      </c>
      <c r="B374">
        <f t="shared" si="30"/>
        <v>8</v>
      </c>
      <c r="C374">
        <f t="shared" si="31"/>
        <v>12</v>
      </c>
      <c r="D374">
        <f t="shared" si="32"/>
        <v>29</v>
      </c>
      <c r="E374">
        <f t="shared" si="33"/>
        <v>107203</v>
      </c>
      <c r="F374" t="str">
        <f t="shared" si="34"/>
        <v>Tyrael's Charger</v>
      </c>
    </row>
    <row r="375" spans="1:6" x14ac:dyDescent="0.35">
      <c r="A375" t="s">
        <v>785</v>
      </c>
      <c r="B375">
        <f t="shared" si="30"/>
        <v>7</v>
      </c>
      <c r="C375">
        <f t="shared" si="31"/>
        <v>11</v>
      </c>
      <c r="D375">
        <f t="shared" si="32"/>
        <v>29</v>
      </c>
      <c r="E375">
        <f t="shared" si="33"/>
        <v>84751</v>
      </c>
      <c r="F375" t="str">
        <f t="shared" si="34"/>
        <v>Fossilized Raptor</v>
      </c>
    </row>
    <row r="376" spans="1:6" x14ac:dyDescent="0.35">
      <c r="A376" t="s">
        <v>764</v>
      </c>
      <c r="B376">
        <f t="shared" si="30"/>
        <v>7</v>
      </c>
      <c r="C376">
        <f t="shared" si="31"/>
        <v>11</v>
      </c>
      <c r="D376">
        <f t="shared" si="32"/>
        <v>28</v>
      </c>
      <c r="E376">
        <f t="shared" si="33"/>
        <v>88749</v>
      </c>
      <c r="F376" t="str">
        <f t="shared" si="34"/>
        <v>Tan Riding Camel</v>
      </c>
    </row>
    <row r="377" spans="1:6" x14ac:dyDescent="0.35">
      <c r="A377" t="s">
        <v>767</v>
      </c>
      <c r="B377">
        <f t="shared" si="30"/>
        <v>7</v>
      </c>
      <c r="C377">
        <f t="shared" si="31"/>
        <v>11</v>
      </c>
      <c r="D377">
        <f t="shared" si="32"/>
        <v>30</v>
      </c>
      <c r="E377">
        <f t="shared" si="33"/>
        <v>88748</v>
      </c>
      <c r="F377" t="str">
        <f t="shared" si="34"/>
        <v>Brown Riding Camel</v>
      </c>
    </row>
    <row r="378" spans="1:6" x14ac:dyDescent="0.35">
      <c r="A378" t="s">
        <v>788</v>
      </c>
      <c r="B378">
        <f t="shared" si="30"/>
        <v>8</v>
      </c>
      <c r="C378">
        <f t="shared" si="31"/>
        <v>12</v>
      </c>
      <c r="D378">
        <f t="shared" si="32"/>
        <v>26</v>
      </c>
      <c r="E378">
        <f t="shared" si="33"/>
        <v>107842</v>
      </c>
      <c r="F378" t="str">
        <f t="shared" si="34"/>
        <v>Blazing Drake</v>
      </c>
    </row>
    <row r="379" spans="1:6" x14ac:dyDescent="0.35">
      <c r="A379" t="s">
        <v>780</v>
      </c>
      <c r="B379">
        <f t="shared" si="30"/>
        <v>7</v>
      </c>
      <c r="C379">
        <f t="shared" si="31"/>
        <v>11</v>
      </c>
      <c r="D379">
        <f t="shared" si="32"/>
        <v>24</v>
      </c>
      <c r="E379">
        <f t="shared" si="33"/>
        <v>87090</v>
      </c>
      <c r="F379" t="str">
        <f t="shared" si="34"/>
        <v>Goblin Trike</v>
      </c>
    </row>
    <row r="380" spans="1:6" x14ac:dyDescent="0.35">
      <c r="A380" t="s">
        <v>888</v>
      </c>
      <c r="B380">
        <f t="shared" si="30"/>
        <v>7</v>
      </c>
      <c r="C380">
        <f t="shared" si="31"/>
        <v>11</v>
      </c>
      <c r="D380">
        <f t="shared" si="32"/>
        <v>36</v>
      </c>
      <c r="E380">
        <f t="shared" si="33"/>
        <v>23510</v>
      </c>
      <c r="F380" t="str">
        <f t="shared" si="34"/>
        <v>Stormpike Battle Charger</v>
      </c>
    </row>
    <row r="381" spans="1:6" x14ac:dyDescent="0.35">
      <c r="A381" t="s">
        <v>734</v>
      </c>
      <c r="B381">
        <f t="shared" si="30"/>
        <v>7</v>
      </c>
      <c r="C381">
        <f t="shared" si="31"/>
        <v>11</v>
      </c>
      <c r="D381">
        <f t="shared" si="32"/>
        <v>34</v>
      </c>
      <c r="E381">
        <f t="shared" si="33"/>
        <v>64656</v>
      </c>
      <c r="F381" t="str">
        <f t="shared" si="34"/>
        <v>Blue Skeletal Warhorse</v>
      </c>
    </row>
    <row r="382" spans="1:6" x14ac:dyDescent="0.35">
      <c r="A382" t="s">
        <v>792</v>
      </c>
      <c r="B382">
        <f t="shared" si="30"/>
        <v>8</v>
      </c>
      <c r="C382">
        <f t="shared" si="31"/>
        <v>12</v>
      </c>
      <c r="D382">
        <f t="shared" si="32"/>
        <v>32</v>
      </c>
      <c r="E382">
        <f t="shared" si="33"/>
        <v>102349</v>
      </c>
      <c r="F382" t="str">
        <f t="shared" si="34"/>
        <v>Swift Springstrider</v>
      </c>
    </row>
    <row r="383" spans="1:6" x14ac:dyDescent="0.35">
      <c r="A383" t="s">
        <v>793</v>
      </c>
      <c r="B383">
        <f t="shared" si="30"/>
        <v>7</v>
      </c>
      <c r="C383">
        <f t="shared" si="31"/>
        <v>11</v>
      </c>
      <c r="D383">
        <f t="shared" si="32"/>
        <v>28</v>
      </c>
      <c r="E383">
        <f t="shared" si="33"/>
        <v>22721</v>
      </c>
      <c r="F383" t="str">
        <f t="shared" si="34"/>
        <v>Black War Raptor</v>
      </c>
    </row>
    <row r="384" spans="1:6" x14ac:dyDescent="0.35">
      <c r="A384" t="s">
        <v>794</v>
      </c>
      <c r="B384">
        <f t="shared" si="30"/>
        <v>7</v>
      </c>
      <c r="C384">
        <f t="shared" si="31"/>
        <v>11</v>
      </c>
      <c r="D384">
        <f t="shared" si="32"/>
        <v>27</v>
      </c>
      <c r="E384">
        <f t="shared" si="33"/>
        <v>23240</v>
      </c>
      <c r="F384" t="str">
        <f t="shared" si="34"/>
        <v>Swift White Ram</v>
      </c>
    </row>
    <row r="385" spans="1:6" x14ac:dyDescent="0.35">
      <c r="A385" t="s">
        <v>795</v>
      </c>
      <c r="B385">
        <f t="shared" si="30"/>
        <v>7</v>
      </c>
      <c r="C385">
        <f t="shared" si="31"/>
        <v>11</v>
      </c>
      <c r="D385">
        <f t="shared" si="32"/>
        <v>27</v>
      </c>
      <c r="E385">
        <f t="shared" si="33"/>
        <v>23248</v>
      </c>
      <c r="F385" t="str">
        <f t="shared" si="34"/>
        <v>Great Gray Kodo</v>
      </c>
    </row>
    <row r="386" spans="1:6" x14ac:dyDescent="0.35">
      <c r="A386" t="s">
        <v>813</v>
      </c>
      <c r="B386">
        <f t="shared" si="30"/>
        <v>7</v>
      </c>
      <c r="C386">
        <f t="shared" si="31"/>
        <v>11</v>
      </c>
      <c r="D386">
        <f t="shared" si="32"/>
        <v>32</v>
      </c>
      <c r="E386">
        <f t="shared" si="33"/>
        <v>66088</v>
      </c>
      <c r="F386" t="str">
        <f t="shared" si="34"/>
        <v>Sunreaver Dragonhawk</v>
      </c>
    </row>
    <row r="387" spans="1:6" x14ac:dyDescent="0.35">
      <c r="A387" t="s">
        <v>771</v>
      </c>
      <c r="B387">
        <f t="shared" si="30"/>
        <v>7</v>
      </c>
      <c r="C387">
        <f t="shared" si="31"/>
        <v>11</v>
      </c>
      <c r="D387">
        <f t="shared" si="32"/>
        <v>42</v>
      </c>
      <c r="E387">
        <f t="shared" si="33"/>
        <v>72807</v>
      </c>
      <c r="F387" t="str">
        <f t="shared" si="34"/>
        <v>Icebound Frostbrood Vanquisher</v>
      </c>
    </row>
    <row r="388" spans="1:6" x14ac:dyDescent="0.35">
      <c r="A388" t="s">
        <v>798</v>
      </c>
      <c r="B388">
        <f t="shared" si="30"/>
        <v>7</v>
      </c>
      <c r="C388">
        <f t="shared" si="31"/>
        <v>11</v>
      </c>
      <c r="D388">
        <f t="shared" si="32"/>
        <v>35</v>
      </c>
      <c r="E388">
        <f t="shared" si="33"/>
        <v>88744</v>
      </c>
      <c r="F388" t="str">
        <f t="shared" si="34"/>
        <v>Drake of the South Wind</v>
      </c>
    </row>
    <row r="389" spans="1:6" x14ac:dyDescent="0.35">
      <c r="A389" t="s">
        <v>799</v>
      </c>
      <c r="B389">
        <f t="shared" si="30"/>
        <v>8</v>
      </c>
      <c r="C389">
        <f t="shared" si="31"/>
        <v>12</v>
      </c>
      <c r="D389">
        <f t="shared" si="32"/>
        <v>36</v>
      </c>
      <c r="E389">
        <f t="shared" si="33"/>
        <v>348459</v>
      </c>
      <c r="F389" t="str">
        <f t="shared" si="34"/>
        <v>Reawakened Phase-Hunter</v>
      </c>
    </row>
    <row r="390" spans="1:6" x14ac:dyDescent="0.35">
      <c r="A390" t="s">
        <v>834</v>
      </c>
      <c r="B390">
        <f t="shared" si="30"/>
        <v>7</v>
      </c>
      <c r="C390">
        <f t="shared" si="31"/>
        <v>11</v>
      </c>
      <c r="D390">
        <f t="shared" si="32"/>
        <v>28</v>
      </c>
      <c r="E390">
        <f t="shared" si="33"/>
        <v>23247</v>
      </c>
      <c r="F390" t="str">
        <f t="shared" si="34"/>
        <v>Great White Kodo</v>
      </c>
    </row>
    <row r="391" spans="1:6" x14ac:dyDescent="0.35">
      <c r="A391" t="s">
        <v>1015</v>
      </c>
      <c r="B391">
        <f t="shared" si="30"/>
        <v>8</v>
      </c>
      <c r="C391">
        <f t="shared" si="31"/>
        <v>12</v>
      </c>
      <c r="D391">
        <f t="shared" si="32"/>
        <v>40</v>
      </c>
      <c r="E391">
        <f t="shared" si="33"/>
        <v>127165</v>
      </c>
      <c r="F391" t="str">
        <f t="shared" si="34"/>
        <v>Heavenly Jade Cloud Serpent</v>
      </c>
    </row>
    <row r="392" spans="1:6" x14ac:dyDescent="0.35">
      <c r="A392" t="s">
        <v>1016</v>
      </c>
      <c r="B392">
        <f t="shared" si="30"/>
        <v>8</v>
      </c>
      <c r="C392">
        <f t="shared" si="31"/>
        <v>12</v>
      </c>
      <c r="D392">
        <f t="shared" si="32"/>
        <v>33</v>
      </c>
      <c r="E392">
        <f t="shared" si="33"/>
        <v>120043</v>
      </c>
      <c r="F392" t="str">
        <f t="shared" si="34"/>
        <v>Jeweled Onyx Panther</v>
      </c>
    </row>
    <row r="393" spans="1:6" x14ac:dyDescent="0.35">
      <c r="A393" t="s">
        <v>1017</v>
      </c>
      <c r="B393">
        <f t="shared" si="30"/>
        <v>8</v>
      </c>
      <c r="C393">
        <f t="shared" si="31"/>
        <v>12</v>
      </c>
      <c r="D393">
        <f t="shared" si="32"/>
        <v>35</v>
      </c>
      <c r="E393">
        <f t="shared" si="33"/>
        <v>140249</v>
      </c>
      <c r="F393" t="str">
        <f t="shared" si="34"/>
        <v>Golden Primal Direhorn</v>
      </c>
    </row>
    <row r="394" spans="1:6" x14ac:dyDescent="0.35">
      <c r="A394" t="s">
        <v>805</v>
      </c>
      <c r="B394">
        <f t="shared" si="30"/>
        <v>7</v>
      </c>
      <c r="C394">
        <f t="shared" si="31"/>
        <v>11</v>
      </c>
      <c r="D394">
        <f t="shared" si="32"/>
        <v>35</v>
      </c>
      <c r="E394">
        <f t="shared" si="33"/>
        <v>66846</v>
      </c>
      <c r="F394" t="str">
        <f t="shared" si="34"/>
        <v>Ochre Skeletal Warhorse</v>
      </c>
    </row>
    <row r="395" spans="1:6" x14ac:dyDescent="0.35">
      <c r="A395" t="s">
        <v>1018</v>
      </c>
      <c r="B395">
        <f t="shared" si="30"/>
        <v>8</v>
      </c>
      <c r="C395">
        <f t="shared" si="31"/>
        <v>12</v>
      </c>
      <c r="D395">
        <f t="shared" si="32"/>
        <v>38</v>
      </c>
      <c r="E395">
        <f t="shared" si="33"/>
        <v>127293</v>
      </c>
      <c r="F395" t="str">
        <f t="shared" si="34"/>
        <v>Great Green Dragon Turtle</v>
      </c>
    </row>
    <row r="396" spans="1:6" x14ac:dyDescent="0.35">
      <c r="A396" t="s">
        <v>809</v>
      </c>
      <c r="B396">
        <f t="shared" si="30"/>
        <v>7</v>
      </c>
      <c r="C396">
        <f t="shared" si="31"/>
        <v>11</v>
      </c>
      <c r="D396">
        <f t="shared" si="32"/>
        <v>25</v>
      </c>
      <c r="E396">
        <f t="shared" si="33"/>
        <v>66123</v>
      </c>
      <c r="F396" t="str">
        <f t="shared" si="34"/>
        <v>Magic Rooster</v>
      </c>
    </row>
    <row r="397" spans="1:6" x14ac:dyDescent="0.35">
      <c r="A397" t="s">
        <v>807</v>
      </c>
      <c r="B397">
        <f t="shared" si="30"/>
        <v>7</v>
      </c>
      <c r="C397">
        <f t="shared" si="31"/>
        <v>11</v>
      </c>
      <c r="D397">
        <f t="shared" si="32"/>
        <v>34</v>
      </c>
      <c r="E397">
        <f t="shared" si="33"/>
        <v>41514</v>
      </c>
      <c r="F397" t="str">
        <f t="shared" si="34"/>
        <v>Azure Netherwing Drake</v>
      </c>
    </row>
    <row r="398" spans="1:6" x14ac:dyDescent="0.35">
      <c r="A398" t="s">
        <v>808</v>
      </c>
      <c r="B398">
        <f t="shared" si="30"/>
        <v>7</v>
      </c>
      <c r="C398">
        <f t="shared" si="31"/>
        <v>11</v>
      </c>
      <c r="D398">
        <f t="shared" si="32"/>
        <v>32</v>
      </c>
      <c r="E398">
        <f t="shared" si="33"/>
        <v>15780</v>
      </c>
      <c r="F398" t="str">
        <f t="shared" si="34"/>
        <v>Green Mechanostrider</v>
      </c>
    </row>
    <row r="399" spans="1:6" x14ac:dyDescent="0.35">
      <c r="A399" t="s">
        <v>810</v>
      </c>
      <c r="B399">
        <f t="shared" si="30"/>
        <v>7</v>
      </c>
      <c r="C399">
        <f t="shared" si="31"/>
        <v>11</v>
      </c>
      <c r="D399">
        <f t="shared" si="32"/>
        <v>25</v>
      </c>
      <c r="E399">
        <f t="shared" si="33"/>
        <v>66122</v>
      </c>
      <c r="F399" t="str">
        <f t="shared" si="34"/>
        <v>Magic Rooster</v>
      </c>
    </row>
    <row r="400" spans="1:6" x14ac:dyDescent="0.35">
      <c r="A400" t="s">
        <v>797</v>
      </c>
      <c r="B400">
        <f t="shared" si="30"/>
        <v>7</v>
      </c>
      <c r="C400">
        <f t="shared" si="31"/>
        <v>11</v>
      </c>
      <c r="D400">
        <f t="shared" si="32"/>
        <v>33</v>
      </c>
      <c r="E400">
        <f t="shared" si="33"/>
        <v>66091</v>
      </c>
      <c r="F400" t="str">
        <f t="shared" si="34"/>
        <v>Sunreaver Hawkstrider</v>
      </c>
    </row>
    <row r="401" spans="1:6" x14ac:dyDescent="0.35">
      <c r="A401" t="s">
        <v>811</v>
      </c>
      <c r="B401">
        <f t="shared" si="30"/>
        <v>7</v>
      </c>
      <c r="C401">
        <f t="shared" si="31"/>
        <v>11</v>
      </c>
      <c r="D401">
        <f t="shared" si="32"/>
        <v>45</v>
      </c>
      <c r="E401">
        <f t="shared" si="33"/>
        <v>72808</v>
      </c>
      <c r="F401" t="str">
        <f t="shared" si="34"/>
        <v>Bloodbathed Frostbrood Vanquisher</v>
      </c>
    </row>
    <row r="402" spans="1:6" x14ac:dyDescent="0.35">
      <c r="A402" t="s">
        <v>824</v>
      </c>
      <c r="B402">
        <f t="shared" si="30"/>
        <v>7</v>
      </c>
      <c r="C402">
        <f t="shared" si="31"/>
        <v>11</v>
      </c>
      <c r="D402">
        <f t="shared" si="32"/>
        <v>30</v>
      </c>
      <c r="E402">
        <f t="shared" si="33"/>
        <v>35714</v>
      </c>
      <c r="F402" t="str">
        <f t="shared" si="34"/>
        <v>Great Purple Elekk</v>
      </c>
    </row>
    <row r="403" spans="1:6" x14ac:dyDescent="0.35">
      <c r="A403" t="s">
        <v>1019</v>
      </c>
      <c r="B403">
        <f t="shared" si="30"/>
        <v>8</v>
      </c>
      <c r="C403">
        <f t="shared" si="31"/>
        <v>12</v>
      </c>
      <c r="D403">
        <f t="shared" si="32"/>
        <v>32</v>
      </c>
      <c r="E403">
        <f t="shared" si="33"/>
        <v>120395</v>
      </c>
      <c r="F403" t="str">
        <f t="shared" si="34"/>
        <v>Green Dragon Turtle</v>
      </c>
    </row>
    <row r="404" spans="1:6" x14ac:dyDescent="0.35">
      <c r="A404" t="s">
        <v>1020</v>
      </c>
      <c r="B404">
        <f t="shared" si="30"/>
        <v>8</v>
      </c>
      <c r="C404">
        <f t="shared" si="31"/>
        <v>12</v>
      </c>
      <c r="D404">
        <f t="shared" si="32"/>
        <v>49</v>
      </c>
      <c r="E404">
        <f t="shared" si="33"/>
        <v>148618</v>
      </c>
      <c r="F404" t="str">
        <f t="shared" si="34"/>
        <v>Tyrannical Gladiator's Cloud Serpent</v>
      </c>
    </row>
    <row r="405" spans="1:6" x14ac:dyDescent="0.35">
      <c r="A405" t="s">
        <v>815</v>
      </c>
      <c r="B405">
        <f t="shared" si="30"/>
        <v>7</v>
      </c>
      <c r="C405">
        <f t="shared" si="31"/>
        <v>11</v>
      </c>
      <c r="D405">
        <f t="shared" si="32"/>
        <v>29</v>
      </c>
      <c r="E405">
        <f t="shared" si="33"/>
        <v>23229</v>
      </c>
      <c r="F405" t="str">
        <f t="shared" si="34"/>
        <v>Swift Brown Steed</v>
      </c>
    </row>
    <row r="406" spans="1:6" x14ac:dyDescent="0.35">
      <c r="A406" t="s">
        <v>816</v>
      </c>
      <c r="B406">
        <f t="shared" si="30"/>
        <v>7</v>
      </c>
      <c r="C406">
        <f t="shared" si="31"/>
        <v>11</v>
      </c>
      <c r="D406">
        <f t="shared" si="32"/>
        <v>34</v>
      </c>
      <c r="E406">
        <f t="shared" si="33"/>
        <v>26054</v>
      </c>
      <c r="F406" t="str">
        <f t="shared" si="34"/>
        <v>Red Qiraji Battle Tank</v>
      </c>
    </row>
    <row r="407" spans="1:6" x14ac:dyDescent="0.35">
      <c r="A407" t="s">
        <v>860</v>
      </c>
      <c r="B407">
        <f t="shared" si="30"/>
        <v>7</v>
      </c>
      <c r="C407">
        <f t="shared" si="31"/>
        <v>11</v>
      </c>
      <c r="D407">
        <f t="shared" si="32"/>
        <v>34</v>
      </c>
      <c r="E407">
        <f t="shared" si="33"/>
        <v>62048</v>
      </c>
      <c r="F407" t="str">
        <f t="shared" si="34"/>
        <v>Black Dragonhawk Mount</v>
      </c>
    </row>
    <row r="408" spans="1:6" x14ac:dyDescent="0.35">
      <c r="A408" t="s">
        <v>818</v>
      </c>
      <c r="B408">
        <f t="shared" si="30"/>
        <v>6</v>
      </c>
      <c r="C408">
        <f t="shared" si="31"/>
        <v>10</v>
      </c>
      <c r="D408">
        <f t="shared" si="32"/>
        <v>20</v>
      </c>
      <c r="E408">
        <f t="shared" si="33"/>
        <v>6896</v>
      </c>
      <c r="F408" t="str">
        <f t="shared" si="34"/>
        <v>Black Ram</v>
      </c>
    </row>
    <row r="409" spans="1:6" x14ac:dyDescent="0.35">
      <c r="A409" t="s">
        <v>819</v>
      </c>
      <c r="B409">
        <f t="shared" si="30"/>
        <v>6</v>
      </c>
      <c r="C409">
        <f t="shared" si="31"/>
        <v>10</v>
      </c>
      <c r="D409">
        <f t="shared" si="32"/>
        <v>20</v>
      </c>
      <c r="E409">
        <f t="shared" si="33"/>
        <v>6898</v>
      </c>
      <c r="F409" t="str">
        <f t="shared" si="34"/>
        <v>White Ram</v>
      </c>
    </row>
    <row r="410" spans="1:6" x14ac:dyDescent="0.35">
      <c r="A410" t="s">
        <v>820</v>
      </c>
      <c r="B410">
        <f t="shared" si="30"/>
        <v>7</v>
      </c>
      <c r="C410">
        <f t="shared" si="31"/>
        <v>11</v>
      </c>
      <c r="D410">
        <f t="shared" si="32"/>
        <v>26</v>
      </c>
      <c r="E410">
        <f t="shared" si="33"/>
        <v>60118</v>
      </c>
      <c r="F410" t="str">
        <f t="shared" si="34"/>
        <v>Black War Bear</v>
      </c>
    </row>
    <row r="411" spans="1:6" x14ac:dyDescent="0.35">
      <c r="A411" t="s">
        <v>821</v>
      </c>
      <c r="B411">
        <f t="shared" si="30"/>
        <v>7</v>
      </c>
      <c r="C411">
        <f t="shared" si="31"/>
        <v>11</v>
      </c>
      <c r="D411">
        <f t="shared" si="32"/>
        <v>37</v>
      </c>
      <c r="E411">
        <f t="shared" si="33"/>
        <v>41517</v>
      </c>
      <c r="F411" t="str">
        <f t="shared" si="34"/>
        <v>Veridian Netherwing Drake</v>
      </c>
    </row>
    <row r="412" spans="1:6" x14ac:dyDescent="0.35">
      <c r="A412" t="s">
        <v>822</v>
      </c>
      <c r="B412">
        <f t="shared" si="30"/>
        <v>7</v>
      </c>
      <c r="C412">
        <f t="shared" si="31"/>
        <v>11</v>
      </c>
      <c r="D412">
        <f t="shared" si="32"/>
        <v>26</v>
      </c>
      <c r="E412">
        <f t="shared" si="33"/>
        <v>42776</v>
      </c>
      <c r="F412" t="str">
        <f t="shared" si="34"/>
        <v>Spectral Tiger</v>
      </c>
    </row>
    <row r="413" spans="1:6" x14ac:dyDescent="0.35">
      <c r="A413" t="s">
        <v>823</v>
      </c>
      <c r="B413">
        <f t="shared" si="30"/>
        <v>7</v>
      </c>
      <c r="C413">
        <f t="shared" si="31"/>
        <v>11</v>
      </c>
      <c r="D413">
        <f t="shared" si="32"/>
        <v>27</v>
      </c>
      <c r="E413">
        <f t="shared" si="33"/>
        <v>63232</v>
      </c>
      <c r="F413" t="str">
        <f t="shared" si="34"/>
        <v>Stormwind Steed</v>
      </c>
    </row>
    <row r="414" spans="1:6" x14ac:dyDescent="0.35">
      <c r="A414" t="s">
        <v>828</v>
      </c>
      <c r="B414">
        <f t="shared" si="30"/>
        <v>7</v>
      </c>
      <c r="C414">
        <f t="shared" si="31"/>
        <v>11</v>
      </c>
      <c r="D414">
        <f t="shared" si="32"/>
        <v>35</v>
      </c>
      <c r="E414">
        <f t="shared" si="33"/>
        <v>65645</v>
      </c>
      <c r="F414" t="str">
        <f t="shared" si="34"/>
        <v>White Skeletal Warhorse</v>
      </c>
    </row>
    <row r="415" spans="1:6" x14ac:dyDescent="0.35">
      <c r="A415" t="s">
        <v>826</v>
      </c>
      <c r="B415">
        <f t="shared" si="30"/>
        <v>7</v>
      </c>
      <c r="C415">
        <f t="shared" si="31"/>
        <v>11</v>
      </c>
      <c r="D415">
        <f t="shared" si="32"/>
        <v>37</v>
      </c>
      <c r="E415">
        <f t="shared" si="33"/>
        <v>61447</v>
      </c>
      <c r="F415" t="str">
        <f t="shared" si="34"/>
        <v>Traveler's Tundra Mammoth</v>
      </c>
    </row>
    <row r="416" spans="1:6" x14ac:dyDescent="0.35">
      <c r="A416" t="s">
        <v>892</v>
      </c>
      <c r="B416">
        <f t="shared" si="30"/>
        <v>7</v>
      </c>
      <c r="C416">
        <f t="shared" si="31"/>
        <v>11</v>
      </c>
      <c r="D416">
        <f t="shared" si="32"/>
        <v>29</v>
      </c>
      <c r="E416">
        <f t="shared" si="33"/>
        <v>63643</v>
      </c>
      <c r="F416" t="str">
        <f t="shared" si="34"/>
        <v>Forsaken Warhorse</v>
      </c>
    </row>
    <row r="417" spans="1:6" x14ac:dyDescent="0.35">
      <c r="A417" t="s">
        <v>1021</v>
      </c>
      <c r="B417">
        <f t="shared" si="30"/>
        <v>8</v>
      </c>
      <c r="C417">
        <f t="shared" si="31"/>
        <v>12</v>
      </c>
      <c r="D417">
        <f t="shared" si="32"/>
        <v>25</v>
      </c>
      <c r="E417">
        <f t="shared" si="33"/>
        <v>136164</v>
      </c>
      <c r="F417" t="str">
        <f t="shared" si="34"/>
        <v>Grand Wyvern</v>
      </c>
    </row>
    <row r="418" spans="1:6" x14ac:dyDescent="0.35">
      <c r="A418" t="s">
        <v>825</v>
      </c>
      <c r="B418">
        <f t="shared" si="30"/>
        <v>7</v>
      </c>
      <c r="C418">
        <f t="shared" si="31"/>
        <v>11</v>
      </c>
      <c r="D418">
        <f t="shared" si="32"/>
        <v>29</v>
      </c>
      <c r="E418">
        <f t="shared" si="33"/>
        <v>65641</v>
      </c>
      <c r="F418" t="str">
        <f t="shared" si="34"/>
        <v>Great Golden Kodo</v>
      </c>
    </row>
    <row r="419" spans="1:6" x14ac:dyDescent="0.35">
      <c r="A419" t="s">
        <v>783</v>
      </c>
      <c r="B419">
        <f t="shared" si="30"/>
        <v>7</v>
      </c>
      <c r="C419">
        <f t="shared" si="31"/>
        <v>11</v>
      </c>
      <c r="D419">
        <f t="shared" si="32"/>
        <v>17</v>
      </c>
      <c r="E419">
        <f t="shared" si="33"/>
        <v>10790</v>
      </c>
      <c r="F419" t="str">
        <f t="shared" si="34"/>
        <v>Tiger</v>
      </c>
    </row>
    <row r="420" spans="1:6" x14ac:dyDescent="0.35">
      <c r="A420" t="s">
        <v>1022</v>
      </c>
      <c r="B420">
        <f t="shared" si="30"/>
        <v>8</v>
      </c>
      <c r="C420">
        <f t="shared" si="31"/>
        <v>12</v>
      </c>
      <c r="D420">
        <f t="shared" si="32"/>
        <v>30</v>
      </c>
      <c r="E420">
        <f t="shared" si="33"/>
        <v>130137</v>
      </c>
      <c r="F420" t="str">
        <f t="shared" si="34"/>
        <v>White Riding Goat</v>
      </c>
    </row>
    <row r="421" spans="1:6" x14ac:dyDescent="0.35">
      <c r="A421" t="s">
        <v>831</v>
      </c>
      <c r="B421">
        <f t="shared" si="30"/>
        <v>7</v>
      </c>
      <c r="C421">
        <f t="shared" si="31"/>
        <v>11</v>
      </c>
      <c r="D421">
        <f t="shared" si="32"/>
        <v>36</v>
      </c>
      <c r="E421">
        <f t="shared" si="33"/>
        <v>26656</v>
      </c>
      <c r="F421" t="str">
        <f t="shared" si="34"/>
        <v>Black Qiraji Battle Tank</v>
      </c>
    </row>
    <row r="422" spans="1:6" x14ac:dyDescent="0.35">
      <c r="A422" t="s">
        <v>832</v>
      </c>
      <c r="B422">
        <f t="shared" si="30"/>
        <v>7</v>
      </c>
      <c r="C422">
        <f t="shared" si="31"/>
        <v>11</v>
      </c>
      <c r="D422">
        <f t="shared" si="32"/>
        <v>23</v>
      </c>
      <c r="E422">
        <f t="shared" si="33"/>
        <v>59799</v>
      </c>
      <c r="F422" t="str">
        <f t="shared" si="34"/>
        <v>Ice Mammoth</v>
      </c>
    </row>
    <row r="423" spans="1:6" x14ac:dyDescent="0.35">
      <c r="A423" t="s">
        <v>833</v>
      </c>
      <c r="B423">
        <f t="shared" si="30"/>
        <v>7</v>
      </c>
      <c r="C423">
        <f t="shared" si="31"/>
        <v>11</v>
      </c>
      <c r="D423">
        <f t="shared" si="32"/>
        <v>24</v>
      </c>
      <c r="E423">
        <f t="shared" si="33"/>
        <v>32239</v>
      </c>
      <c r="F423" t="str">
        <f t="shared" si="34"/>
        <v>Ebon Gryphon</v>
      </c>
    </row>
    <row r="424" spans="1:6" x14ac:dyDescent="0.35">
      <c r="A424" t="s">
        <v>800</v>
      </c>
      <c r="B424">
        <f t="shared" si="30"/>
        <v>7</v>
      </c>
      <c r="C424">
        <f t="shared" si="31"/>
        <v>11</v>
      </c>
      <c r="D424">
        <f t="shared" si="32"/>
        <v>25</v>
      </c>
      <c r="E424">
        <f t="shared" si="33"/>
        <v>10799</v>
      </c>
      <c r="F424" t="str">
        <f t="shared" si="34"/>
        <v>Violet Raptor</v>
      </c>
    </row>
    <row r="425" spans="1:6" x14ac:dyDescent="0.35">
      <c r="A425" t="s">
        <v>835</v>
      </c>
      <c r="B425">
        <f t="shared" si="30"/>
        <v>7</v>
      </c>
      <c r="C425">
        <f t="shared" si="31"/>
        <v>11</v>
      </c>
      <c r="D425">
        <f t="shared" si="32"/>
        <v>41</v>
      </c>
      <c r="E425">
        <f t="shared" si="33"/>
        <v>64927</v>
      </c>
      <c r="F425" t="str">
        <f t="shared" si="34"/>
        <v>Deadly Gladiator's Frost Wyrm</v>
      </c>
    </row>
    <row r="426" spans="1:6" x14ac:dyDescent="0.35">
      <c r="A426" t="s">
        <v>836</v>
      </c>
      <c r="B426">
        <f t="shared" si="30"/>
        <v>7</v>
      </c>
      <c r="C426">
        <f t="shared" si="31"/>
        <v>11</v>
      </c>
      <c r="D426">
        <f t="shared" si="32"/>
        <v>28</v>
      </c>
      <c r="E426">
        <f t="shared" si="33"/>
        <v>54753</v>
      </c>
      <c r="F426" t="str">
        <f t="shared" si="34"/>
        <v>White Polar Bear</v>
      </c>
    </row>
    <row r="427" spans="1:6" x14ac:dyDescent="0.35">
      <c r="A427" t="s">
        <v>1023</v>
      </c>
      <c r="B427">
        <f t="shared" si="30"/>
        <v>8</v>
      </c>
      <c r="C427">
        <f t="shared" si="31"/>
        <v>12</v>
      </c>
      <c r="D427">
        <f t="shared" si="32"/>
        <v>38</v>
      </c>
      <c r="E427">
        <f t="shared" si="33"/>
        <v>127295</v>
      </c>
      <c r="F427" t="str">
        <f t="shared" si="34"/>
        <v>Great Black Dragon Turtle</v>
      </c>
    </row>
    <row r="428" spans="1:6" x14ac:dyDescent="0.35">
      <c r="A428" t="s">
        <v>838</v>
      </c>
      <c r="B428">
        <f t="shared" ref="B428:B489" si="35">FIND("]",A428)</f>
        <v>7</v>
      </c>
      <c r="C428">
        <f t="shared" ref="C428:C489" si="36">FIND("""",A428)</f>
        <v>11</v>
      </c>
      <c r="D428">
        <f t="shared" ref="D428:D489" si="37">FIND("""",A428,C428+1)</f>
        <v>21</v>
      </c>
      <c r="E428">
        <f t="shared" ref="E428:E489" si="38">INT(MID(A428,2,B428-2))</f>
        <v>17460</v>
      </c>
      <c r="F428" t="str">
        <f t="shared" ref="F428:F489" si="39">MID(A428,C428+1,D428-C428-1)</f>
        <v>Frost Ram</v>
      </c>
    </row>
    <row r="429" spans="1:6" x14ac:dyDescent="0.35">
      <c r="A429" t="s">
        <v>839</v>
      </c>
      <c r="B429">
        <f t="shared" si="35"/>
        <v>7</v>
      </c>
      <c r="C429">
        <f t="shared" si="36"/>
        <v>11</v>
      </c>
      <c r="D429">
        <f t="shared" si="37"/>
        <v>35</v>
      </c>
      <c r="E429">
        <f t="shared" si="38"/>
        <v>41515</v>
      </c>
      <c r="F429" t="str">
        <f t="shared" si="39"/>
        <v>Cobalt Netherwing Drake</v>
      </c>
    </row>
    <row r="430" spans="1:6" x14ac:dyDescent="0.35">
      <c r="A430" t="s">
        <v>840</v>
      </c>
      <c r="B430">
        <f t="shared" si="35"/>
        <v>7</v>
      </c>
      <c r="C430">
        <f t="shared" si="36"/>
        <v>11</v>
      </c>
      <c r="D430">
        <f t="shared" si="37"/>
        <v>34</v>
      </c>
      <c r="E430">
        <f t="shared" si="38"/>
        <v>32295</v>
      </c>
      <c r="F430" t="str">
        <f t="shared" si="39"/>
        <v>Swift Green Wind Rider</v>
      </c>
    </row>
    <row r="431" spans="1:6" x14ac:dyDescent="0.35">
      <c r="A431" t="s">
        <v>837</v>
      </c>
      <c r="B431">
        <f t="shared" si="35"/>
        <v>7</v>
      </c>
      <c r="C431">
        <f t="shared" si="36"/>
        <v>11</v>
      </c>
      <c r="D431">
        <f t="shared" si="37"/>
        <v>35</v>
      </c>
      <c r="E431">
        <f t="shared" si="38"/>
        <v>41518</v>
      </c>
      <c r="F431" t="str">
        <f t="shared" si="39"/>
        <v>Violet Netherwing Drake</v>
      </c>
    </row>
    <row r="432" spans="1:6" x14ac:dyDescent="0.35">
      <c r="A432" t="s">
        <v>841</v>
      </c>
      <c r="B432">
        <f t="shared" si="35"/>
        <v>7</v>
      </c>
      <c r="C432">
        <f t="shared" si="36"/>
        <v>11</v>
      </c>
      <c r="D432">
        <f t="shared" si="37"/>
        <v>29</v>
      </c>
      <c r="E432">
        <f t="shared" si="38"/>
        <v>34896</v>
      </c>
      <c r="F432" t="str">
        <f t="shared" si="39"/>
        <v>Cobalt War Talbuk</v>
      </c>
    </row>
    <row r="433" spans="1:6" x14ac:dyDescent="0.35">
      <c r="A433" t="s">
        <v>843</v>
      </c>
      <c r="B433">
        <f t="shared" si="35"/>
        <v>7</v>
      </c>
      <c r="C433">
        <f t="shared" si="36"/>
        <v>11</v>
      </c>
      <c r="D433">
        <f t="shared" si="37"/>
        <v>22</v>
      </c>
      <c r="E433">
        <f t="shared" si="38"/>
        <v>64658</v>
      </c>
      <c r="F433" t="str">
        <f t="shared" si="39"/>
        <v>Black Wolf</v>
      </c>
    </row>
    <row r="434" spans="1:6" x14ac:dyDescent="0.35">
      <c r="A434" t="s">
        <v>844</v>
      </c>
      <c r="B434">
        <f t="shared" si="35"/>
        <v>7</v>
      </c>
      <c r="C434">
        <f t="shared" si="36"/>
        <v>11</v>
      </c>
      <c r="D434">
        <f t="shared" si="37"/>
        <v>22</v>
      </c>
      <c r="E434">
        <f t="shared" si="38"/>
        <v>64657</v>
      </c>
      <c r="F434" t="str">
        <f t="shared" si="39"/>
        <v>White Kodo</v>
      </c>
    </row>
    <row r="435" spans="1:6" x14ac:dyDescent="0.35">
      <c r="A435" t="s">
        <v>845</v>
      </c>
      <c r="B435">
        <f t="shared" si="35"/>
        <v>7</v>
      </c>
      <c r="C435">
        <f t="shared" si="36"/>
        <v>11</v>
      </c>
      <c r="D435">
        <f t="shared" si="37"/>
        <v>29</v>
      </c>
      <c r="E435">
        <f t="shared" si="38"/>
        <v>74918</v>
      </c>
      <c r="F435" t="str">
        <f t="shared" si="39"/>
        <v>Wooly White Rhino</v>
      </c>
    </row>
    <row r="436" spans="1:6" x14ac:dyDescent="0.35">
      <c r="A436" t="s">
        <v>1024</v>
      </c>
      <c r="B436">
        <f t="shared" si="35"/>
        <v>8</v>
      </c>
      <c r="C436">
        <f t="shared" si="36"/>
        <v>12</v>
      </c>
      <c r="D436">
        <f t="shared" si="37"/>
        <v>30</v>
      </c>
      <c r="E436">
        <f t="shared" si="38"/>
        <v>130138</v>
      </c>
      <c r="F436" t="str">
        <f t="shared" si="39"/>
        <v>Black Riding Goat</v>
      </c>
    </row>
    <row r="437" spans="1:6" x14ac:dyDescent="0.35">
      <c r="A437" t="s">
        <v>847</v>
      </c>
      <c r="B437">
        <f t="shared" si="35"/>
        <v>7</v>
      </c>
      <c r="C437">
        <f t="shared" si="36"/>
        <v>11</v>
      </c>
      <c r="D437">
        <f t="shared" si="37"/>
        <v>29</v>
      </c>
      <c r="E437">
        <f t="shared" si="38"/>
        <v>63844</v>
      </c>
      <c r="F437" t="str">
        <f t="shared" si="39"/>
        <v>Argent Hippogryph</v>
      </c>
    </row>
    <row r="438" spans="1:6" x14ac:dyDescent="0.35">
      <c r="A438" t="s">
        <v>848</v>
      </c>
      <c r="B438">
        <f t="shared" si="35"/>
        <v>7</v>
      </c>
      <c r="C438">
        <f t="shared" si="36"/>
        <v>11</v>
      </c>
      <c r="D438">
        <f t="shared" si="37"/>
        <v>22</v>
      </c>
      <c r="E438">
        <f t="shared" si="38"/>
        <v>23161</v>
      </c>
      <c r="F438" t="str">
        <f t="shared" si="39"/>
        <v>Dreadsteed</v>
      </c>
    </row>
    <row r="439" spans="1:6" x14ac:dyDescent="0.35">
      <c r="A439" t="s">
        <v>849</v>
      </c>
      <c r="B439">
        <f t="shared" si="35"/>
        <v>7</v>
      </c>
      <c r="C439">
        <f t="shared" si="36"/>
        <v>11</v>
      </c>
      <c r="D439">
        <f t="shared" si="37"/>
        <v>26</v>
      </c>
      <c r="E439">
        <f t="shared" si="38"/>
        <v>63796</v>
      </c>
      <c r="F439" t="str">
        <f t="shared" si="39"/>
        <v>Mimiron's Head</v>
      </c>
    </row>
    <row r="440" spans="1:6" x14ac:dyDescent="0.35">
      <c r="A440" t="s">
        <v>872</v>
      </c>
      <c r="B440">
        <f t="shared" si="35"/>
        <v>7</v>
      </c>
      <c r="C440">
        <f t="shared" si="36"/>
        <v>11</v>
      </c>
      <c r="D440">
        <f t="shared" si="37"/>
        <v>27</v>
      </c>
      <c r="E440">
        <f t="shared" si="38"/>
        <v>22717</v>
      </c>
      <c r="F440" t="str">
        <f t="shared" si="39"/>
        <v>Black War Steed</v>
      </c>
    </row>
    <row r="441" spans="1:6" x14ac:dyDescent="0.35">
      <c r="A441" t="s">
        <v>851</v>
      </c>
      <c r="B441">
        <f t="shared" si="35"/>
        <v>8</v>
      </c>
      <c r="C441">
        <f t="shared" si="36"/>
        <v>12</v>
      </c>
      <c r="D441">
        <f t="shared" si="37"/>
        <v>26</v>
      </c>
      <c r="E441">
        <f t="shared" si="38"/>
        <v>387308</v>
      </c>
      <c r="F441" t="str">
        <f t="shared" si="39"/>
        <v>Magic Rooster</v>
      </c>
    </row>
    <row r="442" spans="1:6" x14ac:dyDescent="0.35">
      <c r="A442" t="s">
        <v>852</v>
      </c>
      <c r="B442">
        <f t="shared" si="35"/>
        <v>7</v>
      </c>
      <c r="C442">
        <f t="shared" si="36"/>
        <v>11</v>
      </c>
      <c r="D442">
        <f t="shared" si="37"/>
        <v>26</v>
      </c>
      <c r="E442">
        <f t="shared" si="38"/>
        <v>60119</v>
      </c>
      <c r="F442" t="str">
        <f t="shared" si="39"/>
        <v>Black War Bear</v>
      </c>
    </row>
    <row r="443" spans="1:6" x14ac:dyDescent="0.35">
      <c r="A443" t="s">
        <v>855</v>
      </c>
      <c r="B443">
        <f t="shared" si="35"/>
        <v>7</v>
      </c>
      <c r="C443">
        <f t="shared" si="36"/>
        <v>11</v>
      </c>
      <c r="D443">
        <f t="shared" si="37"/>
        <v>25</v>
      </c>
      <c r="E443">
        <f t="shared" si="38"/>
        <v>63636</v>
      </c>
      <c r="F443" t="str">
        <f t="shared" si="39"/>
        <v>Ironforge Ram</v>
      </c>
    </row>
    <row r="444" spans="1:6" x14ac:dyDescent="0.35">
      <c r="A444" t="s">
        <v>854</v>
      </c>
      <c r="B444">
        <f t="shared" si="35"/>
        <v>7</v>
      </c>
      <c r="C444">
        <f t="shared" si="36"/>
        <v>11</v>
      </c>
      <c r="D444">
        <f t="shared" si="37"/>
        <v>32</v>
      </c>
      <c r="E444">
        <f t="shared" si="38"/>
        <v>42777</v>
      </c>
      <c r="F444" t="str">
        <f t="shared" si="39"/>
        <v>Swift Spectral Tiger</v>
      </c>
    </row>
    <row r="445" spans="1:6" x14ac:dyDescent="0.35">
      <c r="A445" t="s">
        <v>853</v>
      </c>
      <c r="B445">
        <f t="shared" si="35"/>
        <v>5</v>
      </c>
      <c r="C445">
        <f t="shared" si="36"/>
        <v>9</v>
      </c>
      <c r="D445">
        <f t="shared" si="37"/>
        <v>15</v>
      </c>
      <c r="E445">
        <f t="shared" si="38"/>
        <v>472</v>
      </c>
      <c r="F445" t="str">
        <f t="shared" si="39"/>
        <v>Pinto</v>
      </c>
    </row>
    <row r="446" spans="1:6" x14ac:dyDescent="0.35">
      <c r="A446" t="s">
        <v>856</v>
      </c>
      <c r="B446">
        <f t="shared" si="35"/>
        <v>7</v>
      </c>
      <c r="C446">
        <f t="shared" si="36"/>
        <v>11</v>
      </c>
      <c r="D446">
        <f t="shared" si="37"/>
        <v>38</v>
      </c>
      <c r="E446">
        <f t="shared" si="38"/>
        <v>23225</v>
      </c>
      <c r="F446" t="str">
        <f t="shared" si="39"/>
        <v>Swift Green Mechanostrider</v>
      </c>
    </row>
    <row r="447" spans="1:6" x14ac:dyDescent="0.35">
      <c r="A447" t="s">
        <v>857</v>
      </c>
      <c r="B447">
        <f t="shared" si="35"/>
        <v>7</v>
      </c>
      <c r="C447">
        <f t="shared" si="36"/>
        <v>11</v>
      </c>
      <c r="D447">
        <f t="shared" si="37"/>
        <v>33</v>
      </c>
      <c r="E447">
        <f t="shared" si="38"/>
        <v>22722</v>
      </c>
      <c r="F447" t="str">
        <f t="shared" si="39"/>
        <v>Red Skeletal Warhorse</v>
      </c>
    </row>
    <row r="448" spans="1:6" x14ac:dyDescent="0.35">
      <c r="A448" t="s">
        <v>858</v>
      </c>
      <c r="B448">
        <f t="shared" si="35"/>
        <v>7</v>
      </c>
      <c r="C448">
        <f t="shared" si="36"/>
        <v>11</v>
      </c>
      <c r="D448">
        <f t="shared" si="37"/>
        <v>29</v>
      </c>
      <c r="E448">
        <f t="shared" si="38"/>
        <v>23241</v>
      </c>
      <c r="F448" t="str">
        <f t="shared" si="39"/>
        <v>Swift Blue Raptor</v>
      </c>
    </row>
    <row r="449" spans="1:6" x14ac:dyDescent="0.35">
      <c r="A449" t="s">
        <v>859</v>
      </c>
      <c r="B449">
        <f t="shared" si="35"/>
        <v>7</v>
      </c>
      <c r="C449">
        <f t="shared" si="36"/>
        <v>11</v>
      </c>
      <c r="D449">
        <f t="shared" si="37"/>
        <v>28</v>
      </c>
      <c r="E449">
        <f t="shared" si="38"/>
        <v>23249</v>
      </c>
      <c r="F449" t="str">
        <f t="shared" si="39"/>
        <v>Great Brown Kodo</v>
      </c>
    </row>
    <row r="450" spans="1:6" x14ac:dyDescent="0.35">
      <c r="A450" t="s">
        <v>789</v>
      </c>
      <c r="B450">
        <f t="shared" si="35"/>
        <v>7</v>
      </c>
      <c r="C450">
        <f t="shared" si="36"/>
        <v>11</v>
      </c>
      <c r="D450">
        <f t="shared" si="37"/>
        <v>29</v>
      </c>
      <c r="E450">
        <f t="shared" si="38"/>
        <v>61470</v>
      </c>
      <c r="F450" t="str">
        <f t="shared" si="39"/>
        <v>Grand Ice Mammoth</v>
      </c>
    </row>
    <row r="451" spans="1:6" x14ac:dyDescent="0.35">
      <c r="A451" t="s">
        <v>861</v>
      </c>
      <c r="B451">
        <f t="shared" si="35"/>
        <v>7</v>
      </c>
      <c r="C451">
        <f t="shared" si="36"/>
        <v>11</v>
      </c>
      <c r="D451">
        <f t="shared" si="37"/>
        <v>29</v>
      </c>
      <c r="E451">
        <f t="shared" si="38"/>
        <v>71342</v>
      </c>
      <c r="F451" t="str">
        <f t="shared" si="39"/>
        <v>X-45 Heartbreaker</v>
      </c>
    </row>
    <row r="452" spans="1:6" x14ac:dyDescent="0.35">
      <c r="A452" t="s">
        <v>862</v>
      </c>
      <c r="B452">
        <f t="shared" si="35"/>
        <v>7</v>
      </c>
      <c r="C452">
        <f t="shared" si="36"/>
        <v>11</v>
      </c>
      <c r="D452">
        <f t="shared" si="37"/>
        <v>35</v>
      </c>
      <c r="E452">
        <f t="shared" si="38"/>
        <v>43927</v>
      </c>
      <c r="F452" t="str">
        <f t="shared" si="39"/>
        <v>Cenarion War Hippogryph</v>
      </c>
    </row>
    <row r="453" spans="1:6" x14ac:dyDescent="0.35">
      <c r="A453" t="s">
        <v>863</v>
      </c>
      <c r="B453">
        <f t="shared" si="35"/>
        <v>8</v>
      </c>
      <c r="C453">
        <f t="shared" si="36"/>
        <v>12</v>
      </c>
      <c r="D453">
        <f t="shared" si="37"/>
        <v>39</v>
      </c>
      <c r="E453">
        <f t="shared" si="38"/>
        <v>387311</v>
      </c>
      <c r="F453" t="str">
        <f t="shared" si="39"/>
        <v>X-51 Nether-Rocket X-TREME</v>
      </c>
    </row>
    <row r="454" spans="1:6" x14ac:dyDescent="0.35">
      <c r="A454" t="s">
        <v>866</v>
      </c>
      <c r="B454">
        <f t="shared" si="35"/>
        <v>7</v>
      </c>
      <c r="C454">
        <f t="shared" si="36"/>
        <v>11</v>
      </c>
      <c r="D454">
        <f t="shared" si="37"/>
        <v>30</v>
      </c>
      <c r="E454">
        <f t="shared" si="38"/>
        <v>46197</v>
      </c>
      <c r="F454" t="str">
        <f t="shared" si="39"/>
        <v>X-51 Nether-Rocket</v>
      </c>
    </row>
    <row r="455" spans="1:6" x14ac:dyDescent="0.35">
      <c r="A455" t="s">
        <v>1025</v>
      </c>
      <c r="B455">
        <f t="shared" si="35"/>
        <v>8</v>
      </c>
      <c r="C455">
        <f t="shared" si="36"/>
        <v>12</v>
      </c>
      <c r="D455">
        <f t="shared" si="37"/>
        <v>41</v>
      </c>
      <c r="E455">
        <f t="shared" si="38"/>
        <v>127169</v>
      </c>
      <c r="F455" t="str">
        <f t="shared" si="39"/>
        <v>Heavenly Azure Cloud Serpent</v>
      </c>
    </row>
    <row r="456" spans="1:6" x14ac:dyDescent="0.35">
      <c r="A456" t="s">
        <v>867</v>
      </c>
      <c r="B456">
        <f t="shared" si="35"/>
        <v>7</v>
      </c>
      <c r="C456">
        <f t="shared" si="36"/>
        <v>11</v>
      </c>
      <c r="D456">
        <f t="shared" si="37"/>
        <v>22</v>
      </c>
      <c r="E456">
        <f t="shared" si="38"/>
        <v>18991</v>
      </c>
      <c r="F456" t="str">
        <f t="shared" si="39"/>
        <v>Green Kodo</v>
      </c>
    </row>
    <row r="457" spans="1:6" x14ac:dyDescent="0.35">
      <c r="A457" t="s">
        <v>868</v>
      </c>
      <c r="B457">
        <f t="shared" si="35"/>
        <v>7</v>
      </c>
      <c r="C457">
        <f t="shared" si="36"/>
        <v>11</v>
      </c>
      <c r="D457">
        <f t="shared" si="37"/>
        <v>30</v>
      </c>
      <c r="E457">
        <f t="shared" si="38"/>
        <v>63641</v>
      </c>
      <c r="F457" t="str">
        <f t="shared" si="39"/>
        <v>Thunder Bluff Kodo</v>
      </c>
    </row>
    <row r="458" spans="1:6" x14ac:dyDescent="0.35">
      <c r="A458" t="s">
        <v>869</v>
      </c>
      <c r="B458">
        <f t="shared" si="35"/>
        <v>7</v>
      </c>
      <c r="C458">
        <f t="shared" si="36"/>
        <v>11</v>
      </c>
      <c r="D458">
        <f t="shared" si="37"/>
        <v>36</v>
      </c>
      <c r="E458">
        <f t="shared" si="38"/>
        <v>17481</v>
      </c>
      <c r="F458" t="str">
        <f t="shared" si="39"/>
        <v>Rivendare's Deathcharger</v>
      </c>
    </row>
    <row r="459" spans="1:6" x14ac:dyDescent="0.35">
      <c r="A459" t="s">
        <v>882</v>
      </c>
      <c r="B459">
        <f t="shared" si="35"/>
        <v>7</v>
      </c>
      <c r="C459">
        <f t="shared" si="36"/>
        <v>11</v>
      </c>
      <c r="D459">
        <f t="shared" si="37"/>
        <v>28</v>
      </c>
      <c r="E459">
        <f t="shared" si="38"/>
        <v>59996</v>
      </c>
      <c r="F459" t="str">
        <f t="shared" si="39"/>
        <v>Blue Proto-Drake</v>
      </c>
    </row>
    <row r="460" spans="1:6" x14ac:dyDescent="0.35">
      <c r="A460" t="s">
        <v>870</v>
      </c>
      <c r="B460">
        <f t="shared" si="35"/>
        <v>7</v>
      </c>
      <c r="C460">
        <f t="shared" si="36"/>
        <v>11</v>
      </c>
      <c r="D460">
        <f t="shared" si="37"/>
        <v>28</v>
      </c>
      <c r="E460">
        <f t="shared" si="38"/>
        <v>75207</v>
      </c>
      <c r="F460" t="str">
        <f t="shared" si="39"/>
        <v>Abyssal Seahorse</v>
      </c>
    </row>
    <row r="461" spans="1:6" x14ac:dyDescent="0.35">
      <c r="A461" t="s">
        <v>871</v>
      </c>
      <c r="B461">
        <f t="shared" si="35"/>
        <v>7</v>
      </c>
      <c r="C461">
        <f t="shared" si="36"/>
        <v>11</v>
      </c>
      <c r="D461">
        <f t="shared" si="37"/>
        <v>35</v>
      </c>
      <c r="E461">
        <f t="shared" si="38"/>
        <v>41516</v>
      </c>
      <c r="F461" t="str">
        <f t="shared" si="39"/>
        <v>Purple Netherwing Drake</v>
      </c>
    </row>
    <row r="462" spans="1:6" x14ac:dyDescent="0.35">
      <c r="A462" t="s">
        <v>874</v>
      </c>
      <c r="B462">
        <f t="shared" si="35"/>
        <v>7</v>
      </c>
      <c r="C462">
        <f t="shared" si="36"/>
        <v>11</v>
      </c>
      <c r="D462">
        <f t="shared" si="37"/>
        <v>30</v>
      </c>
      <c r="E462">
        <f t="shared" si="38"/>
        <v>60116</v>
      </c>
      <c r="F462" t="str">
        <f t="shared" si="39"/>
        <v>Armored Brown Bear</v>
      </c>
    </row>
    <row r="463" spans="1:6" x14ac:dyDescent="0.35">
      <c r="A463" t="s">
        <v>873</v>
      </c>
      <c r="B463">
        <f t="shared" si="35"/>
        <v>7</v>
      </c>
      <c r="C463">
        <f t="shared" si="36"/>
        <v>11</v>
      </c>
      <c r="D463">
        <f t="shared" si="37"/>
        <v>35</v>
      </c>
      <c r="E463">
        <f t="shared" si="38"/>
        <v>17229</v>
      </c>
      <c r="F463" t="str">
        <f t="shared" si="39"/>
        <v>Winterspring Frostsaber</v>
      </c>
    </row>
    <row r="464" spans="1:6" x14ac:dyDescent="0.35">
      <c r="A464" t="s">
        <v>1026</v>
      </c>
      <c r="B464">
        <f t="shared" si="35"/>
        <v>8</v>
      </c>
      <c r="C464">
        <f t="shared" si="36"/>
        <v>12</v>
      </c>
      <c r="D464">
        <f t="shared" si="37"/>
        <v>29</v>
      </c>
      <c r="E464">
        <f t="shared" si="38"/>
        <v>121836</v>
      </c>
      <c r="F464" t="str">
        <f t="shared" si="39"/>
        <v>Sapphire Panther</v>
      </c>
    </row>
    <row r="465" spans="1:6" x14ac:dyDescent="0.35">
      <c r="A465" t="s">
        <v>875</v>
      </c>
      <c r="B465">
        <f t="shared" si="35"/>
        <v>7</v>
      </c>
      <c r="C465">
        <f t="shared" si="36"/>
        <v>11</v>
      </c>
      <c r="D465">
        <f t="shared" si="37"/>
        <v>29</v>
      </c>
      <c r="E465">
        <f t="shared" si="38"/>
        <v>59976</v>
      </c>
      <c r="F465" t="str">
        <f t="shared" si="39"/>
        <v>Black Proto-Drake</v>
      </c>
    </row>
    <row r="466" spans="1:6" x14ac:dyDescent="0.35">
      <c r="A466" t="s">
        <v>876</v>
      </c>
      <c r="B466">
        <f t="shared" si="35"/>
        <v>7</v>
      </c>
      <c r="C466">
        <f t="shared" si="36"/>
        <v>11</v>
      </c>
      <c r="D466">
        <f t="shared" si="37"/>
        <v>40</v>
      </c>
      <c r="E466">
        <f t="shared" si="38"/>
        <v>44151</v>
      </c>
      <c r="F466" t="str">
        <f t="shared" si="39"/>
        <v>Turbo-Charged Flying Machine</v>
      </c>
    </row>
    <row r="467" spans="1:6" x14ac:dyDescent="0.35">
      <c r="A467" t="s">
        <v>877</v>
      </c>
      <c r="B467">
        <f t="shared" si="35"/>
        <v>7</v>
      </c>
      <c r="C467">
        <f t="shared" si="36"/>
        <v>11</v>
      </c>
      <c r="D467">
        <f t="shared" si="37"/>
        <v>30</v>
      </c>
      <c r="E467">
        <f t="shared" si="38"/>
        <v>16056</v>
      </c>
      <c r="F467" t="str">
        <f t="shared" si="39"/>
        <v>Ancient Frostsaber</v>
      </c>
    </row>
    <row r="468" spans="1:6" x14ac:dyDescent="0.35">
      <c r="A468" t="s">
        <v>878</v>
      </c>
      <c r="B468">
        <f t="shared" si="35"/>
        <v>6</v>
      </c>
      <c r="C468">
        <f t="shared" si="36"/>
        <v>10</v>
      </c>
      <c r="D468">
        <f t="shared" si="37"/>
        <v>25</v>
      </c>
      <c r="E468">
        <f t="shared" si="38"/>
        <v>8395</v>
      </c>
      <c r="F468" t="str">
        <f t="shared" si="39"/>
        <v>Emerald Raptor</v>
      </c>
    </row>
    <row r="469" spans="1:6" x14ac:dyDescent="0.35">
      <c r="A469" t="s">
        <v>879</v>
      </c>
      <c r="B469">
        <f t="shared" si="35"/>
        <v>7</v>
      </c>
      <c r="C469">
        <f t="shared" si="36"/>
        <v>11</v>
      </c>
      <c r="D469">
        <f t="shared" si="37"/>
        <v>26</v>
      </c>
      <c r="E469">
        <f t="shared" si="38"/>
        <v>43688</v>
      </c>
      <c r="F469" t="str">
        <f t="shared" si="39"/>
        <v>Amani War Bear</v>
      </c>
    </row>
    <row r="470" spans="1:6" x14ac:dyDescent="0.35">
      <c r="A470" t="s">
        <v>880</v>
      </c>
      <c r="B470">
        <f t="shared" si="35"/>
        <v>7</v>
      </c>
      <c r="C470">
        <f t="shared" si="36"/>
        <v>11</v>
      </c>
      <c r="D470">
        <f t="shared" si="37"/>
        <v>25</v>
      </c>
      <c r="E470">
        <f t="shared" si="38"/>
        <v>69395</v>
      </c>
      <c r="F470" t="str">
        <f t="shared" si="39"/>
        <v>Onyxian Drake</v>
      </c>
    </row>
    <row r="471" spans="1:6" x14ac:dyDescent="0.35">
      <c r="A471" t="s">
        <v>1027</v>
      </c>
      <c r="B471">
        <f t="shared" si="35"/>
        <v>8</v>
      </c>
      <c r="C471">
        <f t="shared" si="36"/>
        <v>12</v>
      </c>
      <c r="D471">
        <f t="shared" si="37"/>
        <v>33</v>
      </c>
      <c r="E471">
        <f t="shared" si="38"/>
        <v>127170</v>
      </c>
      <c r="F471" t="str">
        <f t="shared" si="39"/>
        <v>Astral Cloud Serpent</v>
      </c>
    </row>
    <row r="472" spans="1:6" x14ac:dyDescent="0.35">
      <c r="A472" t="s">
        <v>801</v>
      </c>
      <c r="B472">
        <f t="shared" si="35"/>
        <v>7</v>
      </c>
      <c r="C472">
        <f t="shared" si="36"/>
        <v>11</v>
      </c>
      <c r="D472">
        <f t="shared" si="37"/>
        <v>30</v>
      </c>
      <c r="E472">
        <f t="shared" si="38"/>
        <v>60024</v>
      </c>
      <c r="F472" t="str">
        <f t="shared" si="39"/>
        <v>Violet Proto-Drake</v>
      </c>
    </row>
    <row r="473" spans="1:6" x14ac:dyDescent="0.35">
      <c r="A473" t="s">
        <v>883</v>
      </c>
      <c r="B473">
        <f t="shared" si="35"/>
        <v>7</v>
      </c>
      <c r="C473">
        <f t="shared" si="36"/>
        <v>11</v>
      </c>
      <c r="D473">
        <f t="shared" si="37"/>
        <v>20</v>
      </c>
      <c r="E473">
        <f t="shared" si="38"/>
        <v>16080</v>
      </c>
      <c r="F473" t="str">
        <f t="shared" si="39"/>
        <v>Red Wolf</v>
      </c>
    </row>
    <row r="474" spans="1:6" x14ac:dyDescent="0.35">
      <c r="A474" t="s">
        <v>884</v>
      </c>
      <c r="B474">
        <f t="shared" si="35"/>
        <v>7</v>
      </c>
      <c r="C474">
        <f t="shared" si="36"/>
        <v>11</v>
      </c>
      <c r="D474">
        <f t="shared" si="37"/>
        <v>30</v>
      </c>
      <c r="E474">
        <f t="shared" si="38"/>
        <v>16084</v>
      </c>
      <c r="F474" t="str">
        <f t="shared" si="39"/>
        <v>Mottled Red Raptor</v>
      </c>
    </row>
    <row r="475" spans="1:6" x14ac:dyDescent="0.35">
      <c r="A475" t="s">
        <v>885</v>
      </c>
      <c r="B475">
        <f t="shared" si="35"/>
        <v>7</v>
      </c>
      <c r="C475">
        <f t="shared" si="36"/>
        <v>11</v>
      </c>
      <c r="D475">
        <f t="shared" si="37"/>
        <v>33</v>
      </c>
      <c r="E475">
        <f t="shared" si="38"/>
        <v>60136</v>
      </c>
      <c r="F475" t="str">
        <f t="shared" si="39"/>
        <v>Grand Caravan Mammoth</v>
      </c>
    </row>
    <row r="476" spans="1:6" x14ac:dyDescent="0.35">
      <c r="A476" t="s">
        <v>889</v>
      </c>
      <c r="B476">
        <f t="shared" si="35"/>
        <v>7</v>
      </c>
      <c r="C476">
        <f t="shared" si="36"/>
        <v>11</v>
      </c>
      <c r="D476">
        <f t="shared" si="37"/>
        <v>29</v>
      </c>
      <c r="E476">
        <f t="shared" si="38"/>
        <v>35712</v>
      </c>
      <c r="F476" t="str">
        <f t="shared" si="39"/>
        <v>Great Green Elekk</v>
      </c>
    </row>
    <row r="477" spans="1:6" x14ac:dyDescent="0.35">
      <c r="A477" t="s">
        <v>887</v>
      </c>
      <c r="B477">
        <f t="shared" si="35"/>
        <v>7</v>
      </c>
      <c r="C477">
        <f t="shared" si="36"/>
        <v>11</v>
      </c>
      <c r="D477">
        <f t="shared" si="37"/>
        <v>23</v>
      </c>
      <c r="E477">
        <f t="shared" si="38"/>
        <v>18363</v>
      </c>
      <c r="F477" t="str">
        <f t="shared" si="39"/>
        <v>Riding Kodo</v>
      </c>
    </row>
    <row r="478" spans="1:6" x14ac:dyDescent="0.35">
      <c r="A478" t="s">
        <v>654</v>
      </c>
      <c r="B478">
        <f t="shared" si="35"/>
        <v>7</v>
      </c>
      <c r="C478">
        <f t="shared" si="36"/>
        <v>11</v>
      </c>
      <c r="D478">
        <f t="shared" si="37"/>
        <v>33</v>
      </c>
      <c r="E478">
        <f t="shared" si="38"/>
        <v>39800</v>
      </c>
      <c r="F478" t="str">
        <f t="shared" si="39"/>
        <v>Red Riding Nether Ray</v>
      </c>
    </row>
    <row r="479" spans="1:6" x14ac:dyDescent="0.35">
      <c r="A479" t="s">
        <v>890</v>
      </c>
      <c r="B479">
        <f t="shared" si="35"/>
        <v>7</v>
      </c>
      <c r="C479">
        <f t="shared" si="36"/>
        <v>11</v>
      </c>
      <c r="D479">
        <f t="shared" si="37"/>
        <v>24</v>
      </c>
      <c r="E479">
        <f t="shared" si="38"/>
        <v>10795</v>
      </c>
      <c r="F479" t="str">
        <f t="shared" si="39"/>
        <v>Ivory Raptor</v>
      </c>
    </row>
    <row r="480" spans="1:6" x14ac:dyDescent="0.35">
      <c r="A480" t="s">
        <v>1028</v>
      </c>
      <c r="B480">
        <f t="shared" si="35"/>
        <v>8</v>
      </c>
      <c r="C480">
        <f t="shared" si="36"/>
        <v>12</v>
      </c>
      <c r="D480">
        <f t="shared" si="37"/>
        <v>25</v>
      </c>
      <c r="E480">
        <f t="shared" si="38"/>
        <v>121837</v>
      </c>
      <c r="F480" t="str">
        <f t="shared" si="39"/>
        <v>Jade Panther</v>
      </c>
    </row>
    <row r="481" spans="1:6" x14ac:dyDescent="0.35">
      <c r="A481" t="s">
        <v>891</v>
      </c>
      <c r="B481">
        <f t="shared" si="35"/>
        <v>7</v>
      </c>
      <c r="C481">
        <f t="shared" si="36"/>
        <v>11</v>
      </c>
      <c r="D481">
        <f t="shared" si="37"/>
        <v>34</v>
      </c>
      <c r="E481">
        <f t="shared" si="38"/>
        <v>33660</v>
      </c>
      <c r="F481" t="str">
        <f t="shared" si="39"/>
        <v>Swift Pink Hawkstrider</v>
      </c>
    </row>
    <row r="482" spans="1:6" x14ac:dyDescent="0.35">
      <c r="A482" t="s">
        <v>707</v>
      </c>
      <c r="B482">
        <f t="shared" si="35"/>
        <v>7</v>
      </c>
      <c r="C482">
        <f t="shared" si="36"/>
        <v>11</v>
      </c>
      <c r="D482">
        <f t="shared" si="37"/>
        <v>31</v>
      </c>
      <c r="E482">
        <f t="shared" si="38"/>
        <v>49379</v>
      </c>
      <c r="F482" t="str">
        <f t="shared" si="39"/>
        <v>Great Brewfest Kodo</v>
      </c>
    </row>
    <row r="483" spans="1:6" x14ac:dyDescent="0.35">
      <c r="A483" t="s">
        <v>893</v>
      </c>
      <c r="B483">
        <f t="shared" si="35"/>
        <v>7</v>
      </c>
      <c r="C483">
        <f t="shared" si="36"/>
        <v>11</v>
      </c>
      <c r="D483">
        <f t="shared" si="37"/>
        <v>38</v>
      </c>
      <c r="E483">
        <f t="shared" si="38"/>
        <v>88718</v>
      </c>
      <c r="F483" t="str">
        <f t="shared" si="39"/>
        <v>Phosphorescent Stone Drake</v>
      </c>
    </row>
    <row r="484" spans="1:6" x14ac:dyDescent="0.35">
      <c r="A484" t="s">
        <v>894</v>
      </c>
      <c r="B484">
        <f t="shared" si="35"/>
        <v>7</v>
      </c>
      <c r="C484">
        <f t="shared" si="36"/>
        <v>11</v>
      </c>
      <c r="D484">
        <f t="shared" si="37"/>
        <v>29</v>
      </c>
      <c r="E484">
        <f t="shared" si="38"/>
        <v>88750</v>
      </c>
      <c r="F484" t="str">
        <f t="shared" si="39"/>
        <v>Grey Riding Camel</v>
      </c>
    </row>
    <row r="485" spans="1:6" x14ac:dyDescent="0.35">
      <c r="A485" t="s">
        <v>895</v>
      </c>
      <c r="B485">
        <f t="shared" si="35"/>
        <v>7</v>
      </c>
      <c r="C485">
        <f t="shared" si="36"/>
        <v>11</v>
      </c>
      <c r="D485">
        <f t="shared" si="37"/>
        <v>29</v>
      </c>
      <c r="E485">
        <f t="shared" si="38"/>
        <v>59785</v>
      </c>
      <c r="F485" t="str">
        <f t="shared" si="39"/>
        <v>Black War Mammoth</v>
      </c>
    </row>
    <row r="486" spans="1:6" x14ac:dyDescent="0.35">
      <c r="A486" t="s">
        <v>896</v>
      </c>
      <c r="B486">
        <f t="shared" si="35"/>
        <v>7</v>
      </c>
      <c r="C486">
        <f t="shared" si="36"/>
        <v>11</v>
      </c>
      <c r="D486">
        <f t="shared" si="37"/>
        <v>27</v>
      </c>
      <c r="E486">
        <f t="shared" si="38"/>
        <v>97501</v>
      </c>
      <c r="F486" t="str">
        <f t="shared" si="39"/>
        <v>Green Fire Hawk</v>
      </c>
    </row>
    <row r="487" spans="1:6" x14ac:dyDescent="0.35">
      <c r="A487" t="s">
        <v>897</v>
      </c>
      <c r="B487">
        <f t="shared" si="35"/>
        <v>7</v>
      </c>
      <c r="C487">
        <f t="shared" si="36"/>
        <v>11</v>
      </c>
      <c r="D487">
        <f t="shared" si="37"/>
        <v>25</v>
      </c>
      <c r="E487">
        <f t="shared" si="38"/>
        <v>32240</v>
      </c>
      <c r="F487" t="str">
        <f t="shared" si="39"/>
        <v>Snowy Gryphon</v>
      </c>
    </row>
    <row r="488" spans="1:6" x14ac:dyDescent="0.35">
      <c r="A488" t="s">
        <v>898</v>
      </c>
      <c r="B488">
        <f t="shared" si="35"/>
        <v>7</v>
      </c>
      <c r="C488">
        <f t="shared" si="36"/>
        <v>11</v>
      </c>
      <c r="D488">
        <f t="shared" si="37"/>
        <v>26</v>
      </c>
      <c r="E488">
        <f t="shared" si="38"/>
        <v>36702</v>
      </c>
      <c r="F488" t="str">
        <f t="shared" si="39"/>
        <v>Fiery Warhorse</v>
      </c>
    </row>
    <row r="489" spans="1:6" x14ac:dyDescent="0.35">
      <c r="A489" t="s">
        <v>899</v>
      </c>
      <c r="B489">
        <f t="shared" si="35"/>
        <v>7</v>
      </c>
      <c r="C489">
        <f t="shared" si="36"/>
        <v>11</v>
      </c>
      <c r="D489">
        <f t="shared" si="37"/>
        <v>36</v>
      </c>
      <c r="E489">
        <f t="shared" si="38"/>
        <v>39802</v>
      </c>
      <c r="F489" t="str">
        <f t="shared" si="39"/>
        <v>Silver Riding Nether Ray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5"/>
  <sheetViews>
    <sheetView topLeftCell="A55" workbookViewId="0">
      <selection activeCell="Q7" sqref="Q7"/>
    </sheetView>
  </sheetViews>
  <sheetFormatPr defaultRowHeight="14.5" x14ac:dyDescent="0.35"/>
  <cols>
    <col min="1" max="1" width="31.6328125" style="1" bestFit="1" customWidth="1"/>
    <col min="2" max="2" width="14.1796875" bestFit="1" customWidth="1"/>
    <col min="3" max="3" width="7.90625" customWidth="1"/>
    <col min="4" max="4" width="11.1796875" customWidth="1"/>
    <col min="5" max="5" width="12.36328125" customWidth="1"/>
    <col min="6" max="6" width="14.6328125" customWidth="1"/>
    <col min="7" max="7" width="12.1796875" bestFit="1" customWidth="1"/>
    <col min="8" max="8" width="10.54296875" bestFit="1" customWidth="1"/>
    <col min="9" max="9" width="28.08984375" bestFit="1" customWidth="1"/>
    <col min="10" max="10" width="9.26953125" customWidth="1"/>
    <col min="11" max="11" width="13.1796875" bestFit="1" customWidth="1"/>
    <col min="12" max="12" width="15.08984375" customWidth="1"/>
  </cols>
  <sheetData>
    <row r="1" spans="1:12" x14ac:dyDescent="0.35">
      <c r="A1" s="1" t="s">
        <v>459</v>
      </c>
      <c r="B1" t="s">
        <v>80</v>
      </c>
      <c r="C1" t="s">
        <v>3</v>
      </c>
      <c r="D1" t="s">
        <v>396</v>
      </c>
      <c r="E1" t="s">
        <v>397</v>
      </c>
      <c r="F1" t="s">
        <v>408</v>
      </c>
      <c r="G1" t="s">
        <v>409</v>
      </c>
      <c r="H1" t="s">
        <v>1</v>
      </c>
      <c r="I1" t="s">
        <v>278</v>
      </c>
      <c r="J1" t="s">
        <v>344</v>
      </c>
      <c r="K1" t="s">
        <v>345</v>
      </c>
      <c r="L1" t="s">
        <v>405</v>
      </c>
    </row>
    <row r="2" spans="1:12" x14ac:dyDescent="0.35">
      <c r="A2" s="1" t="s">
        <v>1112</v>
      </c>
      <c r="B2" t="s">
        <v>1172</v>
      </c>
      <c r="C2">
        <v>2.8</v>
      </c>
      <c r="D2">
        <v>1.5</v>
      </c>
      <c r="E2">
        <v>0</v>
      </c>
      <c r="F2">
        <v>1</v>
      </c>
      <c r="G2">
        <v>0</v>
      </c>
      <c r="L2">
        <v>1</v>
      </c>
    </row>
    <row r="3" spans="1:12" x14ac:dyDescent="0.35">
      <c r="A3" s="1" t="s">
        <v>505</v>
      </c>
      <c r="B3" t="s">
        <v>387</v>
      </c>
      <c r="C3">
        <v>1</v>
      </c>
      <c r="D3">
        <v>1</v>
      </c>
      <c r="E3">
        <v>0</v>
      </c>
      <c r="F3">
        <v>1</v>
      </c>
      <c r="G3">
        <v>0</v>
      </c>
      <c r="L3">
        <v>1</v>
      </c>
    </row>
    <row r="4" spans="1:12" x14ac:dyDescent="0.35">
      <c r="A4" s="1" t="s">
        <v>82</v>
      </c>
      <c r="B4" t="s">
        <v>387</v>
      </c>
      <c r="C4">
        <v>1</v>
      </c>
      <c r="D4">
        <v>1</v>
      </c>
      <c r="E4">
        <v>0</v>
      </c>
      <c r="F4">
        <v>1</v>
      </c>
      <c r="G4">
        <v>0</v>
      </c>
      <c r="H4">
        <v>33809</v>
      </c>
      <c r="I4" t="s">
        <v>280</v>
      </c>
      <c r="J4">
        <v>1</v>
      </c>
      <c r="K4">
        <v>1</v>
      </c>
      <c r="L4">
        <v>1</v>
      </c>
    </row>
    <row r="5" spans="1:12" x14ac:dyDescent="0.35">
      <c r="A5" s="1" t="s">
        <v>455</v>
      </c>
      <c r="B5" t="s">
        <v>387</v>
      </c>
      <c r="C5">
        <v>1</v>
      </c>
      <c r="D5">
        <v>1</v>
      </c>
      <c r="E5">
        <v>0</v>
      </c>
      <c r="F5">
        <v>1</v>
      </c>
      <c r="G5">
        <v>0</v>
      </c>
      <c r="L5">
        <v>1</v>
      </c>
    </row>
    <row r="6" spans="1:12" x14ac:dyDescent="0.35">
      <c r="A6" s="1" t="s">
        <v>86</v>
      </c>
      <c r="B6" t="s">
        <v>387</v>
      </c>
      <c r="C6">
        <v>1</v>
      </c>
      <c r="D6">
        <v>1</v>
      </c>
      <c r="E6">
        <v>0</v>
      </c>
      <c r="F6">
        <v>1</v>
      </c>
      <c r="G6">
        <v>0</v>
      </c>
      <c r="H6">
        <v>44226</v>
      </c>
      <c r="I6" t="s">
        <v>285</v>
      </c>
      <c r="J6">
        <v>1</v>
      </c>
      <c r="K6">
        <v>1</v>
      </c>
      <c r="L6">
        <v>1</v>
      </c>
    </row>
    <row r="7" spans="1:12" x14ac:dyDescent="0.35">
      <c r="A7" s="1" t="s">
        <v>87</v>
      </c>
      <c r="B7" t="s">
        <v>387</v>
      </c>
      <c r="C7">
        <v>1</v>
      </c>
      <c r="D7">
        <v>1</v>
      </c>
      <c r="E7">
        <v>0</v>
      </c>
      <c r="F7">
        <v>1</v>
      </c>
      <c r="G7">
        <v>0</v>
      </c>
      <c r="H7">
        <v>0</v>
      </c>
      <c r="I7" t="s">
        <v>435</v>
      </c>
      <c r="J7">
        <v>1</v>
      </c>
      <c r="K7">
        <v>1</v>
      </c>
      <c r="L7">
        <v>1</v>
      </c>
    </row>
    <row r="8" spans="1:12" x14ac:dyDescent="0.35">
      <c r="A8" s="1" t="s">
        <v>352</v>
      </c>
      <c r="B8" t="s">
        <v>387</v>
      </c>
      <c r="C8">
        <v>1</v>
      </c>
      <c r="D8">
        <v>1</v>
      </c>
      <c r="E8">
        <v>0</v>
      </c>
      <c r="F8">
        <v>1</v>
      </c>
      <c r="G8">
        <v>0</v>
      </c>
      <c r="H8">
        <v>43599</v>
      </c>
      <c r="I8" t="s">
        <v>325</v>
      </c>
      <c r="J8">
        <v>1</v>
      </c>
      <c r="K8">
        <v>1</v>
      </c>
      <c r="L8">
        <v>1</v>
      </c>
    </row>
    <row r="9" spans="1:12" x14ac:dyDescent="0.35">
      <c r="A9" s="1" t="s">
        <v>91</v>
      </c>
      <c r="B9" t="s">
        <v>387</v>
      </c>
      <c r="C9">
        <v>1</v>
      </c>
      <c r="D9">
        <v>1</v>
      </c>
      <c r="E9">
        <v>0</v>
      </c>
      <c r="F9">
        <v>1</v>
      </c>
      <c r="G9">
        <v>0</v>
      </c>
      <c r="H9">
        <v>43964</v>
      </c>
      <c r="I9" t="s">
        <v>281</v>
      </c>
      <c r="J9">
        <v>1</v>
      </c>
      <c r="K9">
        <v>1</v>
      </c>
      <c r="L9">
        <v>1</v>
      </c>
    </row>
    <row r="10" spans="1:12" x14ac:dyDescent="0.35">
      <c r="A10" s="1" t="s">
        <v>96</v>
      </c>
      <c r="B10" t="s">
        <v>387</v>
      </c>
      <c r="C10">
        <v>1</v>
      </c>
      <c r="D10">
        <v>1</v>
      </c>
      <c r="E10">
        <v>0</v>
      </c>
      <c r="F10">
        <v>1</v>
      </c>
      <c r="G10">
        <v>0</v>
      </c>
      <c r="H10">
        <v>44224</v>
      </c>
      <c r="I10" t="s">
        <v>279</v>
      </c>
      <c r="K10">
        <v>1</v>
      </c>
      <c r="L10">
        <v>1</v>
      </c>
    </row>
    <row r="11" spans="1:12" x14ac:dyDescent="0.35">
      <c r="A11" s="1" t="s">
        <v>118</v>
      </c>
      <c r="B11" t="s">
        <v>387</v>
      </c>
      <c r="C11">
        <v>1</v>
      </c>
      <c r="D11">
        <v>0.6</v>
      </c>
      <c r="E11">
        <v>0</v>
      </c>
      <c r="F11">
        <v>1</v>
      </c>
      <c r="G11">
        <v>0</v>
      </c>
      <c r="L11">
        <v>1</v>
      </c>
    </row>
    <row r="12" spans="1:12" x14ac:dyDescent="0.35">
      <c r="A12" s="1" t="s">
        <v>508</v>
      </c>
      <c r="B12" t="s">
        <v>387</v>
      </c>
      <c r="C12">
        <v>1</v>
      </c>
      <c r="D12">
        <v>1</v>
      </c>
      <c r="E12">
        <v>0</v>
      </c>
      <c r="F12">
        <v>1</v>
      </c>
      <c r="G12">
        <v>0</v>
      </c>
      <c r="L12">
        <v>1</v>
      </c>
    </row>
    <row r="13" spans="1:12" x14ac:dyDescent="0.35">
      <c r="A13" s="1" t="s">
        <v>265</v>
      </c>
      <c r="B13" t="s">
        <v>387</v>
      </c>
      <c r="C13">
        <v>1</v>
      </c>
      <c r="D13">
        <v>1</v>
      </c>
      <c r="E13">
        <v>0</v>
      </c>
      <c r="F13">
        <v>1</v>
      </c>
      <c r="G13">
        <v>0</v>
      </c>
      <c r="H13">
        <v>43962</v>
      </c>
      <c r="I13" t="s">
        <v>340</v>
      </c>
      <c r="J13">
        <v>1</v>
      </c>
      <c r="K13">
        <v>1</v>
      </c>
      <c r="L13">
        <v>1</v>
      </c>
    </row>
    <row r="14" spans="1:12" x14ac:dyDescent="0.35">
      <c r="A14" s="1" t="s">
        <v>92</v>
      </c>
      <c r="B14" t="s">
        <v>377</v>
      </c>
      <c r="C14">
        <v>1</v>
      </c>
      <c r="D14">
        <v>1</v>
      </c>
      <c r="E14">
        <v>0</v>
      </c>
      <c r="F14">
        <v>1</v>
      </c>
      <c r="G14">
        <v>1</v>
      </c>
      <c r="H14">
        <v>21176</v>
      </c>
      <c r="I14" t="s">
        <v>281</v>
      </c>
      <c r="J14">
        <v>1</v>
      </c>
      <c r="K14">
        <v>1</v>
      </c>
      <c r="L14">
        <v>1</v>
      </c>
    </row>
    <row r="15" spans="1:12" x14ac:dyDescent="0.35">
      <c r="A15" s="1" t="s">
        <v>108</v>
      </c>
      <c r="B15" t="s">
        <v>377</v>
      </c>
      <c r="C15">
        <v>1</v>
      </c>
      <c r="D15">
        <v>1</v>
      </c>
      <c r="E15">
        <v>0</v>
      </c>
      <c r="F15">
        <v>0</v>
      </c>
      <c r="G15">
        <v>1</v>
      </c>
      <c r="H15">
        <v>21218</v>
      </c>
      <c r="I15" t="s">
        <v>301</v>
      </c>
      <c r="J15">
        <v>1</v>
      </c>
      <c r="K15">
        <v>1</v>
      </c>
      <c r="L15">
        <v>1</v>
      </c>
    </row>
    <row r="16" spans="1:12" x14ac:dyDescent="0.35">
      <c r="A16" s="1" t="s">
        <v>164</v>
      </c>
      <c r="B16" t="s">
        <v>377</v>
      </c>
      <c r="C16">
        <v>1</v>
      </c>
      <c r="D16">
        <v>1</v>
      </c>
      <c r="E16">
        <v>0</v>
      </c>
      <c r="F16">
        <v>0</v>
      </c>
      <c r="G16">
        <v>1</v>
      </c>
      <c r="H16">
        <v>21323</v>
      </c>
      <c r="I16" t="s">
        <v>322</v>
      </c>
      <c r="J16">
        <v>1</v>
      </c>
      <c r="K16">
        <v>1</v>
      </c>
      <c r="L16">
        <v>1</v>
      </c>
    </row>
    <row r="17" spans="1:12" x14ac:dyDescent="0.35">
      <c r="A17" s="1" t="s">
        <v>1103</v>
      </c>
      <c r="B17" t="s">
        <v>377</v>
      </c>
      <c r="C17">
        <v>1</v>
      </c>
      <c r="D17">
        <v>1</v>
      </c>
      <c r="E17">
        <v>0</v>
      </c>
      <c r="F17">
        <v>1</v>
      </c>
      <c r="G17">
        <v>1</v>
      </c>
      <c r="L17">
        <v>1</v>
      </c>
    </row>
    <row r="18" spans="1:12" x14ac:dyDescent="0.35">
      <c r="A18" s="1" t="s">
        <v>191</v>
      </c>
      <c r="B18" t="s">
        <v>377</v>
      </c>
      <c r="C18">
        <v>1</v>
      </c>
      <c r="D18">
        <v>1</v>
      </c>
      <c r="E18">
        <v>0</v>
      </c>
      <c r="F18">
        <v>0</v>
      </c>
      <c r="G18">
        <v>1</v>
      </c>
      <c r="H18">
        <v>21321</v>
      </c>
      <c r="I18" t="s">
        <v>322</v>
      </c>
      <c r="J18">
        <v>1</v>
      </c>
      <c r="K18">
        <v>1</v>
      </c>
      <c r="L18">
        <v>1</v>
      </c>
    </row>
    <row r="19" spans="1:12" x14ac:dyDescent="0.35">
      <c r="A19" s="1" t="s">
        <v>526</v>
      </c>
      <c r="B19" t="s">
        <v>377</v>
      </c>
      <c r="C19">
        <v>1</v>
      </c>
      <c r="D19">
        <v>1</v>
      </c>
      <c r="E19">
        <v>0</v>
      </c>
      <c r="F19">
        <v>1</v>
      </c>
      <c r="G19">
        <v>1</v>
      </c>
      <c r="L19">
        <v>1</v>
      </c>
    </row>
    <row r="20" spans="1:12" x14ac:dyDescent="0.35">
      <c r="A20" s="1" t="s">
        <v>275</v>
      </c>
      <c r="B20" t="s">
        <v>377</v>
      </c>
      <c r="C20">
        <v>1</v>
      </c>
      <c r="D20">
        <v>1</v>
      </c>
      <c r="E20">
        <v>0</v>
      </c>
      <c r="F20">
        <v>0</v>
      </c>
      <c r="G20">
        <v>1</v>
      </c>
      <c r="H20">
        <v>21324</v>
      </c>
      <c r="I20" t="s">
        <v>322</v>
      </c>
      <c r="J20">
        <v>1</v>
      </c>
      <c r="K20">
        <v>1</v>
      </c>
      <c r="L20">
        <v>1</v>
      </c>
    </row>
    <row r="21" spans="1:12" x14ac:dyDescent="0.35">
      <c r="A21" s="1" t="s">
        <v>531</v>
      </c>
      <c r="B21" t="s">
        <v>467</v>
      </c>
      <c r="C21">
        <v>1</v>
      </c>
      <c r="D21">
        <v>1</v>
      </c>
      <c r="E21">
        <v>0</v>
      </c>
      <c r="F21">
        <v>1</v>
      </c>
      <c r="G21">
        <v>0</v>
      </c>
      <c r="L21">
        <v>1</v>
      </c>
    </row>
    <row r="22" spans="1:12" x14ac:dyDescent="0.35">
      <c r="A22" s="1" t="s">
        <v>457</v>
      </c>
      <c r="B22" t="s">
        <v>467</v>
      </c>
      <c r="C22">
        <v>1</v>
      </c>
      <c r="D22">
        <v>1</v>
      </c>
      <c r="E22">
        <v>0</v>
      </c>
      <c r="F22">
        <v>1</v>
      </c>
      <c r="G22">
        <v>0</v>
      </c>
      <c r="L22">
        <v>1</v>
      </c>
    </row>
    <row r="23" spans="1:12" x14ac:dyDescent="0.35">
      <c r="A23" s="1" t="s">
        <v>529</v>
      </c>
      <c r="B23" t="s">
        <v>467</v>
      </c>
      <c r="C23">
        <v>1</v>
      </c>
      <c r="D23">
        <v>1</v>
      </c>
      <c r="E23">
        <v>0</v>
      </c>
      <c r="F23">
        <v>1</v>
      </c>
      <c r="G23">
        <v>0</v>
      </c>
      <c r="L23">
        <v>1</v>
      </c>
    </row>
    <row r="24" spans="1:12" x14ac:dyDescent="0.35">
      <c r="A24" s="1" t="s">
        <v>517</v>
      </c>
      <c r="B24" t="s">
        <v>467</v>
      </c>
      <c r="C24">
        <v>1</v>
      </c>
      <c r="D24">
        <v>1</v>
      </c>
      <c r="E24">
        <v>0</v>
      </c>
      <c r="F24">
        <v>1</v>
      </c>
      <c r="G24">
        <v>0</v>
      </c>
      <c r="L24">
        <v>1</v>
      </c>
    </row>
    <row r="25" spans="1:12" x14ac:dyDescent="0.35">
      <c r="A25" s="1" t="s">
        <v>26</v>
      </c>
      <c r="B25" t="s">
        <v>392</v>
      </c>
      <c r="C25">
        <v>1.5</v>
      </c>
      <c r="D25">
        <v>1.5</v>
      </c>
      <c r="E25">
        <v>0</v>
      </c>
      <c r="F25">
        <v>1</v>
      </c>
      <c r="G25">
        <v>0</v>
      </c>
      <c r="H25">
        <v>44554</v>
      </c>
      <c r="I25" t="s">
        <v>313</v>
      </c>
      <c r="J25">
        <v>1</v>
      </c>
      <c r="K25">
        <v>1</v>
      </c>
      <c r="L25">
        <v>1</v>
      </c>
    </row>
    <row r="26" spans="1:12" x14ac:dyDescent="0.35">
      <c r="A26" s="1" t="s">
        <v>30</v>
      </c>
      <c r="B26" t="s">
        <v>392</v>
      </c>
      <c r="C26">
        <v>2.8</v>
      </c>
      <c r="D26">
        <v>2.8</v>
      </c>
      <c r="E26">
        <v>0</v>
      </c>
      <c r="F26">
        <v>1</v>
      </c>
      <c r="G26">
        <v>0</v>
      </c>
      <c r="H26">
        <v>54797</v>
      </c>
      <c r="I26" t="s">
        <v>313</v>
      </c>
      <c r="J26">
        <v>1</v>
      </c>
      <c r="K26">
        <v>1</v>
      </c>
      <c r="L26">
        <v>1</v>
      </c>
    </row>
    <row r="27" spans="1:12" x14ac:dyDescent="0.35">
      <c r="A27" s="1" t="s">
        <v>38</v>
      </c>
      <c r="B27" t="s">
        <v>392</v>
      </c>
      <c r="C27">
        <v>2.8</v>
      </c>
      <c r="D27">
        <v>2.8</v>
      </c>
      <c r="E27">
        <v>0</v>
      </c>
      <c r="F27">
        <v>1</v>
      </c>
      <c r="G27">
        <v>0</v>
      </c>
      <c r="H27">
        <v>44558</v>
      </c>
      <c r="I27" t="s">
        <v>313</v>
      </c>
      <c r="J27">
        <v>1</v>
      </c>
      <c r="K27">
        <v>1</v>
      </c>
      <c r="L27">
        <v>1</v>
      </c>
    </row>
    <row r="28" spans="1:12" x14ac:dyDescent="0.35">
      <c r="A28" s="1" t="s">
        <v>1086</v>
      </c>
      <c r="B28" t="s">
        <v>1167</v>
      </c>
      <c r="C28">
        <v>1</v>
      </c>
      <c r="D28">
        <v>1</v>
      </c>
      <c r="E28">
        <v>0</v>
      </c>
      <c r="F28">
        <v>1</v>
      </c>
      <c r="G28">
        <v>0</v>
      </c>
      <c r="L28">
        <v>1</v>
      </c>
    </row>
    <row r="29" spans="1:12" x14ac:dyDescent="0.35">
      <c r="A29" s="1" t="s">
        <v>1085</v>
      </c>
      <c r="B29" t="s">
        <v>1167</v>
      </c>
      <c r="C29">
        <v>1</v>
      </c>
      <c r="D29">
        <v>1</v>
      </c>
      <c r="E29">
        <v>0</v>
      </c>
      <c r="F29">
        <v>1</v>
      </c>
      <c r="G29">
        <v>0</v>
      </c>
      <c r="L29">
        <v>1</v>
      </c>
    </row>
    <row r="30" spans="1:12" x14ac:dyDescent="0.35">
      <c r="A30" s="1" t="s">
        <v>1118</v>
      </c>
      <c r="B30" t="s">
        <v>1167</v>
      </c>
      <c r="C30">
        <v>1</v>
      </c>
      <c r="D30">
        <v>1</v>
      </c>
      <c r="E30">
        <v>0</v>
      </c>
      <c r="F30">
        <v>1</v>
      </c>
      <c r="G30">
        <v>0</v>
      </c>
      <c r="L30">
        <v>1</v>
      </c>
    </row>
    <row r="31" spans="1:12" x14ac:dyDescent="0.35">
      <c r="A31" s="1" t="s">
        <v>1029</v>
      </c>
      <c r="B31" t="s">
        <v>1154</v>
      </c>
      <c r="C31">
        <v>2.8</v>
      </c>
      <c r="D31">
        <v>2.8</v>
      </c>
      <c r="E31">
        <v>0</v>
      </c>
      <c r="F31">
        <v>1</v>
      </c>
      <c r="G31">
        <v>0</v>
      </c>
      <c r="L31">
        <v>1</v>
      </c>
    </row>
    <row r="32" spans="1:12" x14ac:dyDescent="0.35">
      <c r="A32" s="1" t="s">
        <v>1152</v>
      </c>
      <c r="B32" t="s">
        <v>512</v>
      </c>
      <c r="C32">
        <v>2.8</v>
      </c>
      <c r="D32">
        <v>2.8</v>
      </c>
      <c r="E32">
        <v>0</v>
      </c>
      <c r="F32">
        <v>1</v>
      </c>
      <c r="G32">
        <v>0</v>
      </c>
      <c r="L32">
        <v>1</v>
      </c>
    </row>
    <row r="33" spans="1:12" x14ac:dyDescent="0.35">
      <c r="A33" s="1" t="s">
        <v>1073</v>
      </c>
      <c r="B33" t="s">
        <v>512</v>
      </c>
      <c r="C33">
        <v>2.8</v>
      </c>
      <c r="D33">
        <v>2.8</v>
      </c>
      <c r="E33">
        <v>0</v>
      </c>
      <c r="F33">
        <v>1</v>
      </c>
      <c r="G33">
        <v>0</v>
      </c>
      <c r="L33">
        <v>1</v>
      </c>
    </row>
    <row r="34" spans="1:12" x14ac:dyDescent="0.35">
      <c r="A34" s="1" t="s">
        <v>1032</v>
      </c>
      <c r="B34" t="s">
        <v>512</v>
      </c>
      <c r="C34">
        <v>2.8</v>
      </c>
      <c r="D34">
        <v>2.8</v>
      </c>
      <c r="E34">
        <v>0</v>
      </c>
      <c r="F34">
        <v>1</v>
      </c>
      <c r="G34">
        <v>0</v>
      </c>
      <c r="L34">
        <v>1</v>
      </c>
    </row>
    <row r="35" spans="1:12" x14ac:dyDescent="0.35">
      <c r="A35" s="1" t="s">
        <v>1065</v>
      </c>
      <c r="B35" t="s">
        <v>512</v>
      </c>
      <c r="C35">
        <v>2.8</v>
      </c>
      <c r="D35">
        <v>2.8</v>
      </c>
      <c r="E35">
        <v>0</v>
      </c>
      <c r="F35">
        <v>1</v>
      </c>
      <c r="G35">
        <v>0</v>
      </c>
      <c r="L35">
        <v>1</v>
      </c>
    </row>
    <row r="36" spans="1:12" x14ac:dyDescent="0.35">
      <c r="A36" s="1" t="s">
        <v>1072</v>
      </c>
      <c r="B36" t="s">
        <v>512</v>
      </c>
      <c r="C36">
        <v>2.8</v>
      </c>
      <c r="D36">
        <v>2.8</v>
      </c>
      <c r="E36">
        <v>0</v>
      </c>
      <c r="F36">
        <v>1</v>
      </c>
      <c r="G36">
        <v>0</v>
      </c>
      <c r="L36">
        <v>1</v>
      </c>
    </row>
    <row r="37" spans="1:12" x14ac:dyDescent="0.35">
      <c r="A37" s="1" t="s">
        <v>1035</v>
      </c>
      <c r="B37" t="s">
        <v>512</v>
      </c>
      <c r="C37">
        <v>2.8</v>
      </c>
      <c r="D37">
        <v>2.8</v>
      </c>
      <c r="E37">
        <v>0</v>
      </c>
      <c r="F37">
        <v>1</v>
      </c>
      <c r="G37">
        <v>0</v>
      </c>
      <c r="L37">
        <v>1</v>
      </c>
    </row>
    <row r="38" spans="1:12" x14ac:dyDescent="0.35">
      <c r="A38" s="1" t="s">
        <v>1150</v>
      </c>
      <c r="B38" t="s">
        <v>512</v>
      </c>
      <c r="C38">
        <v>2.8</v>
      </c>
      <c r="D38">
        <v>2.8</v>
      </c>
      <c r="E38">
        <v>0</v>
      </c>
      <c r="F38">
        <v>1</v>
      </c>
      <c r="G38">
        <v>0</v>
      </c>
      <c r="L38">
        <v>1</v>
      </c>
    </row>
    <row r="39" spans="1:12" x14ac:dyDescent="0.35">
      <c r="A39" s="1" t="s">
        <v>1131</v>
      </c>
      <c r="B39" t="s">
        <v>512</v>
      </c>
      <c r="C39">
        <v>2.8</v>
      </c>
      <c r="D39">
        <v>2.8</v>
      </c>
      <c r="E39">
        <v>0</v>
      </c>
      <c r="F39">
        <v>1</v>
      </c>
      <c r="G39">
        <v>0</v>
      </c>
      <c r="L39">
        <v>1</v>
      </c>
    </row>
    <row r="40" spans="1:12" x14ac:dyDescent="0.35">
      <c r="A40" s="1" t="s">
        <v>1061</v>
      </c>
      <c r="B40" t="s">
        <v>512</v>
      </c>
      <c r="C40">
        <v>2.8</v>
      </c>
      <c r="D40">
        <v>2.8</v>
      </c>
      <c r="E40">
        <v>0</v>
      </c>
      <c r="F40">
        <v>1</v>
      </c>
      <c r="G40">
        <v>0</v>
      </c>
      <c r="L40">
        <v>1</v>
      </c>
    </row>
    <row r="41" spans="1:12" x14ac:dyDescent="0.35">
      <c r="A41" s="1" t="s">
        <v>1140</v>
      </c>
      <c r="B41" t="s">
        <v>512</v>
      </c>
      <c r="C41">
        <v>2.8</v>
      </c>
      <c r="D41">
        <v>2.8</v>
      </c>
      <c r="E41">
        <v>0</v>
      </c>
      <c r="F41">
        <v>1</v>
      </c>
      <c r="G41">
        <v>0</v>
      </c>
      <c r="L41">
        <v>1</v>
      </c>
    </row>
    <row r="42" spans="1:12" x14ac:dyDescent="0.35">
      <c r="A42" s="1" t="s">
        <v>1063</v>
      </c>
      <c r="B42" t="s">
        <v>512</v>
      </c>
      <c r="C42">
        <v>2.8</v>
      </c>
      <c r="D42">
        <v>2.8</v>
      </c>
      <c r="E42">
        <v>0</v>
      </c>
      <c r="F42">
        <v>1</v>
      </c>
      <c r="G42">
        <v>0</v>
      </c>
      <c r="L42">
        <v>1</v>
      </c>
    </row>
    <row r="43" spans="1:12" x14ac:dyDescent="0.35">
      <c r="A43" s="1" t="s">
        <v>1077</v>
      </c>
      <c r="B43" t="s">
        <v>512</v>
      </c>
      <c r="C43">
        <v>2.8</v>
      </c>
      <c r="D43">
        <v>2.8</v>
      </c>
      <c r="E43">
        <v>0</v>
      </c>
      <c r="F43">
        <v>1</v>
      </c>
      <c r="G43">
        <v>0</v>
      </c>
      <c r="L43">
        <v>1</v>
      </c>
    </row>
    <row r="44" spans="1:12" x14ac:dyDescent="0.35">
      <c r="A44" s="1" t="s">
        <v>1043</v>
      </c>
      <c r="B44" t="s">
        <v>512</v>
      </c>
      <c r="C44">
        <v>2.8</v>
      </c>
      <c r="D44">
        <v>2.8</v>
      </c>
      <c r="E44">
        <v>0</v>
      </c>
      <c r="F44">
        <v>1</v>
      </c>
      <c r="G44">
        <v>0</v>
      </c>
      <c r="L44">
        <v>1</v>
      </c>
    </row>
    <row r="45" spans="1:12" x14ac:dyDescent="0.35">
      <c r="A45" s="1" t="s">
        <v>1066</v>
      </c>
      <c r="B45" t="s">
        <v>512</v>
      </c>
      <c r="C45">
        <v>2.8</v>
      </c>
      <c r="D45">
        <v>2.8</v>
      </c>
      <c r="E45">
        <v>0</v>
      </c>
      <c r="F45">
        <v>1</v>
      </c>
      <c r="G45">
        <v>0</v>
      </c>
      <c r="L45">
        <v>1</v>
      </c>
    </row>
    <row r="46" spans="1:12" x14ac:dyDescent="0.35">
      <c r="A46" s="1" t="s">
        <v>1034</v>
      </c>
      <c r="B46" t="s">
        <v>512</v>
      </c>
      <c r="C46">
        <v>2.8</v>
      </c>
      <c r="D46">
        <v>2.8</v>
      </c>
      <c r="E46">
        <v>0</v>
      </c>
      <c r="F46">
        <v>1</v>
      </c>
      <c r="G46">
        <v>0</v>
      </c>
      <c r="L46">
        <v>1</v>
      </c>
    </row>
    <row r="47" spans="1:12" x14ac:dyDescent="0.35">
      <c r="A47" s="1" t="s">
        <v>483</v>
      </c>
      <c r="B47" t="s">
        <v>512</v>
      </c>
      <c r="C47">
        <v>2.8</v>
      </c>
      <c r="D47">
        <v>2.8</v>
      </c>
      <c r="E47">
        <v>0</v>
      </c>
      <c r="F47">
        <v>1</v>
      </c>
      <c r="G47">
        <v>0</v>
      </c>
      <c r="L47">
        <v>1</v>
      </c>
    </row>
    <row r="48" spans="1:12" x14ac:dyDescent="0.35">
      <c r="A48" s="1" t="s">
        <v>1055</v>
      </c>
      <c r="B48" t="s">
        <v>512</v>
      </c>
      <c r="C48">
        <v>2.8</v>
      </c>
      <c r="D48">
        <v>2.8</v>
      </c>
      <c r="E48">
        <v>0</v>
      </c>
      <c r="F48">
        <v>1</v>
      </c>
      <c r="G48">
        <v>0</v>
      </c>
      <c r="L48">
        <v>1</v>
      </c>
    </row>
    <row r="49" spans="1:12" x14ac:dyDescent="0.35">
      <c r="A49" s="1" t="s">
        <v>1051</v>
      </c>
      <c r="B49" t="s">
        <v>512</v>
      </c>
      <c r="C49">
        <v>2.8</v>
      </c>
      <c r="D49">
        <v>2.8</v>
      </c>
      <c r="E49">
        <v>0</v>
      </c>
      <c r="F49">
        <v>1</v>
      </c>
      <c r="G49">
        <v>0</v>
      </c>
      <c r="L49">
        <v>1</v>
      </c>
    </row>
    <row r="50" spans="1:12" x14ac:dyDescent="0.35">
      <c r="A50" s="1" t="s">
        <v>1071</v>
      </c>
      <c r="B50" t="s">
        <v>512</v>
      </c>
      <c r="C50">
        <v>2.8</v>
      </c>
      <c r="D50">
        <v>2.8</v>
      </c>
      <c r="E50">
        <v>0</v>
      </c>
      <c r="F50">
        <v>1</v>
      </c>
      <c r="G50">
        <v>0</v>
      </c>
      <c r="L50">
        <v>1</v>
      </c>
    </row>
    <row r="51" spans="1:12" x14ac:dyDescent="0.35">
      <c r="A51" s="1" t="s">
        <v>1036</v>
      </c>
      <c r="B51" t="s">
        <v>512</v>
      </c>
      <c r="C51">
        <v>2.8</v>
      </c>
      <c r="D51">
        <v>2.8</v>
      </c>
      <c r="E51">
        <v>0</v>
      </c>
      <c r="F51">
        <v>1</v>
      </c>
      <c r="G51">
        <v>0</v>
      </c>
      <c r="L51">
        <v>1</v>
      </c>
    </row>
    <row r="52" spans="1:12" x14ac:dyDescent="0.35">
      <c r="A52" s="1" t="s">
        <v>1042</v>
      </c>
      <c r="B52" t="s">
        <v>512</v>
      </c>
      <c r="C52">
        <v>2.8</v>
      </c>
      <c r="D52">
        <v>2.8</v>
      </c>
      <c r="E52">
        <v>0</v>
      </c>
      <c r="F52">
        <v>1</v>
      </c>
      <c r="G52">
        <v>0</v>
      </c>
      <c r="L52">
        <v>1</v>
      </c>
    </row>
    <row r="53" spans="1:12" x14ac:dyDescent="0.35">
      <c r="A53" s="1" t="s">
        <v>1145</v>
      </c>
      <c r="B53" t="s">
        <v>512</v>
      </c>
      <c r="C53">
        <v>2.8</v>
      </c>
      <c r="D53">
        <v>2.8</v>
      </c>
      <c r="E53">
        <v>0</v>
      </c>
      <c r="F53">
        <v>1</v>
      </c>
      <c r="G53">
        <v>0</v>
      </c>
      <c r="L53">
        <v>1</v>
      </c>
    </row>
    <row r="54" spans="1:12" x14ac:dyDescent="0.35">
      <c r="A54" s="1" t="s">
        <v>1134</v>
      </c>
      <c r="B54" t="s">
        <v>1157</v>
      </c>
      <c r="C54">
        <v>1</v>
      </c>
      <c r="D54">
        <v>1</v>
      </c>
      <c r="E54">
        <v>0</v>
      </c>
      <c r="F54">
        <v>1</v>
      </c>
      <c r="G54">
        <v>0</v>
      </c>
      <c r="L54">
        <v>1</v>
      </c>
    </row>
    <row r="55" spans="1:12" x14ac:dyDescent="0.35">
      <c r="A55" s="1" t="s">
        <v>1033</v>
      </c>
      <c r="B55" t="s">
        <v>1157</v>
      </c>
      <c r="C55">
        <v>1</v>
      </c>
      <c r="D55">
        <v>1</v>
      </c>
      <c r="E55">
        <v>0</v>
      </c>
      <c r="F55">
        <v>1</v>
      </c>
      <c r="G55">
        <v>0</v>
      </c>
      <c r="L55">
        <v>1</v>
      </c>
    </row>
    <row r="56" spans="1:12" x14ac:dyDescent="0.35">
      <c r="A56" s="1" t="s">
        <v>1045</v>
      </c>
      <c r="B56" t="s">
        <v>1157</v>
      </c>
      <c r="C56">
        <v>1</v>
      </c>
      <c r="D56">
        <v>1</v>
      </c>
      <c r="E56">
        <v>0</v>
      </c>
      <c r="F56">
        <v>1</v>
      </c>
      <c r="G56">
        <v>0</v>
      </c>
      <c r="L56">
        <v>1</v>
      </c>
    </row>
    <row r="57" spans="1:12" x14ac:dyDescent="0.35">
      <c r="A57" s="1" t="s">
        <v>1059</v>
      </c>
      <c r="B57" t="s">
        <v>1157</v>
      </c>
      <c r="C57">
        <v>1</v>
      </c>
      <c r="D57">
        <v>1</v>
      </c>
      <c r="E57">
        <v>0</v>
      </c>
      <c r="F57">
        <v>1</v>
      </c>
      <c r="G57">
        <v>0</v>
      </c>
      <c r="L57">
        <v>1</v>
      </c>
    </row>
    <row r="58" spans="1:12" x14ac:dyDescent="0.35">
      <c r="A58" s="1" t="s">
        <v>1052</v>
      </c>
      <c r="B58" t="s">
        <v>1157</v>
      </c>
      <c r="C58">
        <v>1</v>
      </c>
      <c r="D58">
        <v>1</v>
      </c>
      <c r="E58">
        <v>0</v>
      </c>
      <c r="F58">
        <v>1</v>
      </c>
      <c r="G58">
        <v>0</v>
      </c>
      <c r="L58">
        <v>1</v>
      </c>
    </row>
    <row r="59" spans="1:12" x14ac:dyDescent="0.35">
      <c r="A59" s="1" t="s">
        <v>94</v>
      </c>
      <c r="B59" t="s">
        <v>374</v>
      </c>
      <c r="C59">
        <v>0.6</v>
      </c>
      <c r="D59">
        <v>0.6</v>
      </c>
      <c r="E59">
        <v>0</v>
      </c>
      <c r="F59">
        <v>1</v>
      </c>
      <c r="G59">
        <v>0</v>
      </c>
      <c r="H59">
        <v>46308</v>
      </c>
      <c r="I59" t="s">
        <v>285</v>
      </c>
      <c r="K59">
        <v>1</v>
      </c>
      <c r="L59">
        <v>1</v>
      </c>
    </row>
    <row r="60" spans="1:12" x14ac:dyDescent="0.35">
      <c r="A60" s="1" t="s">
        <v>110</v>
      </c>
      <c r="B60" t="s">
        <v>374</v>
      </c>
      <c r="C60">
        <v>0.6</v>
      </c>
      <c r="D60">
        <v>0.6</v>
      </c>
      <c r="E60">
        <v>0</v>
      </c>
      <c r="F60">
        <v>1</v>
      </c>
      <c r="G60">
        <v>0</v>
      </c>
      <c r="H60">
        <v>46308</v>
      </c>
      <c r="I60" t="s">
        <v>363</v>
      </c>
      <c r="K60">
        <v>1</v>
      </c>
      <c r="L60">
        <v>1</v>
      </c>
    </row>
    <row r="61" spans="1:12" x14ac:dyDescent="0.35">
      <c r="A61" s="1" t="s">
        <v>111</v>
      </c>
      <c r="B61" t="s">
        <v>374</v>
      </c>
      <c r="C61">
        <v>1</v>
      </c>
      <c r="D61">
        <v>1</v>
      </c>
      <c r="E61">
        <v>0</v>
      </c>
      <c r="F61">
        <v>1</v>
      </c>
      <c r="G61">
        <v>0</v>
      </c>
      <c r="H61">
        <v>46101</v>
      </c>
      <c r="I61" t="s">
        <v>281</v>
      </c>
      <c r="K61">
        <v>1</v>
      </c>
      <c r="L61">
        <v>1</v>
      </c>
    </row>
    <row r="62" spans="1:12" x14ac:dyDescent="0.35">
      <c r="A62" s="1" t="s">
        <v>126</v>
      </c>
      <c r="B62" t="s">
        <v>374</v>
      </c>
      <c r="C62">
        <v>1</v>
      </c>
      <c r="D62">
        <v>1</v>
      </c>
      <c r="E62">
        <v>0</v>
      </c>
      <c r="F62">
        <v>1</v>
      </c>
      <c r="G62">
        <v>0</v>
      </c>
      <c r="H62">
        <v>52200</v>
      </c>
      <c r="I62" t="s">
        <v>309</v>
      </c>
      <c r="J62">
        <v>1</v>
      </c>
      <c r="K62">
        <v>1</v>
      </c>
      <c r="L62">
        <v>1</v>
      </c>
    </row>
    <row r="63" spans="1:12" x14ac:dyDescent="0.35">
      <c r="A63" s="1" t="s">
        <v>471</v>
      </c>
      <c r="B63" t="s">
        <v>374</v>
      </c>
      <c r="C63">
        <v>1</v>
      </c>
      <c r="D63">
        <v>1</v>
      </c>
      <c r="E63">
        <v>0</v>
      </c>
      <c r="F63">
        <v>1</v>
      </c>
      <c r="G63">
        <v>0</v>
      </c>
      <c r="L63">
        <v>1</v>
      </c>
    </row>
    <row r="64" spans="1:12" x14ac:dyDescent="0.35">
      <c r="A64" s="1" t="s">
        <v>165</v>
      </c>
      <c r="B64" t="s">
        <v>374</v>
      </c>
      <c r="C64">
        <v>1</v>
      </c>
      <c r="D64">
        <v>1</v>
      </c>
      <c r="E64">
        <v>0</v>
      </c>
      <c r="F64">
        <v>1</v>
      </c>
      <c r="G64">
        <v>0</v>
      </c>
      <c r="H64">
        <v>13334</v>
      </c>
      <c r="I64" t="s">
        <v>285</v>
      </c>
      <c r="K64">
        <v>1</v>
      </c>
      <c r="L64">
        <v>1</v>
      </c>
    </row>
    <row r="65" spans="1:12" x14ac:dyDescent="0.35">
      <c r="A65" s="1" t="s">
        <v>476</v>
      </c>
      <c r="B65" t="s">
        <v>374</v>
      </c>
      <c r="C65">
        <v>2.8</v>
      </c>
      <c r="D65">
        <v>0.6</v>
      </c>
      <c r="E65">
        <v>0</v>
      </c>
      <c r="F65">
        <v>1</v>
      </c>
      <c r="G65">
        <v>0</v>
      </c>
      <c r="L65">
        <v>1</v>
      </c>
    </row>
    <row r="66" spans="1:12" x14ac:dyDescent="0.35">
      <c r="A66" s="1" t="s">
        <v>174</v>
      </c>
      <c r="B66" t="s">
        <v>374</v>
      </c>
      <c r="C66">
        <v>1</v>
      </c>
      <c r="D66">
        <v>1</v>
      </c>
      <c r="E66">
        <v>0</v>
      </c>
      <c r="F66">
        <v>1</v>
      </c>
      <c r="G66">
        <v>0</v>
      </c>
      <c r="L66">
        <v>1</v>
      </c>
    </row>
    <row r="67" spans="1:12" x14ac:dyDescent="0.35">
      <c r="A67" s="1" t="s">
        <v>176</v>
      </c>
      <c r="B67" t="s">
        <v>374</v>
      </c>
      <c r="C67">
        <v>1</v>
      </c>
      <c r="D67">
        <v>1</v>
      </c>
      <c r="E67">
        <v>0</v>
      </c>
      <c r="F67">
        <v>1</v>
      </c>
      <c r="G67">
        <v>0</v>
      </c>
      <c r="H67">
        <v>47101</v>
      </c>
      <c r="I67" t="s">
        <v>285</v>
      </c>
      <c r="K67">
        <v>1</v>
      </c>
      <c r="L67">
        <v>1</v>
      </c>
    </row>
    <row r="68" spans="1:12" x14ac:dyDescent="0.35">
      <c r="A68" s="1" t="s">
        <v>185</v>
      </c>
      <c r="B68" t="s">
        <v>374</v>
      </c>
      <c r="C68">
        <v>1</v>
      </c>
      <c r="D68">
        <v>1</v>
      </c>
      <c r="E68">
        <v>0</v>
      </c>
      <c r="F68">
        <v>1</v>
      </c>
      <c r="G68">
        <v>0</v>
      </c>
      <c r="H68">
        <v>18791</v>
      </c>
      <c r="I68" t="s">
        <v>285</v>
      </c>
      <c r="K68">
        <v>1</v>
      </c>
      <c r="L68">
        <v>1</v>
      </c>
    </row>
    <row r="69" spans="1:12" x14ac:dyDescent="0.35">
      <c r="A69" s="1" t="s">
        <v>193</v>
      </c>
      <c r="B69" t="s">
        <v>374</v>
      </c>
      <c r="C69">
        <v>1</v>
      </c>
      <c r="D69">
        <v>1</v>
      </c>
      <c r="E69">
        <v>0</v>
      </c>
      <c r="F69">
        <v>1</v>
      </c>
      <c r="G69">
        <v>0</v>
      </c>
      <c r="H69">
        <v>29470</v>
      </c>
      <c r="I69" t="s">
        <v>403</v>
      </c>
      <c r="K69">
        <v>1</v>
      </c>
      <c r="L69">
        <v>1</v>
      </c>
    </row>
    <row r="70" spans="1:12" x14ac:dyDescent="0.35">
      <c r="A70" s="1" t="s">
        <v>196</v>
      </c>
      <c r="B70" t="s">
        <v>374</v>
      </c>
      <c r="C70">
        <v>1</v>
      </c>
      <c r="D70">
        <v>1</v>
      </c>
      <c r="E70">
        <v>0</v>
      </c>
      <c r="F70">
        <v>1</v>
      </c>
      <c r="G70">
        <v>0</v>
      </c>
      <c r="H70">
        <v>13335</v>
      </c>
      <c r="I70" t="s">
        <v>333</v>
      </c>
      <c r="J70">
        <v>1</v>
      </c>
      <c r="K70">
        <v>1</v>
      </c>
      <c r="L70">
        <v>1</v>
      </c>
    </row>
    <row r="71" spans="1:12" x14ac:dyDescent="0.35">
      <c r="A71" s="1" t="s">
        <v>268</v>
      </c>
      <c r="B71" t="s">
        <v>374</v>
      </c>
      <c r="C71">
        <v>1</v>
      </c>
      <c r="D71">
        <v>1</v>
      </c>
      <c r="E71">
        <v>0</v>
      </c>
      <c r="F71">
        <v>1</v>
      </c>
      <c r="G71">
        <v>0</v>
      </c>
      <c r="H71">
        <v>46764</v>
      </c>
      <c r="I71" t="s">
        <v>283</v>
      </c>
      <c r="K71">
        <v>1</v>
      </c>
      <c r="L71">
        <v>1</v>
      </c>
    </row>
    <row r="72" spans="1:12" x14ac:dyDescent="0.35">
      <c r="A72" s="1" t="s">
        <v>81</v>
      </c>
      <c r="B72" t="s">
        <v>351</v>
      </c>
      <c r="C72">
        <v>1</v>
      </c>
      <c r="D72">
        <v>1</v>
      </c>
      <c r="E72">
        <v>0</v>
      </c>
      <c r="F72">
        <v>1</v>
      </c>
      <c r="G72">
        <v>0</v>
      </c>
      <c r="H72">
        <v>0</v>
      </c>
      <c r="I72" t="s">
        <v>351</v>
      </c>
      <c r="J72">
        <v>1</v>
      </c>
      <c r="K72">
        <v>1</v>
      </c>
      <c r="L72">
        <v>1</v>
      </c>
    </row>
    <row r="73" spans="1:12" x14ac:dyDescent="0.35">
      <c r="A73" s="1" t="s">
        <v>1064</v>
      </c>
      <c r="B73" t="s">
        <v>1164</v>
      </c>
      <c r="C73">
        <v>1</v>
      </c>
      <c r="D73">
        <v>1</v>
      </c>
      <c r="E73">
        <v>0</v>
      </c>
      <c r="F73">
        <v>1</v>
      </c>
      <c r="G73">
        <v>0</v>
      </c>
      <c r="L73">
        <v>1</v>
      </c>
    </row>
    <row r="74" spans="1:12" x14ac:dyDescent="0.35">
      <c r="A74" s="1" t="s">
        <v>1116</v>
      </c>
      <c r="B74" t="s">
        <v>1164</v>
      </c>
      <c r="C74">
        <v>1</v>
      </c>
      <c r="D74">
        <v>1</v>
      </c>
      <c r="E74">
        <v>0</v>
      </c>
      <c r="F74">
        <v>1</v>
      </c>
      <c r="G74">
        <v>0</v>
      </c>
      <c r="L74">
        <v>1</v>
      </c>
    </row>
    <row r="75" spans="1:12" x14ac:dyDescent="0.35">
      <c r="A75" s="1" t="s">
        <v>1111</v>
      </c>
      <c r="B75" t="s">
        <v>1164</v>
      </c>
      <c r="C75">
        <v>1</v>
      </c>
      <c r="D75">
        <v>1</v>
      </c>
      <c r="E75">
        <v>0</v>
      </c>
      <c r="F75">
        <v>1</v>
      </c>
      <c r="G75">
        <v>0</v>
      </c>
      <c r="L75">
        <v>1</v>
      </c>
    </row>
    <row r="76" spans="1:12" x14ac:dyDescent="0.35">
      <c r="A76" s="1" t="s">
        <v>1142</v>
      </c>
      <c r="B76" t="s">
        <v>1164</v>
      </c>
      <c r="C76">
        <v>1</v>
      </c>
      <c r="D76">
        <v>1</v>
      </c>
      <c r="E76">
        <v>0</v>
      </c>
      <c r="F76">
        <v>1</v>
      </c>
      <c r="G76">
        <v>0</v>
      </c>
      <c r="L76">
        <v>1</v>
      </c>
    </row>
    <row r="77" spans="1:12" x14ac:dyDescent="0.35">
      <c r="A77" s="1" t="s">
        <v>1075</v>
      </c>
      <c r="B77" t="s">
        <v>1164</v>
      </c>
      <c r="C77">
        <v>1</v>
      </c>
      <c r="D77">
        <v>1</v>
      </c>
      <c r="E77">
        <v>0</v>
      </c>
      <c r="F77">
        <v>1</v>
      </c>
      <c r="G77">
        <v>0</v>
      </c>
      <c r="L77">
        <v>1</v>
      </c>
    </row>
    <row r="78" spans="1:12" x14ac:dyDescent="0.35">
      <c r="A78" s="1" t="s">
        <v>1115</v>
      </c>
      <c r="B78" t="s">
        <v>1164</v>
      </c>
      <c r="C78">
        <v>1</v>
      </c>
      <c r="D78">
        <v>1</v>
      </c>
      <c r="E78">
        <v>0</v>
      </c>
      <c r="F78">
        <v>1</v>
      </c>
      <c r="G78">
        <v>0</v>
      </c>
      <c r="L78">
        <v>1</v>
      </c>
    </row>
    <row r="79" spans="1:12" x14ac:dyDescent="0.35">
      <c r="A79" s="1" t="s">
        <v>1119</v>
      </c>
      <c r="B79" t="s">
        <v>1164</v>
      </c>
      <c r="C79">
        <v>1</v>
      </c>
      <c r="D79">
        <v>1</v>
      </c>
      <c r="E79">
        <v>0</v>
      </c>
      <c r="F79">
        <v>1</v>
      </c>
      <c r="G79">
        <v>0</v>
      </c>
      <c r="L79">
        <v>1</v>
      </c>
    </row>
    <row r="80" spans="1:12" x14ac:dyDescent="0.35">
      <c r="A80" s="1" t="s">
        <v>1098</v>
      </c>
      <c r="B80" t="s">
        <v>1162</v>
      </c>
      <c r="C80">
        <v>2.8</v>
      </c>
      <c r="D80">
        <v>2.8</v>
      </c>
      <c r="E80">
        <v>0</v>
      </c>
      <c r="F80">
        <v>1</v>
      </c>
      <c r="G80">
        <v>0</v>
      </c>
      <c r="L80">
        <v>1</v>
      </c>
    </row>
    <row r="81" spans="1:12" x14ac:dyDescent="0.35">
      <c r="A81" s="1" t="s">
        <v>1046</v>
      </c>
      <c r="B81" t="s">
        <v>1156</v>
      </c>
      <c r="C81">
        <v>1</v>
      </c>
      <c r="D81">
        <v>1</v>
      </c>
      <c r="E81">
        <v>0</v>
      </c>
      <c r="F81">
        <v>1</v>
      </c>
      <c r="G81">
        <v>0</v>
      </c>
      <c r="L81">
        <v>1</v>
      </c>
    </row>
    <row r="82" spans="1:12" x14ac:dyDescent="0.35">
      <c r="A82" s="1" t="s">
        <v>1062</v>
      </c>
      <c r="B82" t="s">
        <v>1156</v>
      </c>
      <c r="C82">
        <v>1</v>
      </c>
      <c r="D82">
        <v>1</v>
      </c>
      <c r="E82">
        <v>0</v>
      </c>
      <c r="F82">
        <v>1</v>
      </c>
      <c r="G82">
        <v>0</v>
      </c>
      <c r="L82">
        <v>1</v>
      </c>
    </row>
    <row r="83" spans="1:12" x14ac:dyDescent="0.35">
      <c r="A83" s="1" t="s">
        <v>1128</v>
      </c>
      <c r="B83" t="s">
        <v>1156</v>
      </c>
      <c r="C83">
        <v>1</v>
      </c>
      <c r="D83">
        <v>1</v>
      </c>
      <c r="E83">
        <v>0</v>
      </c>
      <c r="F83">
        <v>1</v>
      </c>
      <c r="G83">
        <v>0</v>
      </c>
      <c r="L83">
        <v>1</v>
      </c>
    </row>
    <row r="84" spans="1:12" x14ac:dyDescent="0.35">
      <c r="A84" s="1" t="s">
        <v>1148</v>
      </c>
      <c r="B84" t="s">
        <v>1156</v>
      </c>
      <c r="C84">
        <v>1</v>
      </c>
      <c r="D84">
        <v>1</v>
      </c>
      <c r="E84">
        <v>0</v>
      </c>
      <c r="F84">
        <v>1</v>
      </c>
      <c r="G84">
        <v>0</v>
      </c>
      <c r="L84">
        <v>1</v>
      </c>
    </row>
    <row r="85" spans="1:12" x14ac:dyDescent="0.35">
      <c r="A85" s="1" t="s">
        <v>1031</v>
      </c>
      <c r="B85" t="s">
        <v>1156</v>
      </c>
      <c r="C85">
        <v>1</v>
      </c>
      <c r="D85">
        <v>1</v>
      </c>
      <c r="E85">
        <v>0</v>
      </c>
      <c r="F85">
        <v>1</v>
      </c>
      <c r="G85">
        <v>0</v>
      </c>
      <c r="L85">
        <v>1</v>
      </c>
    </row>
    <row r="86" spans="1:12" x14ac:dyDescent="0.35">
      <c r="A86" s="1" t="s">
        <v>1078</v>
      </c>
      <c r="B86" t="s">
        <v>1156</v>
      </c>
      <c r="C86">
        <v>1</v>
      </c>
      <c r="D86">
        <v>1</v>
      </c>
      <c r="E86">
        <v>0</v>
      </c>
      <c r="F86">
        <v>1</v>
      </c>
      <c r="G86">
        <v>0</v>
      </c>
      <c r="L86">
        <v>1</v>
      </c>
    </row>
    <row r="87" spans="1:12" x14ac:dyDescent="0.35">
      <c r="A87" s="1" t="s">
        <v>1143</v>
      </c>
      <c r="B87" t="s">
        <v>1156</v>
      </c>
      <c r="C87">
        <v>1</v>
      </c>
      <c r="D87">
        <v>1</v>
      </c>
      <c r="E87">
        <v>0</v>
      </c>
      <c r="F87">
        <v>1</v>
      </c>
      <c r="G87">
        <v>0</v>
      </c>
      <c r="L87">
        <v>1</v>
      </c>
    </row>
    <row r="88" spans="1:12" x14ac:dyDescent="0.35">
      <c r="A88" s="1" t="s">
        <v>1082</v>
      </c>
      <c r="B88" t="s">
        <v>1156</v>
      </c>
      <c r="C88">
        <v>1</v>
      </c>
      <c r="D88">
        <v>1</v>
      </c>
      <c r="E88">
        <v>0</v>
      </c>
      <c r="F88">
        <v>1</v>
      </c>
      <c r="G88">
        <v>0</v>
      </c>
      <c r="L88">
        <v>1</v>
      </c>
    </row>
    <row r="89" spans="1:12" x14ac:dyDescent="0.35">
      <c r="A89" s="1" t="s">
        <v>1057</v>
      </c>
      <c r="B89" t="s">
        <v>1156</v>
      </c>
      <c r="C89">
        <v>1</v>
      </c>
      <c r="D89">
        <v>1</v>
      </c>
      <c r="E89">
        <v>0</v>
      </c>
      <c r="F89">
        <v>1</v>
      </c>
      <c r="G89">
        <v>0</v>
      </c>
      <c r="L89">
        <v>1</v>
      </c>
    </row>
    <row r="90" spans="1:12" x14ac:dyDescent="0.35">
      <c r="A90" s="1" t="s">
        <v>1144</v>
      </c>
      <c r="B90" t="s">
        <v>1156</v>
      </c>
      <c r="C90">
        <v>1</v>
      </c>
      <c r="D90">
        <v>1</v>
      </c>
      <c r="E90">
        <v>0</v>
      </c>
      <c r="F90">
        <v>1</v>
      </c>
      <c r="G90">
        <v>0</v>
      </c>
      <c r="L90">
        <v>1</v>
      </c>
    </row>
    <row r="91" spans="1:12" x14ac:dyDescent="0.35">
      <c r="A91" s="1" t="s">
        <v>1135</v>
      </c>
      <c r="B91" t="s">
        <v>1156</v>
      </c>
      <c r="C91">
        <v>1</v>
      </c>
      <c r="D91">
        <v>1</v>
      </c>
      <c r="E91">
        <v>0</v>
      </c>
      <c r="F91">
        <v>1</v>
      </c>
      <c r="G91">
        <v>0</v>
      </c>
      <c r="L91">
        <v>1</v>
      </c>
    </row>
    <row r="92" spans="1:12" x14ac:dyDescent="0.35">
      <c r="A92" s="1" t="s">
        <v>1129</v>
      </c>
      <c r="B92" t="s">
        <v>1156</v>
      </c>
      <c r="C92">
        <v>1</v>
      </c>
      <c r="D92">
        <v>1</v>
      </c>
      <c r="E92">
        <v>0</v>
      </c>
      <c r="F92">
        <v>1</v>
      </c>
      <c r="G92">
        <v>0</v>
      </c>
      <c r="L92">
        <v>1</v>
      </c>
    </row>
    <row r="93" spans="1:12" x14ac:dyDescent="0.35">
      <c r="A93" s="1" t="s">
        <v>532</v>
      </c>
      <c r="B93" t="s">
        <v>393</v>
      </c>
      <c r="C93">
        <v>2.8</v>
      </c>
      <c r="D93">
        <v>2.8</v>
      </c>
      <c r="E93">
        <v>0</v>
      </c>
      <c r="F93">
        <v>1</v>
      </c>
      <c r="G93">
        <v>0</v>
      </c>
      <c r="L93">
        <v>1</v>
      </c>
    </row>
    <row r="94" spans="1:12" x14ac:dyDescent="0.35">
      <c r="A94" s="1" t="s">
        <v>1039</v>
      </c>
      <c r="B94" t="s">
        <v>393</v>
      </c>
      <c r="C94">
        <v>2.8</v>
      </c>
      <c r="D94">
        <v>2.8</v>
      </c>
      <c r="E94">
        <v>0</v>
      </c>
      <c r="F94">
        <v>1</v>
      </c>
      <c r="G94">
        <v>0</v>
      </c>
      <c r="L94">
        <v>1</v>
      </c>
    </row>
    <row r="95" spans="1:12" x14ac:dyDescent="0.35">
      <c r="A95" s="1" t="s">
        <v>1040</v>
      </c>
      <c r="B95" t="s">
        <v>393</v>
      </c>
      <c r="C95">
        <v>2.8</v>
      </c>
      <c r="D95">
        <v>2.8</v>
      </c>
      <c r="E95">
        <v>0</v>
      </c>
      <c r="F95">
        <v>1</v>
      </c>
      <c r="G95">
        <v>0</v>
      </c>
      <c r="L95">
        <v>1</v>
      </c>
    </row>
    <row r="96" spans="1:12" x14ac:dyDescent="0.35">
      <c r="A96" s="1" t="s">
        <v>11</v>
      </c>
      <c r="B96" t="s">
        <v>393</v>
      </c>
      <c r="C96">
        <v>2.8</v>
      </c>
      <c r="D96">
        <v>2.8</v>
      </c>
      <c r="E96">
        <v>0</v>
      </c>
      <c r="F96">
        <v>1</v>
      </c>
      <c r="G96">
        <v>0</v>
      </c>
      <c r="H96">
        <v>44857</v>
      </c>
      <c r="I96" t="s">
        <v>281</v>
      </c>
      <c r="J96">
        <v>1</v>
      </c>
      <c r="K96">
        <v>1</v>
      </c>
      <c r="L96">
        <v>1</v>
      </c>
    </row>
    <row r="97" spans="1:12" x14ac:dyDescent="0.35">
      <c r="A97" s="1" t="s">
        <v>15</v>
      </c>
      <c r="B97" t="s">
        <v>393</v>
      </c>
      <c r="C97">
        <v>2.8</v>
      </c>
      <c r="D97">
        <v>2.8</v>
      </c>
      <c r="E97">
        <v>0</v>
      </c>
      <c r="F97">
        <v>1</v>
      </c>
      <c r="G97">
        <v>0</v>
      </c>
      <c r="H97">
        <v>44843</v>
      </c>
      <c r="I97" t="s">
        <v>279</v>
      </c>
      <c r="J97">
        <v>1</v>
      </c>
      <c r="L97">
        <v>1</v>
      </c>
    </row>
    <row r="98" spans="1:12" x14ac:dyDescent="0.35">
      <c r="A98" s="1" t="s">
        <v>48</v>
      </c>
      <c r="B98" t="s">
        <v>393</v>
      </c>
      <c r="C98">
        <v>2.8</v>
      </c>
      <c r="D98">
        <v>2.8</v>
      </c>
      <c r="E98">
        <v>0</v>
      </c>
      <c r="F98">
        <v>1</v>
      </c>
      <c r="G98">
        <v>0</v>
      </c>
      <c r="H98">
        <v>44842</v>
      </c>
      <c r="I98" t="s">
        <v>279</v>
      </c>
      <c r="K98">
        <v>1</v>
      </c>
      <c r="L98">
        <v>1</v>
      </c>
    </row>
    <row r="99" spans="1:12" x14ac:dyDescent="0.35">
      <c r="A99" s="1" t="s">
        <v>57</v>
      </c>
      <c r="B99" t="s">
        <v>393</v>
      </c>
      <c r="C99">
        <v>2.8</v>
      </c>
      <c r="D99">
        <v>2.8</v>
      </c>
      <c r="E99">
        <v>0</v>
      </c>
      <c r="F99">
        <v>1</v>
      </c>
      <c r="G99">
        <v>0</v>
      </c>
      <c r="H99">
        <v>46814</v>
      </c>
      <c r="I99" t="s">
        <v>283</v>
      </c>
      <c r="K99">
        <v>1</v>
      </c>
      <c r="L99">
        <v>1</v>
      </c>
    </row>
    <row r="100" spans="1:12" x14ac:dyDescent="0.35">
      <c r="A100" s="1" t="s">
        <v>4</v>
      </c>
      <c r="B100" t="s">
        <v>376</v>
      </c>
      <c r="C100">
        <v>2.8</v>
      </c>
      <c r="D100">
        <v>2.8</v>
      </c>
      <c r="E100">
        <v>0</v>
      </c>
      <c r="F100">
        <v>1</v>
      </c>
      <c r="G100">
        <v>0</v>
      </c>
      <c r="H100">
        <v>44178</v>
      </c>
      <c r="I100" t="s">
        <v>279</v>
      </c>
      <c r="J100">
        <v>1</v>
      </c>
      <c r="K100">
        <v>1</v>
      </c>
      <c r="L100">
        <v>1</v>
      </c>
    </row>
    <row r="101" spans="1:12" x14ac:dyDescent="0.35">
      <c r="A101" s="1" t="s">
        <v>9</v>
      </c>
      <c r="B101" t="s">
        <v>376</v>
      </c>
      <c r="C101">
        <v>2.8</v>
      </c>
      <c r="D101">
        <v>2.8</v>
      </c>
      <c r="E101">
        <v>0</v>
      </c>
      <c r="F101">
        <v>1</v>
      </c>
      <c r="G101">
        <v>0</v>
      </c>
      <c r="H101">
        <v>43952</v>
      </c>
      <c r="I101" t="s">
        <v>289</v>
      </c>
      <c r="J101">
        <v>1</v>
      </c>
      <c r="K101">
        <v>1</v>
      </c>
      <c r="L101">
        <v>1</v>
      </c>
    </row>
    <row r="102" spans="1:12" x14ac:dyDescent="0.35">
      <c r="A102" s="1" t="s">
        <v>12</v>
      </c>
      <c r="B102" t="s">
        <v>376</v>
      </c>
      <c r="C102">
        <v>2.8</v>
      </c>
      <c r="D102">
        <v>2.8</v>
      </c>
      <c r="E102">
        <v>0</v>
      </c>
      <c r="F102">
        <v>1</v>
      </c>
      <c r="G102">
        <v>0</v>
      </c>
      <c r="H102">
        <v>43986</v>
      </c>
      <c r="I102" t="s">
        <v>292</v>
      </c>
      <c r="J102">
        <v>1</v>
      </c>
      <c r="K102">
        <v>1</v>
      </c>
      <c r="L102">
        <v>1</v>
      </c>
    </row>
    <row r="103" spans="1:12" x14ac:dyDescent="0.35">
      <c r="A103" s="1" t="s">
        <v>446</v>
      </c>
      <c r="B103" t="s">
        <v>376</v>
      </c>
      <c r="C103">
        <v>2.8</v>
      </c>
      <c r="D103">
        <v>2.8</v>
      </c>
      <c r="E103">
        <v>0</v>
      </c>
      <c r="F103">
        <v>1</v>
      </c>
      <c r="G103">
        <v>0</v>
      </c>
      <c r="L103">
        <v>1</v>
      </c>
    </row>
    <row r="104" spans="1:12" x14ac:dyDescent="0.35">
      <c r="A104" s="1" t="s">
        <v>16</v>
      </c>
      <c r="B104" t="s">
        <v>376</v>
      </c>
      <c r="C104">
        <v>2.8</v>
      </c>
      <c r="D104">
        <v>2.8</v>
      </c>
      <c r="E104">
        <v>0</v>
      </c>
      <c r="F104">
        <v>1</v>
      </c>
      <c r="G104">
        <v>0</v>
      </c>
      <c r="H104">
        <v>43953</v>
      </c>
      <c r="I104" t="s">
        <v>299</v>
      </c>
      <c r="J104">
        <v>1</v>
      </c>
      <c r="K104">
        <v>1</v>
      </c>
      <c r="L104">
        <v>1</v>
      </c>
    </row>
    <row r="105" spans="1:12" x14ac:dyDescent="0.35">
      <c r="A105" s="1" t="s">
        <v>20</v>
      </c>
      <c r="B105" t="s">
        <v>376</v>
      </c>
      <c r="C105">
        <v>2.8</v>
      </c>
      <c r="D105">
        <v>2.8</v>
      </c>
      <c r="E105">
        <v>0</v>
      </c>
      <c r="F105">
        <v>1</v>
      </c>
      <c r="G105">
        <v>0</v>
      </c>
      <c r="H105">
        <v>43951</v>
      </c>
      <c r="I105" t="s">
        <v>304</v>
      </c>
      <c r="J105">
        <v>1</v>
      </c>
      <c r="K105">
        <v>1</v>
      </c>
      <c r="L105">
        <v>1</v>
      </c>
    </row>
    <row r="106" spans="1:12" x14ac:dyDescent="0.35">
      <c r="A106" s="1" t="s">
        <v>1068</v>
      </c>
      <c r="B106" t="s">
        <v>376</v>
      </c>
      <c r="C106">
        <v>2.8</v>
      </c>
      <c r="D106">
        <v>2.8</v>
      </c>
      <c r="E106">
        <v>0</v>
      </c>
      <c r="F106">
        <v>1</v>
      </c>
      <c r="G106">
        <v>0</v>
      </c>
      <c r="L106">
        <v>1</v>
      </c>
    </row>
    <row r="107" spans="1:12" x14ac:dyDescent="0.35">
      <c r="A107" s="1" t="s">
        <v>440</v>
      </c>
      <c r="B107" t="s">
        <v>376</v>
      </c>
      <c r="C107">
        <v>2.8</v>
      </c>
      <c r="D107">
        <v>2.8</v>
      </c>
      <c r="E107">
        <v>0</v>
      </c>
      <c r="F107">
        <v>1</v>
      </c>
      <c r="G107">
        <v>0</v>
      </c>
      <c r="L107">
        <v>1</v>
      </c>
    </row>
    <row r="108" spans="1:12" x14ac:dyDescent="0.35">
      <c r="A108" s="1" t="s">
        <v>530</v>
      </c>
      <c r="B108" t="s">
        <v>376</v>
      </c>
      <c r="C108">
        <v>2.8</v>
      </c>
      <c r="D108">
        <v>2.8</v>
      </c>
      <c r="E108">
        <v>0</v>
      </c>
      <c r="F108">
        <v>1</v>
      </c>
      <c r="G108">
        <v>0</v>
      </c>
      <c r="L108">
        <v>1</v>
      </c>
    </row>
    <row r="109" spans="1:12" x14ac:dyDescent="0.35">
      <c r="A109" s="1" t="s">
        <v>448</v>
      </c>
      <c r="B109" t="s">
        <v>376</v>
      </c>
      <c r="C109">
        <v>2.8</v>
      </c>
      <c r="D109">
        <v>2.8</v>
      </c>
      <c r="E109">
        <v>0</v>
      </c>
      <c r="F109">
        <v>1</v>
      </c>
      <c r="G109">
        <v>0</v>
      </c>
      <c r="L109">
        <v>1</v>
      </c>
    </row>
    <row r="110" spans="1:12" x14ac:dyDescent="0.35">
      <c r="A110" s="1" t="s">
        <v>533</v>
      </c>
      <c r="B110" t="s">
        <v>376</v>
      </c>
      <c r="C110">
        <v>2.8</v>
      </c>
      <c r="D110">
        <v>2.8</v>
      </c>
      <c r="E110">
        <v>0</v>
      </c>
      <c r="F110">
        <v>1</v>
      </c>
      <c r="G110">
        <v>0</v>
      </c>
      <c r="L110">
        <v>1</v>
      </c>
    </row>
    <row r="111" spans="1:12" x14ac:dyDescent="0.35">
      <c r="A111" s="1" t="s">
        <v>492</v>
      </c>
      <c r="B111" t="s">
        <v>376</v>
      </c>
      <c r="C111">
        <v>2.8</v>
      </c>
      <c r="D111">
        <v>2.8</v>
      </c>
      <c r="E111">
        <v>0</v>
      </c>
      <c r="F111">
        <v>1</v>
      </c>
      <c r="G111">
        <v>0</v>
      </c>
      <c r="L111">
        <v>1</v>
      </c>
    </row>
    <row r="112" spans="1:12" x14ac:dyDescent="0.35">
      <c r="A112" s="1" t="s">
        <v>489</v>
      </c>
      <c r="B112" t="s">
        <v>376</v>
      </c>
      <c r="C112">
        <v>2.8</v>
      </c>
      <c r="D112">
        <v>2.8</v>
      </c>
      <c r="E112">
        <v>0</v>
      </c>
      <c r="F112">
        <v>1</v>
      </c>
      <c r="G112">
        <v>0</v>
      </c>
      <c r="L112">
        <v>1</v>
      </c>
    </row>
    <row r="113" spans="1:12" x14ac:dyDescent="0.35">
      <c r="A113" s="1" t="s">
        <v>426</v>
      </c>
      <c r="B113" t="s">
        <v>376</v>
      </c>
      <c r="C113">
        <v>2.8</v>
      </c>
      <c r="D113">
        <v>0.6</v>
      </c>
      <c r="E113">
        <v>0</v>
      </c>
      <c r="F113">
        <v>1</v>
      </c>
      <c r="G113">
        <v>0</v>
      </c>
      <c r="H113">
        <v>0</v>
      </c>
      <c r="I113" t="s">
        <v>437</v>
      </c>
      <c r="J113">
        <v>1</v>
      </c>
      <c r="K113">
        <v>1</v>
      </c>
      <c r="L113">
        <v>1</v>
      </c>
    </row>
    <row r="114" spans="1:12" x14ac:dyDescent="0.35">
      <c r="A114" s="1" t="s">
        <v>900</v>
      </c>
      <c r="B114" t="s">
        <v>376</v>
      </c>
      <c r="C114">
        <v>2.8</v>
      </c>
      <c r="D114">
        <v>2.8</v>
      </c>
      <c r="E114">
        <v>0</v>
      </c>
      <c r="F114">
        <v>1</v>
      </c>
      <c r="G114">
        <v>0</v>
      </c>
      <c r="L114">
        <v>1</v>
      </c>
    </row>
    <row r="115" spans="1:12" x14ac:dyDescent="0.35">
      <c r="A115" s="1" t="s">
        <v>439</v>
      </c>
      <c r="B115" t="s">
        <v>376</v>
      </c>
      <c r="C115">
        <v>2.8</v>
      </c>
      <c r="D115">
        <v>2.8</v>
      </c>
      <c r="E115">
        <v>0</v>
      </c>
      <c r="F115">
        <v>1</v>
      </c>
      <c r="G115">
        <v>0</v>
      </c>
      <c r="L115">
        <v>1</v>
      </c>
    </row>
    <row r="116" spans="1:12" x14ac:dyDescent="0.35">
      <c r="A116" s="1" t="s">
        <v>493</v>
      </c>
      <c r="B116" t="s">
        <v>376</v>
      </c>
      <c r="C116">
        <v>2.8</v>
      </c>
      <c r="D116">
        <v>2.8</v>
      </c>
      <c r="E116">
        <v>0</v>
      </c>
      <c r="F116">
        <v>1</v>
      </c>
      <c r="G116">
        <v>0</v>
      </c>
      <c r="L116">
        <v>1</v>
      </c>
    </row>
    <row r="117" spans="1:12" x14ac:dyDescent="0.35">
      <c r="A117" s="1" t="s">
        <v>479</v>
      </c>
      <c r="B117" t="s">
        <v>511</v>
      </c>
      <c r="C117">
        <v>2.8</v>
      </c>
      <c r="D117">
        <v>2.8</v>
      </c>
      <c r="E117">
        <v>0</v>
      </c>
      <c r="F117">
        <v>1</v>
      </c>
      <c r="G117">
        <v>0</v>
      </c>
      <c r="L117">
        <v>1</v>
      </c>
    </row>
    <row r="118" spans="1:12" x14ac:dyDescent="0.35">
      <c r="A118" s="1" t="s">
        <v>429</v>
      </c>
      <c r="B118" t="s">
        <v>376</v>
      </c>
      <c r="C118">
        <v>2.8</v>
      </c>
      <c r="D118">
        <v>1.5</v>
      </c>
      <c r="E118">
        <v>0</v>
      </c>
      <c r="F118">
        <v>1</v>
      </c>
      <c r="G118">
        <v>0</v>
      </c>
      <c r="H118">
        <v>0</v>
      </c>
      <c r="I118" t="s">
        <v>433</v>
      </c>
      <c r="J118">
        <v>1</v>
      </c>
      <c r="K118">
        <v>1</v>
      </c>
      <c r="L118">
        <v>1</v>
      </c>
    </row>
    <row r="119" spans="1:12" x14ac:dyDescent="0.35">
      <c r="A119" s="1" t="s">
        <v>43</v>
      </c>
      <c r="B119" t="s">
        <v>376</v>
      </c>
      <c r="C119">
        <v>3.1</v>
      </c>
      <c r="D119">
        <v>3.1</v>
      </c>
      <c r="E119">
        <v>0</v>
      </c>
      <c r="F119">
        <v>1</v>
      </c>
      <c r="G119">
        <v>0</v>
      </c>
      <c r="H119">
        <v>49636</v>
      </c>
      <c r="I119" t="s">
        <v>329</v>
      </c>
      <c r="J119">
        <v>1</v>
      </c>
      <c r="K119">
        <v>1</v>
      </c>
      <c r="L119">
        <v>1</v>
      </c>
    </row>
    <row r="120" spans="1:12" x14ac:dyDescent="0.35">
      <c r="A120" s="1" t="s">
        <v>456</v>
      </c>
      <c r="B120" t="s">
        <v>376</v>
      </c>
      <c r="C120">
        <v>2.8</v>
      </c>
      <c r="D120">
        <v>2.8</v>
      </c>
      <c r="E120">
        <v>0</v>
      </c>
      <c r="F120">
        <v>1</v>
      </c>
      <c r="G120">
        <v>0</v>
      </c>
      <c r="L120">
        <v>1</v>
      </c>
    </row>
    <row r="121" spans="1:12" x14ac:dyDescent="0.35">
      <c r="A121" s="1" t="s">
        <v>49</v>
      </c>
      <c r="B121" t="s">
        <v>376</v>
      </c>
      <c r="C121">
        <v>2.8</v>
      </c>
      <c r="D121">
        <v>2.8</v>
      </c>
      <c r="E121">
        <v>0</v>
      </c>
      <c r="F121">
        <v>1</v>
      </c>
      <c r="G121">
        <v>0</v>
      </c>
      <c r="H121">
        <v>43955</v>
      </c>
      <c r="I121" t="s">
        <v>332</v>
      </c>
      <c r="J121">
        <v>1</v>
      </c>
      <c r="K121">
        <v>1</v>
      </c>
      <c r="L121">
        <v>1</v>
      </c>
    </row>
    <row r="122" spans="1:12" x14ac:dyDescent="0.35">
      <c r="A122" s="1" t="s">
        <v>500</v>
      </c>
      <c r="B122" t="s">
        <v>376</v>
      </c>
      <c r="C122">
        <v>2.8</v>
      </c>
      <c r="D122">
        <v>2.8</v>
      </c>
      <c r="E122">
        <v>0</v>
      </c>
      <c r="F122">
        <v>1</v>
      </c>
      <c r="G122">
        <v>0</v>
      </c>
      <c r="L122">
        <v>1</v>
      </c>
    </row>
    <row r="123" spans="1:12" x14ac:dyDescent="0.35">
      <c r="A123" s="1" t="s">
        <v>524</v>
      </c>
      <c r="B123" t="s">
        <v>376</v>
      </c>
      <c r="C123">
        <v>2.8</v>
      </c>
      <c r="D123">
        <v>2.8</v>
      </c>
      <c r="E123">
        <v>0</v>
      </c>
      <c r="F123">
        <v>1</v>
      </c>
      <c r="G123">
        <v>0</v>
      </c>
      <c r="L123">
        <v>1</v>
      </c>
    </row>
    <row r="124" spans="1:12" x14ac:dyDescent="0.35">
      <c r="A124" s="1" t="s">
        <v>1038</v>
      </c>
      <c r="B124" t="s">
        <v>376</v>
      </c>
      <c r="C124">
        <v>2.8</v>
      </c>
      <c r="D124">
        <v>2.8</v>
      </c>
      <c r="E124">
        <v>0</v>
      </c>
      <c r="F124">
        <v>1</v>
      </c>
      <c r="G124">
        <v>0</v>
      </c>
      <c r="L124">
        <v>1</v>
      </c>
    </row>
    <row r="125" spans="1:12" x14ac:dyDescent="0.35">
      <c r="A125" s="1" t="s">
        <v>70</v>
      </c>
      <c r="B125" t="s">
        <v>376</v>
      </c>
      <c r="C125">
        <v>2.8</v>
      </c>
      <c r="D125">
        <v>2.8</v>
      </c>
      <c r="E125">
        <v>0</v>
      </c>
      <c r="F125">
        <v>1</v>
      </c>
      <c r="G125">
        <v>0</v>
      </c>
      <c r="H125">
        <v>43954</v>
      </c>
      <c r="I125" t="s">
        <v>292</v>
      </c>
      <c r="J125">
        <v>1</v>
      </c>
      <c r="K125">
        <v>1</v>
      </c>
      <c r="L125">
        <v>1</v>
      </c>
    </row>
    <row r="126" spans="1:12" x14ac:dyDescent="0.35">
      <c r="A126" s="1" t="s">
        <v>494</v>
      </c>
      <c r="B126" t="s">
        <v>376</v>
      </c>
      <c r="C126">
        <v>2.8</v>
      </c>
      <c r="D126">
        <v>2.8</v>
      </c>
      <c r="E126">
        <v>0</v>
      </c>
      <c r="F126">
        <v>1</v>
      </c>
      <c r="G126">
        <v>0</v>
      </c>
      <c r="L126">
        <v>1</v>
      </c>
    </row>
    <row r="127" spans="1:12" x14ac:dyDescent="0.35">
      <c r="A127" s="1" t="s">
        <v>482</v>
      </c>
      <c r="B127" t="s">
        <v>376</v>
      </c>
      <c r="C127">
        <v>2.8</v>
      </c>
      <c r="D127">
        <v>2.8</v>
      </c>
      <c r="E127">
        <v>0</v>
      </c>
      <c r="F127">
        <v>1</v>
      </c>
      <c r="G127">
        <v>0</v>
      </c>
      <c r="L127">
        <v>1</v>
      </c>
    </row>
    <row r="128" spans="1:12" x14ac:dyDescent="0.35">
      <c r="A128" s="1" t="s">
        <v>502</v>
      </c>
      <c r="B128" t="s">
        <v>376</v>
      </c>
      <c r="C128">
        <v>2.8</v>
      </c>
      <c r="D128">
        <v>2.8</v>
      </c>
      <c r="E128">
        <v>0</v>
      </c>
      <c r="F128">
        <v>1</v>
      </c>
      <c r="G128">
        <v>0</v>
      </c>
      <c r="L128">
        <v>1</v>
      </c>
    </row>
    <row r="129" spans="1:12" x14ac:dyDescent="0.35">
      <c r="A129" s="1" t="s">
        <v>451</v>
      </c>
      <c r="B129" t="s">
        <v>376</v>
      </c>
      <c r="C129">
        <v>2.8</v>
      </c>
      <c r="D129">
        <v>2.8</v>
      </c>
      <c r="E129">
        <v>0</v>
      </c>
      <c r="F129">
        <v>1</v>
      </c>
      <c r="G129">
        <v>0</v>
      </c>
      <c r="L129">
        <v>1</v>
      </c>
    </row>
    <row r="130" spans="1:12" x14ac:dyDescent="0.35">
      <c r="A130" s="1" t="s">
        <v>441</v>
      </c>
      <c r="B130" t="s">
        <v>376</v>
      </c>
      <c r="C130">
        <v>2.8</v>
      </c>
      <c r="D130">
        <v>2.8</v>
      </c>
      <c r="E130">
        <v>0</v>
      </c>
      <c r="F130">
        <v>1</v>
      </c>
      <c r="G130">
        <v>0</v>
      </c>
      <c r="L130">
        <v>1</v>
      </c>
    </row>
    <row r="131" spans="1:12" x14ac:dyDescent="0.35">
      <c r="A131" s="1" t="s">
        <v>97</v>
      </c>
      <c r="B131" t="s">
        <v>367</v>
      </c>
      <c r="C131">
        <v>1</v>
      </c>
      <c r="D131">
        <v>1</v>
      </c>
      <c r="E131">
        <v>0</v>
      </c>
      <c r="F131">
        <v>1</v>
      </c>
      <c r="G131">
        <v>0</v>
      </c>
      <c r="H131">
        <v>35906</v>
      </c>
      <c r="I131" t="s">
        <v>403</v>
      </c>
      <c r="J131">
        <v>1</v>
      </c>
      <c r="L131">
        <v>1</v>
      </c>
    </row>
    <row r="132" spans="1:12" x14ac:dyDescent="0.35">
      <c r="A132" s="1" t="s">
        <v>115</v>
      </c>
      <c r="B132" t="s">
        <v>367</v>
      </c>
      <c r="C132">
        <v>0.6</v>
      </c>
      <c r="D132">
        <v>0.6</v>
      </c>
      <c r="E132">
        <v>0</v>
      </c>
      <c r="F132">
        <v>1</v>
      </c>
      <c r="G132">
        <v>0</v>
      </c>
      <c r="H132">
        <v>28481</v>
      </c>
      <c r="I132" t="s">
        <v>416</v>
      </c>
      <c r="J132">
        <v>1</v>
      </c>
      <c r="L132">
        <v>1</v>
      </c>
    </row>
    <row r="133" spans="1:12" x14ac:dyDescent="0.35">
      <c r="A133" s="1" t="s">
        <v>136</v>
      </c>
      <c r="B133" t="s">
        <v>367</v>
      </c>
      <c r="C133">
        <v>1</v>
      </c>
      <c r="D133">
        <v>1</v>
      </c>
      <c r="E133">
        <v>0</v>
      </c>
      <c r="F133">
        <v>1</v>
      </c>
      <c r="G133">
        <v>0</v>
      </c>
      <c r="H133">
        <v>45590</v>
      </c>
      <c r="I133" t="s">
        <v>283</v>
      </c>
      <c r="J133">
        <v>1</v>
      </c>
      <c r="L133">
        <v>1</v>
      </c>
    </row>
    <row r="134" spans="1:12" x14ac:dyDescent="0.35">
      <c r="A134" s="1" t="s">
        <v>148</v>
      </c>
      <c r="B134" t="s">
        <v>367</v>
      </c>
      <c r="C134">
        <v>0.6</v>
      </c>
      <c r="D134">
        <v>0.6</v>
      </c>
      <c r="E134">
        <v>0</v>
      </c>
      <c r="F134">
        <v>1</v>
      </c>
      <c r="G134">
        <v>0</v>
      </c>
      <c r="H134">
        <v>29744</v>
      </c>
      <c r="I134" t="s">
        <v>416</v>
      </c>
      <c r="J134">
        <v>1</v>
      </c>
      <c r="L134">
        <v>1</v>
      </c>
    </row>
    <row r="135" spans="1:12" x14ac:dyDescent="0.35">
      <c r="A135" s="1" t="s">
        <v>152</v>
      </c>
      <c r="B135" t="s">
        <v>367</v>
      </c>
      <c r="C135">
        <v>1</v>
      </c>
      <c r="D135">
        <v>1</v>
      </c>
      <c r="E135">
        <v>0</v>
      </c>
      <c r="F135">
        <v>1</v>
      </c>
      <c r="G135">
        <v>0</v>
      </c>
      <c r="H135">
        <v>29745</v>
      </c>
      <c r="I135" t="s">
        <v>416</v>
      </c>
      <c r="J135">
        <v>1</v>
      </c>
      <c r="L135">
        <v>1</v>
      </c>
    </row>
    <row r="136" spans="1:12" x14ac:dyDescent="0.35">
      <c r="A136" s="1" t="s">
        <v>158</v>
      </c>
      <c r="B136" t="s">
        <v>367</v>
      </c>
      <c r="C136">
        <v>1</v>
      </c>
      <c r="D136">
        <v>1</v>
      </c>
      <c r="E136">
        <v>0</v>
      </c>
      <c r="F136">
        <v>1</v>
      </c>
      <c r="G136">
        <v>0</v>
      </c>
      <c r="H136">
        <v>29746</v>
      </c>
      <c r="I136" t="s">
        <v>416</v>
      </c>
      <c r="J136">
        <v>1</v>
      </c>
      <c r="L136">
        <v>1</v>
      </c>
    </row>
    <row r="137" spans="1:12" x14ac:dyDescent="0.35">
      <c r="A137" s="1" t="s">
        <v>159</v>
      </c>
      <c r="B137" t="s">
        <v>367</v>
      </c>
      <c r="C137">
        <v>1</v>
      </c>
      <c r="D137">
        <v>1</v>
      </c>
      <c r="E137">
        <v>0</v>
      </c>
      <c r="F137">
        <v>1</v>
      </c>
      <c r="G137">
        <v>0</v>
      </c>
      <c r="H137">
        <v>29747</v>
      </c>
      <c r="I137" t="s">
        <v>416</v>
      </c>
      <c r="J137">
        <v>1</v>
      </c>
      <c r="L137">
        <v>1</v>
      </c>
    </row>
    <row r="138" spans="1:12" x14ac:dyDescent="0.35">
      <c r="A138" s="1" t="s">
        <v>160</v>
      </c>
      <c r="B138" t="s">
        <v>367</v>
      </c>
      <c r="C138">
        <v>1</v>
      </c>
      <c r="D138">
        <v>1</v>
      </c>
      <c r="E138">
        <v>0</v>
      </c>
      <c r="F138">
        <v>1</v>
      </c>
      <c r="G138">
        <v>0</v>
      </c>
      <c r="H138">
        <v>46756</v>
      </c>
      <c r="I138" t="s">
        <v>283</v>
      </c>
      <c r="J138">
        <v>1</v>
      </c>
      <c r="L138">
        <v>1</v>
      </c>
    </row>
    <row r="139" spans="1:12" x14ac:dyDescent="0.35">
      <c r="A139" s="1" t="s">
        <v>182</v>
      </c>
      <c r="B139" t="s">
        <v>367</v>
      </c>
      <c r="C139">
        <v>0.6</v>
      </c>
      <c r="D139">
        <v>0.6</v>
      </c>
      <c r="E139">
        <v>0</v>
      </c>
      <c r="F139">
        <v>1</v>
      </c>
      <c r="G139">
        <v>0</v>
      </c>
      <c r="H139">
        <v>29743</v>
      </c>
      <c r="I139" t="s">
        <v>416</v>
      </c>
      <c r="J139">
        <v>1</v>
      </c>
      <c r="L139">
        <v>1</v>
      </c>
    </row>
    <row r="140" spans="1:12" x14ac:dyDescent="0.35">
      <c r="A140" s="1" t="s">
        <v>475</v>
      </c>
      <c r="B140" t="s">
        <v>367</v>
      </c>
      <c r="C140">
        <v>1</v>
      </c>
      <c r="D140">
        <v>1</v>
      </c>
      <c r="E140">
        <v>0</v>
      </c>
      <c r="F140">
        <v>1</v>
      </c>
      <c r="G140">
        <v>0</v>
      </c>
      <c r="L140">
        <v>1</v>
      </c>
    </row>
    <row r="141" spans="1:12" x14ac:dyDescent="0.35">
      <c r="A141" s="1" t="s">
        <v>478</v>
      </c>
      <c r="B141" t="s">
        <v>367</v>
      </c>
      <c r="C141">
        <v>1</v>
      </c>
      <c r="D141">
        <v>1</v>
      </c>
      <c r="E141">
        <v>0</v>
      </c>
      <c r="F141">
        <v>1</v>
      </c>
      <c r="G141">
        <v>0</v>
      </c>
      <c r="L141">
        <v>1</v>
      </c>
    </row>
    <row r="142" spans="1:12" x14ac:dyDescent="0.35">
      <c r="A142" s="1" t="s">
        <v>241</v>
      </c>
      <c r="B142" t="s">
        <v>367</v>
      </c>
      <c r="C142">
        <v>1</v>
      </c>
      <c r="D142">
        <v>1</v>
      </c>
      <c r="E142">
        <v>0</v>
      </c>
      <c r="F142">
        <v>1</v>
      </c>
      <c r="G142">
        <v>0</v>
      </c>
      <c r="L142">
        <v>1</v>
      </c>
    </row>
    <row r="143" spans="1:12" x14ac:dyDescent="0.35">
      <c r="A143" s="1" t="s">
        <v>515</v>
      </c>
      <c r="B143" t="s">
        <v>513</v>
      </c>
      <c r="C143">
        <v>2.8</v>
      </c>
      <c r="D143">
        <v>2.8</v>
      </c>
      <c r="E143">
        <v>0</v>
      </c>
      <c r="F143">
        <v>1</v>
      </c>
      <c r="G143">
        <v>0</v>
      </c>
      <c r="L143">
        <v>1</v>
      </c>
    </row>
    <row r="144" spans="1:12" x14ac:dyDescent="0.35">
      <c r="A144" s="1" t="s">
        <v>491</v>
      </c>
      <c r="B144" t="s">
        <v>513</v>
      </c>
      <c r="C144">
        <v>2.8</v>
      </c>
      <c r="D144">
        <v>2.8</v>
      </c>
      <c r="E144">
        <v>0</v>
      </c>
      <c r="F144">
        <v>1</v>
      </c>
      <c r="G144">
        <v>0</v>
      </c>
      <c r="L144">
        <v>1</v>
      </c>
    </row>
    <row r="145" spans="1:12" x14ac:dyDescent="0.35">
      <c r="A145" s="1" t="s">
        <v>1109</v>
      </c>
      <c r="B145" t="s">
        <v>1171</v>
      </c>
      <c r="C145">
        <v>2.8</v>
      </c>
      <c r="D145">
        <v>2.8</v>
      </c>
      <c r="E145">
        <v>0</v>
      </c>
      <c r="F145">
        <v>1</v>
      </c>
      <c r="G145">
        <v>0</v>
      </c>
      <c r="L145">
        <v>1</v>
      </c>
    </row>
    <row r="146" spans="1:12" x14ac:dyDescent="0.35">
      <c r="A146" s="1" t="s">
        <v>1132</v>
      </c>
      <c r="B146" t="s">
        <v>407</v>
      </c>
      <c r="C146">
        <v>2.8</v>
      </c>
      <c r="D146">
        <v>2.8</v>
      </c>
      <c r="E146">
        <v>0</v>
      </c>
      <c r="F146">
        <v>1</v>
      </c>
      <c r="G146">
        <v>0</v>
      </c>
      <c r="L146">
        <v>1</v>
      </c>
    </row>
    <row r="147" spans="1:12" x14ac:dyDescent="0.35">
      <c r="A147" s="1" t="s">
        <v>406</v>
      </c>
      <c r="B147" t="s">
        <v>407</v>
      </c>
      <c r="C147">
        <v>2.8</v>
      </c>
      <c r="D147">
        <v>0.6</v>
      </c>
      <c r="E147">
        <v>0</v>
      </c>
      <c r="F147">
        <v>1</v>
      </c>
      <c r="G147">
        <v>0</v>
      </c>
      <c r="H147">
        <v>192455</v>
      </c>
      <c r="I147" t="s">
        <v>361</v>
      </c>
      <c r="J147">
        <v>1</v>
      </c>
      <c r="K147">
        <v>1</v>
      </c>
      <c r="L147">
        <v>1</v>
      </c>
    </row>
    <row r="148" spans="1:12" x14ac:dyDescent="0.35">
      <c r="A148" s="1" t="s">
        <v>1054</v>
      </c>
      <c r="B148" t="s">
        <v>407</v>
      </c>
      <c r="C148">
        <v>2.8</v>
      </c>
      <c r="D148">
        <v>2.8</v>
      </c>
      <c r="E148">
        <v>0</v>
      </c>
      <c r="F148">
        <v>1</v>
      </c>
      <c r="G148">
        <v>0</v>
      </c>
      <c r="L148">
        <v>1</v>
      </c>
    </row>
    <row r="149" spans="1:12" x14ac:dyDescent="0.35">
      <c r="A149" s="1" t="s">
        <v>1149</v>
      </c>
      <c r="B149" t="s">
        <v>1161</v>
      </c>
      <c r="C149">
        <v>1</v>
      </c>
      <c r="D149">
        <v>1</v>
      </c>
      <c r="E149">
        <v>0</v>
      </c>
      <c r="F149">
        <v>1</v>
      </c>
      <c r="G149">
        <v>0</v>
      </c>
      <c r="L149">
        <v>1</v>
      </c>
    </row>
    <row r="150" spans="1:12" x14ac:dyDescent="0.35">
      <c r="A150" s="1" t="s">
        <v>1074</v>
      </c>
      <c r="B150" t="s">
        <v>1161</v>
      </c>
      <c r="C150">
        <v>1</v>
      </c>
      <c r="D150">
        <v>1</v>
      </c>
      <c r="E150">
        <v>0</v>
      </c>
      <c r="F150">
        <v>1</v>
      </c>
      <c r="G150">
        <v>0</v>
      </c>
      <c r="L150">
        <v>1</v>
      </c>
    </row>
    <row r="151" spans="1:12" x14ac:dyDescent="0.35">
      <c r="A151" s="1" t="s">
        <v>1147</v>
      </c>
      <c r="B151" t="s">
        <v>1161</v>
      </c>
      <c r="C151">
        <v>1</v>
      </c>
      <c r="D151">
        <v>1</v>
      </c>
      <c r="E151">
        <v>0</v>
      </c>
      <c r="F151">
        <v>1</v>
      </c>
      <c r="G151">
        <v>0</v>
      </c>
      <c r="L151">
        <v>1</v>
      </c>
    </row>
    <row r="152" spans="1:12" x14ac:dyDescent="0.35">
      <c r="A152" s="1" t="s">
        <v>1097</v>
      </c>
      <c r="B152" t="s">
        <v>1169</v>
      </c>
      <c r="C152">
        <v>2.8</v>
      </c>
      <c r="D152">
        <v>2.8</v>
      </c>
      <c r="E152">
        <v>0</v>
      </c>
      <c r="F152">
        <v>1</v>
      </c>
      <c r="G152">
        <v>0</v>
      </c>
      <c r="L152">
        <v>1</v>
      </c>
    </row>
    <row r="153" spans="1:12" x14ac:dyDescent="0.35">
      <c r="A153" s="1" t="s">
        <v>1117</v>
      </c>
      <c r="B153" t="s">
        <v>1169</v>
      </c>
      <c r="C153">
        <v>2.8</v>
      </c>
      <c r="D153">
        <v>2.8</v>
      </c>
      <c r="E153">
        <v>0</v>
      </c>
      <c r="F153">
        <v>1</v>
      </c>
      <c r="G153">
        <v>0</v>
      </c>
      <c r="L153">
        <v>1</v>
      </c>
    </row>
    <row r="154" spans="1:12" x14ac:dyDescent="0.35">
      <c r="A154" s="1" t="s">
        <v>7</v>
      </c>
      <c r="B154" t="s">
        <v>380</v>
      </c>
      <c r="C154">
        <v>2.8</v>
      </c>
      <c r="D154">
        <v>2.8</v>
      </c>
      <c r="E154">
        <v>0</v>
      </c>
      <c r="F154">
        <v>1</v>
      </c>
      <c r="G154">
        <v>0</v>
      </c>
      <c r="H154">
        <v>44689</v>
      </c>
      <c r="I154" t="s">
        <v>285</v>
      </c>
      <c r="J154">
        <v>1</v>
      </c>
      <c r="L154">
        <v>1</v>
      </c>
    </row>
    <row r="155" spans="1:12" x14ac:dyDescent="0.35">
      <c r="A155" s="1" t="s">
        <v>481</v>
      </c>
      <c r="B155" t="s">
        <v>380</v>
      </c>
      <c r="C155">
        <v>2.8</v>
      </c>
      <c r="D155">
        <v>2.8</v>
      </c>
      <c r="E155">
        <v>0</v>
      </c>
      <c r="F155">
        <v>1</v>
      </c>
      <c r="G155">
        <v>0</v>
      </c>
      <c r="L155">
        <v>1</v>
      </c>
    </row>
    <row r="156" spans="1:12" x14ac:dyDescent="0.35">
      <c r="A156" s="1" t="s">
        <v>25</v>
      </c>
      <c r="B156" t="s">
        <v>380</v>
      </c>
      <c r="C156">
        <v>1.5</v>
      </c>
      <c r="D156">
        <v>1.5</v>
      </c>
      <c r="E156">
        <v>0</v>
      </c>
      <c r="F156">
        <v>1</v>
      </c>
      <c r="G156">
        <v>0</v>
      </c>
      <c r="H156">
        <v>25471</v>
      </c>
      <c r="I156" t="s">
        <v>285</v>
      </c>
      <c r="J156">
        <v>1</v>
      </c>
      <c r="L156">
        <v>1</v>
      </c>
    </row>
    <row r="157" spans="1:12" x14ac:dyDescent="0.35">
      <c r="A157" s="1" t="s">
        <v>32</v>
      </c>
      <c r="B157" t="s">
        <v>380</v>
      </c>
      <c r="C157">
        <v>1.5</v>
      </c>
      <c r="D157">
        <v>1.5</v>
      </c>
      <c r="E157">
        <v>0</v>
      </c>
      <c r="F157">
        <v>1</v>
      </c>
      <c r="G157">
        <v>0</v>
      </c>
      <c r="H157">
        <v>25470</v>
      </c>
      <c r="I157" t="s">
        <v>285</v>
      </c>
      <c r="J157">
        <v>1</v>
      </c>
      <c r="L157">
        <v>1</v>
      </c>
    </row>
    <row r="158" spans="1:12" x14ac:dyDescent="0.35">
      <c r="A158" s="1" t="s">
        <v>1044</v>
      </c>
      <c r="B158" t="s">
        <v>380</v>
      </c>
      <c r="C158">
        <v>2.8</v>
      </c>
      <c r="D158">
        <v>2.8</v>
      </c>
      <c r="E158">
        <v>0</v>
      </c>
      <c r="F158">
        <v>1</v>
      </c>
      <c r="G158">
        <v>0</v>
      </c>
      <c r="L158">
        <v>1</v>
      </c>
    </row>
    <row r="159" spans="1:12" x14ac:dyDescent="0.35">
      <c r="A159" s="1" t="s">
        <v>1122</v>
      </c>
      <c r="B159" t="s">
        <v>380</v>
      </c>
      <c r="C159">
        <v>2.8</v>
      </c>
      <c r="D159">
        <v>2.8</v>
      </c>
      <c r="E159">
        <v>0</v>
      </c>
      <c r="F159">
        <v>1</v>
      </c>
      <c r="G159">
        <v>0</v>
      </c>
      <c r="L159">
        <v>1</v>
      </c>
    </row>
    <row r="160" spans="1:12" x14ac:dyDescent="0.35">
      <c r="A160" s="1" t="s">
        <v>488</v>
      </c>
      <c r="B160" t="s">
        <v>380</v>
      </c>
      <c r="C160">
        <v>2.8</v>
      </c>
      <c r="D160">
        <v>2.8</v>
      </c>
      <c r="E160">
        <v>0</v>
      </c>
      <c r="F160">
        <v>1</v>
      </c>
      <c r="G160">
        <v>0</v>
      </c>
      <c r="L160">
        <v>1</v>
      </c>
    </row>
    <row r="161" spans="1:12" x14ac:dyDescent="0.35">
      <c r="A161" s="1" t="s">
        <v>56</v>
      </c>
      <c r="B161" t="s">
        <v>380</v>
      </c>
      <c r="C161">
        <v>1.5</v>
      </c>
      <c r="D161">
        <v>1.5</v>
      </c>
      <c r="E161">
        <v>0</v>
      </c>
      <c r="F161">
        <v>1</v>
      </c>
      <c r="G161">
        <v>0</v>
      </c>
      <c r="H161">
        <v>25472</v>
      </c>
      <c r="I161" t="s">
        <v>285</v>
      </c>
      <c r="J161">
        <v>1</v>
      </c>
      <c r="L161">
        <v>1</v>
      </c>
    </row>
    <row r="162" spans="1:12" x14ac:dyDescent="0.35">
      <c r="A162" s="1" t="s">
        <v>480</v>
      </c>
      <c r="B162" t="s">
        <v>380</v>
      </c>
      <c r="C162">
        <v>2.8</v>
      </c>
      <c r="D162">
        <v>2.8</v>
      </c>
      <c r="E162">
        <v>0</v>
      </c>
      <c r="F162">
        <v>1</v>
      </c>
      <c r="G162">
        <v>0</v>
      </c>
      <c r="L162">
        <v>1</v>
      </c>
    </row>
    <row r="163" spans="1:12" x14ac:dyDescent="0.35">
      <c r="A163" s="1" t="s">
        <v>58</v>
      </c>
      <c r="B163" t="s">
        <v>380</v>
      </c>
      <c r="C163">
        <v>2.8</v>
      </c>
      <c r="D163">
        <v>2.8</v>
      </c>
      <c r="E163">
        <v>0</v>
      </c>
      <c r="F163">
        <v>1</v>
      </c>
      <c r="G163">
        <v>0</v>
      </c>
      <c r="H163">
        <v>25473</v>
      </c>
      <c r="I163" t="s">
        <v>285</v>
      </c>
      <c r="J163">
        <v>1</v>
      </c>
      <c r="L163">
        <v>1</v>
      </c>
    </row>
    <row r="164" spans="1:12" x14ac:dyDescent="0.35">
      <c r="A164" s="1" t="s">
        <v>59</v>
      </c>
      <c r="B164" t="s">
        <v>380</v>
      </c>
      <c r="C164">
        <v>2.8</v>
      </c>
      <c r="D164">
        <v>2.8</v>
      </c>
      <c r="E164">
        <v>0</v>
      </c>
      <c r="F164">
        <v>1</v>
      </c>
      <c r="G164">
        <v>0</v>
      </c>
      <c r="H164">
        <v>25528</v>
      </c>
      <c r="I164" t="s">
        <v>285</v>
      </c>
      <c r="J164">
        <v>1</v>
      </c>
      <c r="L164">
        <v>1</v>
      </c>
    </row>
    <row r="165" spans="1:12" x14ac:dyDescent="0.35">
      <c r="A165" s="1" t="s">
        <v>62</v>
      </c>
      <c r="B165" t="s">
        <v>380</v>
      </c>
      <c r="C165">
        <v>2.8</v>
      </c>
      <c r="D165">
        <v>2.8</v>
      </c>
      <c r="E165">
        <v>0</v>
      </c>
      <c r="F165">
        <v>1</v>
      </c>
      <c r="G165">
        <v>0</v>
      </c>
      <c r="H165">
        <v>25529</v>
      </c>
      <c r="I165" t="s">
        <v>285</v>
      </c>
      <c r="J165">
        <v>1</v>
      </c>
      <c r="L165">
        <v>1</v>
      </c>
    </row>
    <row r="166" spans="1:12" x14ac:dyDescent="0.35">
      <c r="A166" s="1" t="s">
        <v>64</v>
      </c>
      <c r="B166" t="s">
        <v>380</v>
      </c>
      <c r="C166">
        <v>2.8</v>
      </c>
      <c r="D166">
        <v>2.8</v>
      </c>
      <c r="E166">
        <v>0</v>
      </c>
      <c r="F166">
        <v>1</v>
      </c>
      <c r="G166">
        <v>0</v>
      </c>
      <c r="H166">
        <v>25527</v>
      </c>
      <c r="I166" t="s">
        <v>285</v>
      </c>
      <c r="J166">
        <v>1</v>
      </c>
      <c r="L166">
        <v>1</v>
      </c>
    </row>
    <row r="167" spans="1:12" x14ac:dyDescent="0.35">
      <c r="A167" s="1" t="s">
        <v>430</v>
      </c>
      <c r="B167" t="s">
        <v>380</v>
      </c>
      <c r="C167">
        <v>2.8</v>
      </c>
      <c r="D167">
        <v>2.8</v>
      </c>
      <c r="E167">
        <v>0</v>
      </c>
      <c r="F167">
        <v>1</v>
      </c>
      <c r="G167">
        <v>0</v>
      </c>
      <c r="H167">
        <v>0</v>
      </c>
      <c r="I167" t="s">
        <v>433</v>
      </c>
      <c r="J167">
        <v>1</v>
      </c>
      <c r="K167">
        <v>1</v>
      </c>
      <c r="L167">
        <v>1</v>
      </c>
    </row>
    <row r="168" spans="1:12" x14ac:dyDescent="0.35">
      <c r="A168" s="1" t="s">
        <v>504</v>
      </c>
      <c r="B168" t="s">
        <v>380</v>
      </c>
      <c r="C168">
        <v>2.8</v>
      </c>
      <c r="D168">
        <v>2.8</v>
      </c>
      <c r="E168">
        <v>0</v>
      </c>
      <c r="F168">
        <v>1</v>
      </c>
      <c r="G168">
        <v>0</v>
      </c>
      <c r="L168">
        <v>1</v>
      </c>
    </row>
    <row r="169" spans="1:12" x14ac:dyDescent="0.35">
      <c r="A169" s="1" t="s">
        <v>89</v>
      </c>
      <c r="B169" t="s">
        <v>384</v>
      </c>
      <c r="C169">
        <v>0.6</v>
      </c>
      <c r="D169">
        <v>0.6</v>
      </c>
      <c r="E169">
        <v>0</v>
      </c>
      <c r="F169">
        <v>1</v>
      </c>
      <c r="G169">
        <v>0</v>
      </c>
      <c r="H169">
        <v>29221</v>
      </c>
      <c r="I169" t="s">
        <v>285</v>
      </c>
      <c r="K169">
        <v>1</v>
      </c>
      <c r="L169">
        <v>1</v>
      </c>
    </row>
    <row r="170" spans="1:12" x14ac:dyDescent="0.35">
      <c r="A170" s="1" t="s">
        <v>106</v>
      </c>
      <c r="B170" t="s">
        <v>384</v>
      </c>
      <c r="C170">
        <v>0.6</v>
      </c>
      <c r="D170">
        <v>0.6</v>
      </c>
      <c r="E170">
        <v>0</v>
      </c>
      <c r="F170">
        <v>1</v>
      </c>
      <c r="G170">
        <v>0</v>
      </c>
      <c r="H170">
        <v>29220</v>
      </c>
      <c r="I170" t="s">
        <v>285</v>
      </c>
      <c r="K170">
        <v>1</v>
      </c>
      <c r="L170">
        <v>1</v>
      </c>
    </row>
    <row r="171" spans="1:12" x14ac:dyDescent="0.35">
      <c r="A171" s="1" t="s">
        <v>183</v>
      </c>
      <c r="B171" t="s">
        <v>384</v>
      </c>
      <c r="C171">
        <v>0.6</v>
      </c>
      <c r="D171">
        <v>0.6</v>
      </c>
      <c r="E171">
        <v>0</v>
      </c>
      <c r="F171">
        <v>1</v>
      </c>
      <c r="G171">
        <v>0</v>
      </c>
      <c r="H171">
        <v>29222</v>
      </c>
      <c r="I171" t="s">
        <v>285</v>
      </c>
      <c r="K171">
        <v>1</v>
      </c>
      <c r="L171">
        <v>1</v>
      </c>
    </row>
    <row r="172" spans="1:12" x14ac:dyDescent="0.35">
      <c r="A172" s="1" t="s">
        <v>189</v>
      </c>
      <c r="B172" t="s">
        <v>384</v>
      </c>
      <c r="C172">
        <v>0.6</v>
      </c>
      <c r="D172">
        <v>0.6</v>
      </c>
      <c r="E172">
        <v>0</v>
      </c>
      <c r="F172">
        <v>1</v>
      </c>
      <c r="G172">
        <v>0</v>
      </c>
      <c r="H172">
        <v>28927</v>
      </c>
      <c r="I172" t="s">
        <v>285</v>
      </c>
      <c r="K172">
        <v>1</v>
      </c>
      <c r="L172">
        <v>1</v>
      </c>
    </row>
    <row r="173" spans="1:12" x14ac:dyDescent="0.35">
      <c r="A173" s="1" t="s">
        <v>199</v>
      </c>
      <c r="B173" t="s">
        <v>384</v>
      </c>
      <c r="C173">
        <v>1</v>
      </c>
      <c r="D173">
        <v>1</v>
      </c>
      <c r="E173">
        <v>0</v>
      </c>
      <c r="F173">
        <v>1</v>
      </c>
      <c r="G173">
        <v>0</v>
      </c>
      <c r="H173">
        <v>45596</v>
      </c>
      <c r="I173" t="s">
        <v>283</v>
      </c>
      <c r="K173">
        <v>1</v>
      </c>
      <c r="L173">
        <v>1</v>
      </c>
    </row>
    <row r="174" spans="1:12" x14ac:dyDescent="0.35">
      <c r="A174" s="1" t="s">
        <v>473</v>
      </c>
      <c r="B174" t="s">
        <v>384</v>
      </c>
      <c r="C174">
        <v>1</v>
      </c>
      <c r="D174">
        <v>1</v>
      </c>
      <c r="E174">
        <v>0</v>
      </c>
      <c r="F174">
        <v>1</v>
      </c>
      <c r="G174">
        <v>0</v>
      </c>
      <c r="L174">
        <v>1</v>
      </c>
    </row>
    <row r="175" spans="1:12" x14ac:dyDescent="0.35">
      <c r="A175" s="1" t="s">
        <v>211</v>
      </c>
      <c r="B175" t="s">
        <v>384</v>
      </c>
      <c r="C175">
        <v>1</v>
      </c>
      <c r="D175">
        <v>1</v>
      </c>
      <c r="E175">
        <v>0</v>
      </c>
      <c r="F175">
        <v>1</v>
      </c>
      <c r="G175">
        <v>0</v>
      </c>
      <c r="H175">
        <v>46816</v>
      </c>
      <c r="I175" t="s">
        <v>283</v>
      </c>
      <c r="K175">
        <v>1</v>
      </c>
      <c r="L175">
        <v>1</v>
      </c>
    </row>
    <row r="176" spans="1:12" x14ac:dyDescent="0.35">
      <c r="A176" s="1" t="s">
        <v>499</v>
      </c>
      <c r="B176" t="s">
        <v>384</v>
      </c>
      <c r="C176">
        <v>1</v>
      </c>
      <c r="D176">
        <v>1</v>
      </c>
      <c r="E176">
        <v>0</v>
      </c>
      <c r="F176">
        <v>1</v>
      </c>
      <c r="G176">
        <v>0</v>
      </c>
      <c r="L176">
        <v>1</v>
      </c>
    </row>
    <row r="177" spans="1:12" x14ac:dyDescent="0.35">
      <c r="A177" s="1" t="s">
        <v>224</v>
      </c>
      <c r="B177" t="s">
        <v>384</v>
      </c>
      <c r="C177">
        <v>1</v>
      </c>
      <c r="D177">
        <v>1</v>
      </c>
      <c r="E177">
        <v>0</v>
      </c>
      <c r="F177">
        <v>1</v>
      </c>
      <c r="G177">
        <v>0</v>
      </c>
      <c r="H177">
        <v>29223</v>
      </c>
      <c r="I177" t="s">
        <v>285</v>
      </c>
      <c r="K177">
        <v>1</v>
      </c>
      <c r="L177">
        <v>1</v>
      </c>
    </row>
    <row r="178" spans="1:12" x14ac:dyDescent="0.35">
      <c r="A178" s="1" t="s">
        <v>498</v>
      </c>
      <c r="B178" t="s">
        <v>384</v>
      </c>
      <c r="C178">
        <v>1</v>
      </c>
      <c r="D178">
        <v>1</v>
      </c>
      <c r="E178">
        <v>0</v>
      </c>
      <c r="F178">
        <v>1</v>
      </c>
      <c r="G178">
        <v>0</v>
      </c>
      <c r="L178">
        <v>1</v>
      </c>
    </row>
    <row r="179" spans="1:12" x14ac:dyDescent="0.35">
      <c r="A179" s="1" t="s">
        <v>232</v>
      </c>
      <c r="B179" t="s">
        <v>384</v>
      </c>
      <c r="C179">
        <v>1</v>
      </c>
      <c r="D179">
        <v>1</v>
      </c>
      <c r="E179">
        <v>0</v>
      </c>
      <c r="F179">
        <v>1</v>
      </c>
      <c r="G179">
        <v>0</v>
      </c>
      <c r="H179">
        <v>28936</v>
      </c>
      <c r="I179" t="s">
        <v>285</v>
      </c>
      <c r="K179">
        <v>1</v>
      </c>
      <c r="L179">
        <v>1</v>
      </c>
    </row>
    <row r="180" spans="1:12" x14ac:dyDescent="0.35">
      <c r="A180" s="1" t="s">
        <v>233</v>
      </c>
      <c r="B180" t="s">
        <v>384</v>
      </c>
      <c r="C180">
        <v>1</v>
      </c>
      <c r="D180">
        <v>1</v>
      </c>
      <c r="E180">
        <v>0</v>
      </c>
      <c r="F180">
        <v>1</v>
      </c>
      <c r="G180">
        <v>0</v>
      </c>
      <c r="H180">
        <v>29224</v>
      </c>
      <c r="I180" t="s">
        <v>285</v>
      </c>
      <c r="K180">
        <v>1</v>
      </c>
      <c r="L180">
        <v>1</v>
      </c>
    </row>
    <row r="181" spans="1:12" x14ac:dyDescent="0.35">
      <c r="A181" s="1" t="s">
        <v>236</v>
      </c>
      <c r="B181" t="s">
        <v>384</v>
      </c>
      <c r="C181">
        <v>1</v>
      </c>
      <c r="D181">
        <v>1</v>
      </c>
      <c r="E181">
        <v>0</v>
      </c>
      <c r="F181">
        <v>1</v>
      </c>
      <c r="G181">
        <v>0</v>
      </c>
      <c r="H181">
        <v>46751</v>
      </c>
      <c r="I181" t="s">
        <v>283</v>
      </c>
      <c r="K181">
        <v>1</v>
      </c>
      <c r="L181">
        <v>1</v>
      </c>
    </row>
    <row r="182" spans="1:12" x14ac:dyDescent="0.35">
      <c r="A182" s="1" t="s">
        <v>501</v>
      </c>
      <c r="B182" t="s">
        <v>384</v>
      </c>
      <c r="C182">
        <v>1</v>
      </c>
      <c r="D182">
        <v>1</v>
      </c>
      <c r="E182">
        <v>0</v>
      </c>
      <c r="F182">
        <v>1</v>
      </c>
      <c r="G182">
        <v>0</v>
      </c>
      <c r="L182">
        <v>1</v>
      </c>
    </row>
    <row r="183" spans="1:12" x14ac:dyDescent="0.35">
      <c r="A183" s="1" t="s">
        <v>242</v>
      </c>
      <c r="B183" t="s">
        <v>384</v>
      </c>
      <c r="C183">
        <v>1</v>
      </c>
      <c r="D183">
        <v>1</v>
      </c>
      <c r="E183">
        <v>0</v>
      </c>
      <c r="F183">
        <v>1</v>
      </c>
      <c r="G183">
        <v>0</v>
      </c>
      <c r="H183">
        <v>34129</v>
      </c>
      <c r="I183" t="s">
        <v>403</v>
      </c>
      <c r="K183">
        <v>1</v>
      </c>
      <c r="L183">
        <v>1</v>
      </c>
    </row>
    <row r="184" spans="1:12" x14ac:dyDescent="0.35">
      <c r="A184" s="1" t="s">
        <v>243</v>
      </c>
      <c r="B184" t="s">
        <v>384</v>
      </c>
      <c r="C184">
        <v>1</v>
      </c>
      <c r="D184">
        <v>1</v>
      </c>
      <c r="E184">
        <v>0</v>
      </c>
      <c r="F184">
        <v>1</v>
      </c>
      <c r="G184">
        <v>0</v>
      </c>
      <c r="H184">
        <v>35513</v>
      </c>
      <c r="I184" t="s">
        <v>336</v>
      </c>
      <c r="J184">
        <v>1</v>
      </c>
      <c r="K184">
        <v>1</v>
      </c>
      <c r="L184">
        <v>1</v>
      </c>
    </row>
    <row r="185" spans="1:12" x14ac:dyDescent="0.35">
      <c r="A185" s="1" t="s">
        <v>5</v>
      </c>
      <c r="B185" t="s">
        <v>388</v>
      </c>
      <c r="C185">
        <v>2.8</v>
      </c>
      <c r="D185">
        <v>2.8</v>
      </c>
      <c r="E185">
        <v>0</v>
      </c>
      <c r="F185">
        <v>1</v>
      </c>
      <c r="G185">
        <v>0</v>
      </c>
      <c r="H185">
        <v>45725</v>
      </c>
      <c r="I185" t="s">
        <v>283</v>
      </c>
      <c r="J185">
        <v>1</v>
      </c>
      <c r="K185">
        <v>1</v>
      </c>
      <c r="L185">
        <v>1</v>
      </c>
    </row>
    <row r="186" spans="1:12" x14ac:dyDescent="0.35">
      <c r="A186" s="1" t="s">
        <v>360</v>
      </c>
      <c r="B186" t="s">
        <v>388</v>
      </c>
      <c r="C186">
        <v>2.8</v>
      </c>
      <c r="D186">
        <v>2.8</v>
      </c>
      <c r="E186">
        <v>0</v>
      </c>
      <c r="F186">
        <v>1</v>
      </c>
      <c r="G186">
        <v>0</v>
      </c>
      <c r="H186">
        <v>54069</v>
      </c>
      <c r="I186" t="s">
        <v>325</v>
      </c>
      <c r="J186">
        <v>1</v>
      </c>
      <c r="K186">
        <v>1</v>
      </c>
      <c r="L186">
        <v>1</v>
      </c>
    </row>
    <row r="187" spans="1:12" x14ac:dyDescent="0.35">
      <c r="A187" s="1" t="s">
        <v>22</v>
      </c>
      <c r="B187" t="s">
        <v>388</v>
      </c>
      <c r="C187">
        <v>2.8</v>
      </c>
      <c r="D187">
        <v>2.8</v>
      </c>
      <c r="E187">
        <v>0</v>
      </c>
      <c r="F187">
        <v>1</v>
      </c>
      <c r="G187">
        <v>0</v>
      </c>
      <c r="H187">
        <v>33999</v>
      </c>
      <c r="I187" t="s">
        <v>420</v>
      </c>
      <c r="J187">
        <v>1</v>
      </c>
      <c r="K187">
        <v>1</v>
      </c>
      <c r="L187">
        <v>1</v>
      </c>
    </row>
    <row r="188" spans="1:12" x14ac:dyDescent="0.35">
      <c r="A188" s="1" t="s">
        <v>453</v>
      </c>
      <c r="B188" t="s">
        <v>388</v>
      </c>
      <c r="C188">
        <v>2.8</v>
      </c>
      <c r="D188">
        <v>2.8</v>
      </c>
      <c r="E188">
        <v>0</v>
      </c>
      <c r="F188">
        <v>1</v>
      </c>
      <c r="G188">
        <v>0</v>
      </c>
      <c r="L188">
        <v>1</v>
      </c>
    </row>
    <row r="189" spans="1:12" x14ac:dyDescent="0.35">
      <c r="A189" s="1" t="s">
        <v>477</v>
      </c>
      <c r="B189" t="s">
        <v>388</v>
      </c>
      <c r="C189">
        <v>2.8</v>
      </c>
      <c r="D189">
        <v>2.8</v>
      </c>
      <c r="E189">
        <v>0</v>
      </c>
      <c r="F189">
        <v>1</v>
      </c>
      <c r="G189">
        <v>0</v>
      </c>
      <c r="L189">
        <v>1</v>
      </c>
    </row>
    <row r="190" spans="1:12" x14ac:dyDescent="0.35">
      <c r="A190" s="1" t="s">
        <v>1041</v>
      </c>
      <c r="B190" t="s">
        <v>388</v>
      </c>
      <c r="C190">
        <v>2.8</v>
      </c>
      <c r="D190">
        <v>2.8</v>
      </c>
      <c r="E190">
        <v>0</v>
      </c>
      <c r="F190">
        <v>1</v>
      </c>
      <c r="G190">
        <v>0</v>
      </c>
      <c r="L190">
        <v>1</v>
      </c>
    </row>
    <row r="191" spans="1:12" x14ac:dyDescent="0.35">
      <c r="A191" s="1" t="s">
        <v>497</v>
      </c>
      <c r="B191" t="s">
        <v>388</v>
      </c>
      <c r="C191">
        <v>2.8</v>
      </c>
      <c r="D191">
        <v>2.8</v>
      </c>
      <c r="E191">
        <v>0</v>
      </c>
      <c r="F191">
        <v>1</v>
      </c>
      <c r="G191">
        <v>0</v>
      </c>
      <c r="L191">
        <v>1</v>
      </c>
    </row>
    <row r="192" spans="1:12" x14ac:dyDescent="0.35">
      <c r="A192" s="1" t="s">
        <v>1083</v>
      </c>
      <c r="B192" t="s">
        <v>388</v>
      </c>
      <c r="C192">
        <v>2.8</v>
      </c>
      <c r="D192">
        <v>2.8</v>
      </c>
      <c r="E192">
        <v>0</v>
      </c>
      <c r="F192">
        <v>1</v>
      </c>
      <c r="G192">
        <v>0</v>
      </c>
      <c r="L192">
        <v>1</v>
      </c>
    </row>
    <row r="193" spans="1:12" x14ac:dyDescent="0.35">
      <c r="A193" s="1" t="s">
        <v>496</v>
      </c>
      <c r="B193" t="s">
        <v>388</v>
      </c>
      <c r="C193">
        <v>2.8</v>
      </c>
      <c r="D193">
        <v>2.8</v>
      </c>
      <c r="E193">
        <v>0</v>
      </c>
      <c r="F193">
        <v>1</v>
      </c>
      <c r="G193">
        <v>0</v>
      </c>
      <c r="L193">
        <v>1</v>
      </c>
    </row>
    <row r="194" spans="1:12" x14ac:dyDescent="0.35">
      <c r="A194" s="1" t="s">
        <v>54</v>
      </c>
      <c r="B194" t="s">
        <v>388</v>
      </c>
      <c r="C194">
        <v>2.8</v>
      </c>
      <c r="D194">
        <v>2.8</v>
      </c>
      <c r="E194">
        <v>0</v>
      </c>
      <c r="F194">
        <v>1</v>
      </c>
      <c r="G194">
        <v>0</v>
      </c>
      <c r="H194">
        <v>46813</v>
      </c>
      <c r="I194" t="s">
        <v>283</v>
      </c>
      <c r="J194">
        <v>1</v>
      </c>
      <c r="L194">
        <v>1</v>
      </c>
    </row>
    <row r="195" spans="1:12" x14ac:dyDescent="0.35">
      <c r="A195" s="1" t="s">
        <v>0</v>
      </c>
      <c r="B195" t="s">
        <v>369</v>
      </c>
      <c r="C195">
        <v>1</v>
      </c>
      <c r="D195">
        <v>1</v>
      </c>
      <c r="E195">
        <v>0</v>
      </c>
      <c r="F195">
        <v>1</v>
      </c>
      <c r="G195">
        <v>0</v>
      </c>
      <c r="L195">
        <v>1</v>
      </c>
    </row>
    <row r="196" spans="1:12" x14ac:dyDescent="0.35">
      <c r="A196" s="1" t="s">
        <v>84</v>
      </c>
      <c r="B196" t="s">
        <v>369</v>
      </c>
      <c r="C196">
        <v>1</v>
      </c>
      <c r="D196">
        <v>1</v>
      </c>
      <c r="E196">
        <v>0</v>
      </c>
      <c r="F196">
        <v>1</v>
      </c>
      <c r="G196">
        <v>0</v>
      </c>
      <c r="H196">
        <v>47179</v>
      </c>
      <c r="I196" t="s">
        <v>282</v>
      </c>
      <c r="J196">
        <v>1</v>
      </c>
      <c r="K196">
        <v>1</v>
      </c>
      <c r="L196">
        <v>1</v>
      </c>
    </row>
    <row r="197" spans="1:12" x14ac:dyDescent="0.35">
      <c r="A197" s="1" t="s">
        <v>85</v>
      </c>
      <c r="B197" t="s">
        <v>369</v>
      </c>
      <c r="C197">
        <v>1</v>
      </c>
      <c r="D197">
        <v>1</v>
      </c>
      <c r="E197">
        <v>0</v>
      </c>
      <c r="F197">
        <v>1</v>
      </c>
      <c r="G197">
        <v>0</v>
      </c>
      <c r="H197">
        <v>47180</v>
      </c>
      <c r="I197" t="s">
        <v>411</v>
      </c>
      <c r="J197">
        <v>1</v>
      </c>
      <c r="K197">
        <v>1</v>
      </c>
      <c r="L197">
        <v>1</v>
      </c>
    </row>
    <row r="198" spans="1:12" x14ac:dyDescent="0.35">
      <c r="A198" s="1" t="s">
        <v>95</v>
      </c>
      <c r="B198" t="s">
        <v>369</v>
      </c>
      <c r="C198">
        <v>0.6</v>
      </c>
      <c r="D198">
        <v>0.6</v>
      </c>
      <c r="E198">
        <v>0</v>
      </c>
      <c r="F198">
        <v>1</v>
      </c>
      <c r="G198">
        <v>0</v>
      </c>
      <c r="H198">
        <v>2411</v>
      </c>
      <c r="I198" t="s">
        <v>412</v>
      </c>
      <c r="J198">
        <v>1</v>
      </c>
      <c r="L198">
        <v>1</v>
      </c>
    </row>
    <row r="199" spans="1:12" x14ac:dyDescent="0.35">
      <c r="A199" s="1" t="s">
        <v>102</v>
      </c>
      <c r="B199" t="s">
        <v>369</v>
      </c>
      <c r="C199">
        <v>1</v>
      </c>
      <c r="D199">
        <v>1</v>
      </c>
      <c r="E199">
        <v>0</v>
      </c>
      <c r="F199">
        <v>1</v>
      </c>
      <c r="G199">
        <v>0</v>
      </c>
      <c r="H199">
        <v>29468</v>
      </c>
      <c r="I199" t="s">
        <v>403</v>
      </c>
      <c r="J199">
        <v>1</v>
      </c>
      <c r="L199">
        <v>1</v>
      </c>
    </row>
    <row r="200" spans="1:12" x14ac:dyDescent="0.35">
      <c r="A200" s="1" t="s">
        <v>116</v>
      </c>
      <c r="B200" t="s">
        <v>369</v>
      </c>
      <c r="C200">
        <v>0.6</v>
      </c>
      <c r="D200">
        <v>0.6</v>
      </c>
      <c r="E200">
        <v>0</v>
      </c>
      <c r="F200">
        <v>1</v>
      </c>
      <c r="G200">
        <v>0</v>
      </c>
      <c r="H200">
        <v>5656</v>
      </c>
      <c r="I200" t="s">
        <v>412</v>
      </c>
      <c r="J200">
        <v>1</v>
      </c>
      <c r="L200">
        <v>1</v>
      </c>
    </row>
    <row r="201" spans="1:12" x14ac:dyDescent="0.35">
      <c r="A201" s="1" t="s">
        <v>120</v>
      </c>
      <c r="B201" t="s">
        <v>369</v>
      </c>
      <c r="C201">
        <v>0.6</v>
      </c>
      <c r="D201">
        <v>0.6</v>
      </c>
      <c r="E201">
        <v>0</v>
      </c>
      <c r="F201">
        <v>1</v>
      </c>
      <c r="G201">
        <v>0</v>
      </c>
      <c r="H201">
        <v>13333</v>
      </c>
      <c r="I201" t="s">
        <v>285</v>
      </c>
      <c r="K201">
        <v>1</v>
      </c>
      <c r="L201">
        <v>1</v>
      </c>
    </row>
    <row r="202" spans="1:12" x14ac:dyDescent="0.35">
      <c r="A202" s="1" t="s">
        <v>123</v>
      </c>
      <c r="B202" t="s">
        <v>369</v>
      </c>
      <c r="C202">
        <v>0.6</v>
      </c>
      <c r="D202">
        <v>0.6</v>
      </c>
      <c r="E202">
        <v>0</v>
      </c>
      <c r="F202">
        <v>1</v>
      </c>
      <c r="G202">
        <v>0</v>
      </c>
      <c r="H202">
        <v>5655</v>
      </c>
      <c r="I202" t="s">
        <v>412</v>
      </c>
      <c r="J202">
        <v>1</v>
      </c>
      <c r="L202">
        <v>1</v>
      </c>
    </row>
    <row r="203" spans="1:12" x14ac:dyDescent="0.35">
      <c r="A203" s="1" t="s">
        <v>127</v>
      </c>
      <c r="B203" t="s">
        <v>369</v>
      </c>
      <c r="C203">
        <v>1</v>
      </c>
      <c r="D203">
        <v>1</v>
      </c>
      <c r="E203">
        <v>0</v>
      </c>
      <c r="F203">
        <v>1</v>
      </c>
      <c r="G203">
        <v>0</v>
      </c>
      <c r="H203">
        <v>49098</v>
      </c>
      <c r="I203" t="s">
        <v>279</v>
      </c>
      <c r="K203">
        <v>1</v>
      </c>
      <c r="L203">
        <v>1</v>
      </c>
    </row>
    <row r="204" spans="1:12" x14ac:dyDescent="0.35">
      <c r="A204" s="1" t="s">
        <v>128</v>
      </c>
      <c r="B204" t="s">
        <v>369</v>
      </c>
      <c r="C204">
        <v>1</v>
      </c>
      <c r="D204">
        <v>1</v>
      </c>
      <c r="E204">
        <v>0</v>
      </c>
      <c r="F204">
        <v>1</v>
      </c>
      <c r="G204">
        <v>0</v>
      </c>
      <c r="H204">
        <v>49096</v>
      </c>
      <c r="I204" t="s">
        <v>279</v>
      </c>
      <c r="J204">
        <v>1</v>
      </c>
      <c r="L204">
        <v>1</v>
      </c>
    </row>
    <row r="205" spans="1:12" x14ac:dyDescent="0.35">
      <c r="A205" s="1" t="s">
        <v>138</v>
      </c>
      <c r="B205" t="s">
        <v>369</v>
      </c>
      <c r="C205">
        <v>1</v>
      </c>
      <c r="D205">
        <v>1</v>
      </c>
      <c r="E205">
        <v>0</v>
      </c>
      <c r="F205">
        <v>1</v>
      </c>
      <c r="G205">
        <v>0</v>
      </c>
      <c r="H205">
        <v>30480</v>
      </c>
      <c r="I205" t="s">
        <v>312</v>
      </c>
      <c r="J205">
        <v>1</v>
      </c>
      <c r="K205">
        <v>1</v>
      </c>
      <c r="L205">
        <v>1</v>
      </c>
    </row>
    <row r="206" spans="1:12" x14ac:dyDescent="0.35">
      <c r="A206" s="1" t="s">
        <v>140</v>
      </c>
      <c r="B206" t="s">
        <v>369</v>
      </c>
      <c r="C206">
        <v>1</v>
      </c>
      <c r="D206">
        <v>1</v>
      </c>
      <c r="E206">
        <v>0</v>
      </c>
      <c r="F206">
        <v>1</v>
      </c>
      <c r="G206">
        <v>0</v>
      </c>
      <c r="H206">
        <v>45597</v>
      </c>
      <c r="I206" t="s">
        <v>283</v>
      </c>
      <c r="K206">
        <v>1</v>
      </c>
      <c r="L206">
        <v>1</v>
      </c>
    </row>
    <row r="207" spans="1:12" x14ac:dyDescent="0.35">
      <c r="A207" s="1" t="s">
        <v>348</v>
      </c>
      <c r="B207" t="s">
        <v>369</v>
      </c>
      <c r="C207">
        <v>2.8</v>
      </c>
      <c r="D207">
        <v>0.6</v>
      </c>
      <c r="E207">
        <v>0</v>
      </c>
      <c r="F207">
        <v>1</v>
      </c>
      <c r="G207">
        <v>0</v>
      </c>
      <c r="H207">
        <v>37012</v>
      </c>
      <c r="I207" t="s">
        <v>349</v>
      </c>
      <c r="J207">
        <v>1</v>
      </c>
      <c r="K207">
        <v>1</v>
      </c>
      <c r="L207">
        <v>1</v>
      </c>
    </row>
    <row r="208" spans="1:12" x14ac:dyDescent="0.35">
      <c r="A208" s="1" t="s">
        <v>1099</v>
      </c>
      <c r="B208" t="s">
        <v>369</v>
      </c>
      <c r="C208">
        <v>1</v>
      </c>
      <c r="D208">
        <v>1</v>
      </c>
      <c r="E208">
        <v>0</v>
      </c>
      <c r="F208">
        <v>1</v>
      </c>
      <c r="G208">
        <v>0</v>
      </c>
      <c r="L208">
        <v>1</v>
      </c>
    </row>
    <row r="209" spans="1:12" x14ac:dyDescent="0.35">
      <c r="A209" s="1" t="s">
        <v>521</v>
      </c>
      <c r="B209" t="s">
        <v>369</v>
      </c>
      <c r="C209">
        <v>1</v>
      </c>
      <c r="D209">
        <v>1</v>
      </c>
      <c r="E209">
        <v>0</v>
      </c>
      <c r="F209">
        <v>1</v>
      </c>
      <c r="G209">
        <v>0</v>
      </c>
      <c r="L209">
        <v>1</v>
      </c>
    </row>
    <row r="210" spans="1:12" x14ac:dyDescent="0.35">
      <c r="A210" s="1" t="s">
        <v>178</v>
      </c>
      <c r="B210" t="s">
        <v>369</v>
      </c>
      <c r="C210">
        <v>1</v>
      </c>
      <c r="D210">
        <v>1</v>
      </c>
      <c r="E210">
        <v>0</v>
      </c>
      <c r="F210">
        <v>1</v>
      </c>
      <c r="G210">
        <v>0</v>
      </c>
      <c r="L210">
        <v>1</v>
      </c>
    </row>
    <row r="211" spans="1:12" x14ac:dyDescent="0.35">
      <c r="A211" s="1" t="s">
        <v>179</v>
      </c>
      <c r="B211" t="s">
        <v>369</v>
      </c>
      <c r="C211">
        <v>1</v>
      </c>
      <c r="D211">
        <v>1</v>
      </c>
      <c r="E211">
        <v>0</v>
      </c>
      <c r="F211">
        <v>1</v>
      </c>
      <c r="G211">
        <v>0</v>
      </c>
      <c r="H211">
        <v>12354</v>
      </c>
      <c r="I211" t="s">
        <v>318</v>
      </c>
      <c r="J211">
        <v>1</v>
      </c>
      <c r="L211">
        <v>1</v>
      </c>
    </row>
    <row r="212" spans="1:12" x14ac:dyDescent="0.35">
      <c r="A212" s="1" t="s">
        <v>180</v>
      </c>
      <c r="B212" t="s">
        <v>369</v>
      </c>
      <c r="C212">
        <v>0.6</v>
      </c>
      <c r="D212">
        <v>0.6</v>
      </c>
      <c r="E212">
        <v>0</v>
      </c>
      <c r="F212">
        <v>1</v>
      </c>
      <c r="G212">
        <v>0</v>
      </c>
      <c r="H212">
        <v>2414</v>
      </c>
      <c r="I212" t="s">
        <v>412</v>
      </c>
      <c r="J212">
        <v>1</v>
      </c>
      <c r="L212">
        <v>1</v>
      </c>
    </row>
    <row r="213" spans="1:12" x14ac:dyDescent="0.35">
      <c r="A213" s="1" t="s">
        <v>186</v>
      </c>
      <c r="B213" t="s">
        <v>369</v>
      </c>
      <c r="C213">
        <v>1</v>
      </c>
      <c r="D213">
        <v>1</v>
      </c>
      <c r="E213">
        <v>0</v>
      </c>
      <c r="F213">
        <v>1</v>
      </c>
      <c r="G213">
        <v>0</v>
      </c>
      <c r="H213">
        <v>46815</v>
      </c>
      <c r="I213" t="s">
        <v>422</v>
      </c>
      <c r="J213">
        <v>1</v>
      </c>
      <c r="K213">
        <v>1</v>
      </c>
      <c r="L213">
        <v>1</v>
      </c>
    </row>
    <row r="214" spans="1:12" x14ac:dyDescent="0.35">
      <c r="A214" s="1" t="s">
        <v>192</v>
      </c>
      <c r="B214" t="s">
        <v>369</v>
      </c>
      <c r="C214">
        <v>0.6</v>
      </c>
      <c r="D214">
        <v>0.6</v>
      </c>
      <c r="E214">
        <v>0</v>
      </c>
      <c r="F214">
        <v>1</v>
      </c>
      <c r="G214">
        <v>0</v>
      </c>
      <c r="H214">
        <v>13331</v>
      </c>
      <c r="I214" t="s">
        <v>285</v>
      </c>
      <c r="K214">
        <v>1</v>
      </c>
      <c r="L214">
        <v>1</v>
      </c>
    </row>
    <row r="215" spans="1:12" x14ac:dyDescent="0.35">
      <c r="A215" s="1" t="s">
        <v>200</v>
      </c>
      <c r="B215" t="s">
        <v>369</v>
      </c>
      <c r="C215">
        <v>0.6</v>
      </c>
      <c r="D215">
        <v>0.6</v>
      </c>
      <c r="E215">
        <v>0</v>
      </c>
      <c r="F215">
        <v>1</v>
      </c>
      <c r="G215">
        <v>0</v>
      </c>
      <c r="H215">
        <v>8583</v>
      </c>
      <c r="I215" t="s">
        <v>318</v>
      </c>
      <c r="K215">
        <v>1</v>
      </c>
      <c r="L215">
        <v>1</v>
      </c>
    </row>
    <row r="216" spans="1:12" x14ac:dyDescent="0.35">
      <c r="A216" s="1" t="s">
        <v>525</v>
      </c>
      <c r="B216" t="s">
        <v>369</v>
      </c>
      <c r="C216">
        <v>1</v>
      </c>
      <c r="D216">
        <v>1</v>
      </c>
      <c r="E216">
        <v>0</v>
      </c>
      <c r="F216">
        <v>1</v>
      </c>
      <c r="G216">
        <v>0</v>
      </c>
      <c r="L216">
        <v>1</v>
      </c>
    </row>
    <row r="217" spans="1:12" x14ac:dyDescent="0.35">
      <c r="A217" s="1" t="s">
        <v>205</v>
      </c>
      <c r="B217" t="s">
        <v>369</v>
      </c>
      <c r="C217">
        <v>1</v>
      </c>
      <c r="D217">
        <v>1</v>
      </c>
      <c r="E217">
        <v>0</v>
      </c>
      <c r="F217">
        <v>1</v>
      </c>
      <c r="G217">
        <v>0</v>
      </c>
      <c r="H217">
        <v>45125</v>
      </c>
      <c r="I217" t="s">
        <v>283</v>
      </c>
      <c r="J217">
        <v>1</v>
      </c>
      <c r="L217">
        <v>1</v>
      </c>
    </row>
    <row r="218" spans="1:12" x14ac:dyDescent="0.35">
      <c r="A218" s="1" t="s">
        <v>212</v>
      </c>
      <c r="B218" t="s">
        <v>369</v>
      </c>
      <c r="C218">
        <v>1</v>
      </c>
      <c r="D218">
        <v>1</v>
      </c>
      <c r="E218">
        <v>0</v>
      </c>
      <c r="F218">
        <v>1</v>
      </c>
      <c r="G218">
        <v>0</v>
      </c>
      <c r="H218">
        <v>49044</v>
      </c>
      <c r="I218" t="s">
        <v>283</v>
      </c>
      <c r="J218">
        <v>1</v>
      </c>
      <c r="L218">
        <v>1</v>
      </c>
    </row>
    <row r="219" spans="1:12" x14ac:dyDescent="0.35">
      <c r="A219" s="1" t="s">
        <v>216</v>
      </c>
      <c r="B219" t="s">
        <v>369</v>
      </c>
      <c r="C219">
        <v>1</v>
      </c>
      <c r="D219">
        <v>1</v>
      </c>
      <c r="E219">
        <v>0</v>
      </c>
      <c r="F219">
        <v>1</v>
      </c>
      <c r="G219">
        <v>0</v>
      </c>
      <c r="H219">
        <v>18777</v>
      </c>
      <c r="I219" t="s">
        <v>412</v>
      </c>
      <c r="J219">
        <v>1</v>
      </c>
      <c r="L219">
        <v>1</v>
      </c>
    </row>
    <row r="220" spans="1:12" x14ac:dyDescent="0.35">
      <c r="A220" s="1" t="s">
        <v>222</v>
      </c>
      <c r="B220" t="s">
        <v>369</v>
      </c>
      <c r="C220">
        <v>1</v>
      </c>
      <c r="D220">
        <v>1</v>
      </c>
      <c r="E220">
        <v>0</v>
      </c>
      <c r="F220">
        <v>1</v>
      </c>
      <c r="G220">
        <v>0</v>
      </c>
      <c r="H220">
        <v>46752</v>
      </c>
      <c r="I220" t="s">
        <v>283</v>
      </c>
      <c r="J220">
        <v>1</v>
      </c>
      <c r="L220">
        <v>1</v>
      </c>
    </row>
    <row r="221" spans="1:12" x14ac:dyDescent="0.35">
      <c r="A221" s="1" t="s">
        <v>495</v>
      </c>
      <c r="B221" t="s">
        <v>369</v>
      </c>
      <c r="C221">
        <v>1</v>
      </c>
      <c r="D221">
        <v>1</v>
      </c>
      <c r="E221">
        <v>0</v>
      </c>
      <c r="F221">
        <v>1</v>
      </c>
      <c r="G221">
        <v>0</v>
      </c>
      <c r="L221">
        <v>1</v>
      </c>
    </row>
    <row r="222" spans="1:12" x14ac:dyDescent="0.35">
      <c r="A222" s="1" t="s">
        <v>231</v>
      </c>
      <c r="B222" t="s">
        <v>369</v>
      </c>
      <c r="C222">
        <v>1</v>
      </c>
      <c r="D222">
        <v>1</v>
      </c>
      <c r="E222">
        <v>0</v>
      </c>
      <c r="F222">
        <v>1</v>
      </c>
      <c r="G222">
        <v>0</v>
      </c>
      <c r="H222">
        <v>18776</v>
      </c>
      <c r="I222" t="s">
        <v>412</v>
      </c>
      <c r="J222">
        <v>1</v>
      </c>
      <c r="L222">
        <v>1</v>
      </c>
    </row>
    <row r="223" spans="1:12" x14ac:dyDescent="0.35">
      <c r="A223" s="1" t="s">
        <v>246</v>
      </c>
      <c r="B223" t="s">
        <v>369</v>
      </c>
      <c r="C223">
        <v>1</v>
      </c>
      <c r="D223">
        <v>1</v>
      </c>
      <c r="E223">
        <v>0</v>
      </c>
      <c r="F223">
        <v>1</v>
      </c>
      <c r="G223">
        <v>0</v>
      </c>
      <c r="H223">
        <v>18778</v>
      </c>
      <c r="I223" t="s">
        <v>412</v>
      </c>
      <c r="J223">
        <v>1</v>
      </c>
      <c r="L223">
        <v>1</v>
      </c>
    </row>
    <row r="224" spans="1:12" x14ac:dyDescent="0.35">
      <c r="A224" s="1" t="s">
        <v>431</v>
      </c>
      <c r="B224" t="s">
        <v>369</v>
      </c>
      <c r="C224">
        <v>1</v>
      </c>
      <c r="D224">
        <v>1</v>
      </c>
      <c r="E224">
        <v>0</v>
      </c>
      <c r="F224">
        <v>1</v>
      </c>
      <c r="G224">
        <v>0</v>
      </c>
      <c r="L224">
        <v>1</v>
      </c>
    </row>
    <row r="225" spans="1:12" x14ac:dyDescent="0.35">
      <c r="A225" s="1" t="s">
        <v>427</v>
      </c>
      <c r="B225" t="s">
        <v>369</v>
      </c>
      <c r="C225">
        <v>1</v>
      </c>
      <c r="D225">
        <v>1</v>
      </c>
      <c r="E225">
        <v>0</v>
      </c>
      <c r="F225">
        <v>1</v>
      </c>
      <c r="G225">
        <v>0</v>
      </c>
      <c r="L225">
        <v>1</v>
      </c>
    </row>
    <row r="226" spans="1:12" x14ac:dyDescent="0.35">
      <c r="A226" s="1" t="s">
        <v>490</v>
      </c>
      <c r="B226" t="s">
        <v>369</v>
      </c>
      <c r="C226">
        <v>1</v>
      </c>
      <c r="D226">
        <v>1</v>
      </c>
      <c r="E226">
        <v>0</v>
      </c>
      <c r="F226">
        <v>1</v>
      </c>
      <c r="G226">
        <v>0</v>
      </c>
      <c r="L226">
        <v>1</v>
      </c>
    </row>
    <row r="227" spans="1:12" x14ac:dyDescent="0.35">
      <c r="A227" s="1" t="s">
        <v>269</v>
      </c>
      <c r="B227" t="s">
        <v>369</v>
      </c>
      <c r="C227">
        <v>1</v>
      </c>
      <c r="D227">
        <v>1</v>
      </c>
      <c r="E227">
        <v>0</v>
      </c>
      <c r="F227">
        <v>1</v>
      </c>
      <c r="G227">
        <v>0</v>
      </c>
      <c r="H227">
        <v>12353</v>
      </c>
      <c r="I227" t="s">
        <v>412</v>
      </c>
      <c r="J227">
        <v>1</v>
      </c>
      <c r="L227">
        <v>1</v>
      </c>
    </row>
    <row r="228" spans="1:12" x14ac:dyDescent="0.35">
      <c r="A228" s="1" t="s">
        <v>98</v>
      </c>
      <c r="B228" t="s">
        <v>375</v>
      </c>
      <c r="C228">
        <v>1</v>
      </c>
      <c r="D228">
        <v>1</v>
      </c>
      <c r="E228">
        <v>0</v>
      </c>
      <c r="F228">
        <v>1</v>
      </c>
      <c r="G228">
        <v>0</v>
      </c>
      <c r="H228">
        <v>29466</v>
      </c>
      <c r="I228" t="s">
        <v>403</v>
      </c>
      <c r="K228">
        <v>1</v>
      </c>
      <c r="L228">
        <v>1</v>
      </c>
    </row>
    <row r="229" spans="1:12" x14ac:dyDescent="0.35">
      <c r="A229" s="1" t="s">
        <v>112</v>
      </c>
      <c r="B229" t="s">
        <v>375</v>
      </c>
      <c r="C229">
        <v>1</v>
      </c>
      <c r="D229">
        <v>0.6</v>
      </c>
      <c r="E229">
        <v>0</v>
      </c>
      <c r="F229">
        <v>1</v>
      </c>
      <c r="G229">
        <v>0</v>
      </c>
      <c r="L229">
        <v>1</v>
      </c>
    </row>
    <row r="230" spans="1:12" x14ac:dyDescent="0.35">
      <c r="A230" s="1" t="s">
        <v>114</v>
      </c>
      <c r="B230" t="s">
        <v>375</v>
      </c>
      <c r="C230">
        <v>0.6</v>
      </c>
      <c r="D230">
        <v>0.6</v>
      </c>
      <c r="E230">
        <v>0</v>
      </c>
      <c r="F230">
        <v>1</v>
      </c>
      <c r="G230">
        <v>0</v>
      </c>
      <c r="H230">
        <v>37827</v>
      </c>
      <c r="I230" t="s">
        <v>363</v>
      </c>
      <c r="J230">
        <v>1</v>
      </c>
      <c r="K230">
        <v>1</v>
      </c>
      <c r="L230">
        <v>1</v>
      </c>
    </row>
    <row r="231" spans="1:12" x14ac:dyDescent="0.35">
      <c r="A231" s="1" t="s">
        <v>117</v>
      </c>
      <c r="B231" t="s">
        <v>375</v>
      </c>
      <c r="C231">
        <v>0.6</v>
      </c>
      <c r="D231">
        <v>0.6</v>
      </c>
      <c r="E231">
        <v>0</v>
      </c>
      <c r="F231">
        <v>1</v>
      </c>
      <c r="G231">
        <v>0</v>
      </c>
      <c r="H231">
        <v>15290</v>
      </c>
      <c r="I231" t="s">
        <v>285</v>
      </c>
      <c r="K231">
        <v>1</v>
      </c>
      <c r="L231">
        <v>1</v>
      </c>
    </row>
    <row r="232" spans="1:12" x14ac:dyDescent="0.35">
      <c r="A232" s="1" t="s">
        <v>149</v>
      </c>
      <c r="B232" t="s">
        <v>375</v>
      </c>
      <c r="C232">
        <v>0.6</v>
      </c>
      <c r="D232">
        <v>0.6</v>
      </c>
      <c r="E232">
        <v>0</v>
      </c>
      <c r="F232">
        <v>1</v>
      </c>
      <c r="G232">
        <v>0</v>
      </c>
      <c r="H232">
        <v>15277</v>
      </c>
      <c r="I232" t="s">
        <v>285</v>
      </c>
      <c r="K232">
        <v>1</v>
      </c>
      <c r="L232">
        <v>1</v>
      </c>
    </row>
    <row r="233" spans="1:12" x14ac:dyDescent="0.35">
      <c r="A233" s="1" t="s">
        <v>153</v>
      </c>
      <c r="B233" t="s">
        <v>375</v>
      </c>
      <c r="C233">
        <v>1</v>
      </c>
      <c r="D233">
        <v>1</v>
      </c>
      <c r="E233">
        <v>0</v>
      </c>
      <c r="F233">
        <v>1</v>
      </c>
      <c r="G233">
        <v>0</v>
      </c>
      <c r="H233">
        <v>37828</v>
      </c>
      <c r="I233" t="s">
        <v>303</v>
      </c>
      <c r="J233">
        <v>1</v>
      </c>
      <c r="K233">
        <v>1</v>
      </c>
      <c r="L233">
        <v>1</v>
      </c>
    </row>
    <row r="234" spans="1:12" x14ac:dyDescent="0.35">
      <c r="A234" s="1" t="s">
        <v>154</v>
      </c>
      <c r="B234" t="s">
        <v>375</v>
      </c>
      <c r="C234">
        <v>1</v>
      </c>
      <c r="D234">
        <v>1</v>
      </c>
      <c r="E234">
        <v>0</v>
      </c>
      <c r="F234">
        <v>1</v>
      </c>
      <c r="G234">
        <v>0</v>
      </c>
      <c r="H234">
        <v>18794</v>
      </c>
      <c r="I234" t="s">
        <v>285</v>
      </c>
      <c r="K234">
        <v>1</v>
      </c>
      <c r="L234">
        <v>1</v>
      </c>
    </row>
    <row r="235" spans="1:12" x14ac:dyDescent="0.35">
      <c r="A235" s="1" t="s">
        <v>155</v>
      </c>
      <c r="B235" t="s">
        <v>375</v>
      </c>
      <c r="C235">
        <v>1</v>
      </c>
      <c r="D235">
        <v>1</v>
      </c>
      <c r="E235">
        <v>0</v>
      </c>
      <c r="F235">
        <v>1</v>
      </c>
      <c r="G235">
        <v>0</v>
      </c>
      <c r="L235">
        <v>1</v>
      </c>
    </row>
    <row r="236" spans="1:12" x14ac:dyDescent="0.35">
      <c r="A236" s="1" t="s">
        <v>156</v>
      </c>
      <c r="B236" t="s">
        <v>375</v>
      </c>
      <c r="C236">
        <v>1</v>
      </c>
      <c r="D236">
        <v>1</v>
      </c>
      <c r="E236">
        <v>0</v>
      </c>
      <c r="F236">
        <v>1</v>
      </c>
      <c r="G236">
        <v>0</v>
      </c>
      <c r="H236">
        <v>46755</v>
      </c>
      <c r="I236" t="s">
        <v>283</v>
      </c>
      <c r="K236">
        <v>1</v>
      </c>
      <c r="L236">
        <v>1</v>
      </c>
    </row>
    <row r="237" spans="1:12" x14ac:dyDescent="0.35">
      <c r="A237" s="1" t="s">
        <v>157</v>
      </c>
      <c r="B237" t="s">
        <v>375</v>
      </c>
      <c r="C237">
        <v>1</v>
      </c>
      <c r="D237">
        <v>1</v>
      </c>
      <c r="E237">
        <v>0</v>
      </c>
      <c r="F237">
        <v>1</v>
      </c>
      <c r="G237">
        <v>0</v>
      </c>
      <c r="H237">
        <v>18795</v>
      </c>
      <c r="I237" t="s">
        <v>285</v>
      </c>
      <c r="K237">
        <v>1</v>
      </c>
      <c r="L237">
        <v>1</v>
      </c>
    </row>
    <row r="238" spans="1:12" x14ac:dyDescent="0.35">
      <c r="A238" s="1" t="s">
        <v>161</v>
      </c>
      <c r="B238" t="s">
        <v>375</v>
      </c>
      <c r="C238">
        <v>1</v>
      </c>
      <c r="D238">
        <v>1</v>
      </c>
      <c r="E238">
        <v>0</v>
      </c>
      <c r="F238">
        <v>1</v>
      </c>
      <c r="G238">
        <v>0</v>
      </c>
      <c r="H238">
        <v>18793</v>
      </c>
      <c r="I238" t="s">
        <v>285</v>
      </c>
      <c r="K238">
        <v>1</v>
      </c>
      <c r="L238">
        <v>1</v>
      </c>
    </row>
    <row r="239" spans="1:12" x14ac:dyDescent="0.35">
      <c r="A239" s="1" t="s">
        <v>162</v>
      </c>
      <c r="B239" t="s">
        <v>375</v>
      </c>
      <c r="C239">
        <v>1</v>
      </c>
      <c r="D239">
        <v>1</v>
      </c>
      <c r="E239">
        <v>0</v>
      </c>
      <c r="F239">
        <v>1</v>
      </c>
      <c r="G239">
        <v>0</v>
      </c>
      <c r="H239">
        <v>15292</v>
      </c>
      <c r="I239" t="s">
        <v>285</v>
      </c>
      <c r="K239">
        <v>1</v>
      </c>
      <c r="L239">
        <v>1</v>
      </c>
    </row>
    <row r="240" spans="1:12" x14ac:dyDescent="0.35">
      <c r="A240" s="1" t="s">
        <v>195</v>
      </c>
      <c r="B240" t="s">
        <v>375</v>
      </c>
      <c r="C240">
        <v>0.6</v>
      </c>
      <c r="D240">
        <v>0.6</v>
      </c>
      <c r="E240">
        <v>0</v>
      </c>
      <c r="F240">
        <v>1</v>
      </c>
      <c r="G240">
        <v>0</v>
      </c>
      <c r="H240">
        <v>14062</v>
      </c>
      <c r="I240" t="s">
        <v>318</v>
      </c>
      <c r="K240">
        <v>1</v>
      </c>
      <c r="L240">
        <v>1</v>
      </c>
    </row>
    <row r="241" spans="1:12" x14ac:dyDescent="0.35">
      <c r="A241" s="1" t="s">
        <v>469</v>
      </c>
      <c r="B241" t="s">
        <v>375</v>
      </c>
      <c r="C241">
        <v>1</v>
      </c>
      <c r="D241">
        <v>1</v>
      </c>
      <c r="E241">
        <v>0</v>
      </c>
      <c r="F241">
        <v>1</v>
      </c>
      <c r="G241">
        <v>0</v>
      </c>
      <c r="L241">
        <v>1</v>
      </c>
    </row>
    <row r="242" spans="1:12" x14ac:dyDescent="0.35">
      <c r="A242" s="1" t="s">
        <v>520</v>
      </c>
      <c r="B242" t="s">
        <v>375</v>
      </c>
      <c r="C242">
        <v>1</v>
      </c>
      <c r="D242">
        <v>1</v>
      </c>
      <c r="E242">
        <v>0</v>
      </c>
      <c r="F242">
        <v>1</v>
      </c>
      <c r="G242">
        <v>0</v>
      </c>
      <c r="L242">
        <v>1</v>
      </c>
    </row>
    <row r="243" spans="1:12" x14ac:dyDescent="0.35">
      <c r="A243" s="1" t="s">
        <v>253</v>
      </c>
      <c r="B243" t="s">
        <v>375</v>
      </c>
      <c r="C243">
        <v>1</v>
      </c>
      <c r="D243">
        <v>1</v>
      </c>
      <c r="E243">
        <v>0</v>
      </c>
      <c r="F243">
        <v>1</v>
      </c>
      <c r="G243">
        <v>0</v>
      </c>
      <c r="H243">
        <v>15293</v>
      </c>
      <c r="I243" t="s">
        <v>318</v>
      </c>
      <c r="K243">
        <v>1</v>
      </c>
      <c r="L243">
        <v>1</v>
      </c>
    </row>
    <row r="244" spans="1:12" x14ac:dyDescent="0.35">
      <c r="A244" s="1" t="s">
        <v>254</v>
      </c>
      <c r="B244" t="s">
        <v>375</v>
      </c>
      <c r="C244">
        <v>1</v>
      </c>
      <c r="D244">
        <v>1</v>
      </c>
      <c r="E244">
        <v>0</v>
      </c>
      <c r="F244">
        <v>1</v>
      </c>
      <c r="G244">
        <v>0</v>
      </c>
      <c r="H244">
        <v>45592</v>
      </c>
      <c r="I244" t="s">
        <v>283</v>
      </c>
      <c r="K244">
        <v>1</v>
      </c>
      <c r="L244">
        <v>1</v>
      </c>
    </row>
    <row r="245" spans="1:12" x14ac:dyDescent="0.35">
      <c r="A245" s="1" t="s">
        <v>263</v>
      </c>
      <c r="B245" t="s">
        <v>375</v>
      </c>
      <c r="C245">
        <v>0.6</v>
      </c>
      <c r="D245">
        <v>0.6</v>
      </c>
      <c r="E245">
        <v>0</v>
      </c>
      <c r="F245">
        <v>1</v>
      </c>
      <c r="G245">
        <v>0</v>
      </c>
      <c r="H245">
        <v>46100</v>
      </c>
      <c r="I245" t="s">
        <v>285</v>
      </c>
      <c r="K245">
        <v>1</v>
      </c>
      <c r="L245">
        <v>1</v>
      </c>
    </row>
    <row r="246" spans="1:12" x14ac:dyDescent="0.35">
      <c r="A246" s="1" t="s">
        <v>527</v>
      </c>
      <c r="B246" t="s">
        <v>536</v>
      </c>
      <c r="C246">
        <v>1</v>
      </c>
      <c r="D246">
        <v>1</v>
      </c>
      <c r="E246">
        <v>0</v>
      </c>
      <c r="F246">
        <v>1</v>
      </c>
      <c r="G246">
        <v>0</v>
      </c>
      <c r="L246">
        <v>1</v>
      </c>
    </row>
    <row r="247" spans="1:12" x14ac:dyDescent="0.35">
      <c r="A247" s="1" t="s">
        <v>27</v>
      </c>
      <c r="B247" t="s">
        <v>389</v>
      </c>
      <c r="C247">
        <v>1.5</v>
      </c>
      <c r="D247">
        <v>1.5</v>
      </c>
      <c r="E247">
        <v>0</v>
      </c>
      <c r="F247">
        <v>1</v>
      </c>
      <c r="G247">
        <v>0</v>
      </c>
      <c r="H247">
        <v>34060</v>
      </c>
      <c r="I247" t="s">
        <v>314</v>
      </c>
      <c r="J247">
        <v>1</v>
      </c>
      <c r="K247">
        <v>1</v>
      </c>
      <c r="L247">
        <v>1</v>
      </c>
    </row>
    <row r="248" spans="1:12" x14ac:dyDescent="0.35">
      <c r="A248" s="1" t="s">
        <v>171</v>
      </c>
      <c r="B248" t="s">
        <v>389</v>
      </c>
      <c r="C248">
        <v>1</v>
      </c>
      <c r="D248">
        <v>1</v>
      </c>
      <c r="E248">
        <v>0</v>
      </c>
      <c r="F248">
        <v>1</v>
      </c>
      <c r="G248">
        <v>0</v>
      </c>
      <c r="H248">
        <v>41508</v>
      </c>
      <c r="I248" t="s">
        <v>314</v>
      </c>
      <c r="K248">
        <v>1</v>
      </c>
      <c r="L248">
        <v>1</v>
      </c>
    </row>
    <row r="249" spans="1:12" x14ac:dyDescent="0.35">
      <c r="A249" s="1" t="s">
        <v>172</v>
      </c>
      <c r="B249" t="s">
        <v>389</v>
      </c>
      <c r="C249">
        <v>1</v>
      </c>
      <c r="D249">
        <v>1</v>
      </c>
      <c r="E249">
        <v>0</v>
      </c>
      <c r="F249">
        <v>1</v>
      </c>
      <c r="G249">
        <v>0</v>
      </c>
      <c r="H249">
        <v>44413</v>
      </c>
      <c r="I249" t="s">
        <v>314</v>
      </c>
      <c r="J249">
        <v>1</v>
      </c>
      <c r="L249">
        <v>1</v>
      </c>
    </row>
    <row r="250" spans="1:12" x14ac:dyDescent="0.35">
      <c r="A250" s="1" t="s">
        <v>40</v>
      </c>
      <c r="B250" t="s">
        <v>389</v>
      </c>
      <c r="C250">
        <v>3.1</v>
      </c>
      <c r="D250">
        <v>3.1</v>
      </c>
      <c r="E250">
        <v>0</v>
      </c>
      <c r="F250">
        <v>1</v>
      </c>
      <c r="G250">
        <v>0</v>
      </c>
      <c r="H250">
        <v>45693</v>
      </c>
      <c r="I250" t="s">
        <v>328</v>
      </c>
      <c r="J250">
        <v>1</v>
      </c>
      <c r="K250">
        <v>1</v>
      </c>
      <c r="L250">
        <v>1</v>
      </c>
    </row>
    <row r="251" spans="1:12" x14ac:dyDescent="0.35">
      <c r="A251" s="1" t="s">
        <v>69</v>
      </c>
      <c r="B251" t="s">
        <v>389</v>
      </c>
      <c r="C251">
        <v>2.8</v>
      </c>
      <c r="D251">
        <v>2.8</v>
      </c>
      <c r="E251">
        <v>0</v>
      </c>
      <c r="F251">
        <v>1</v>
      </c>
      <c r="G251">
        <v>0</v>
      </c>
      <c r="H251">
        <v>34061</v>
      </c>
      <c r="I251" t="s">
        <v>314</v>
      </c>
      <c r="J251">
        <v>1</v>
      </c>
      <c r="K251">
        <v>1</v>
      </c>
      <c r="L251">
        <v>1</v>
      </c>
    </row>
    <row r="252" spans="1:12" x14ac:dyDescent="0.35">
      <c r="A252" s="1" t="s">
        <v>99</v>
      </c>
      <c r="B252" t="s">
        <v>368</v>
      </c>
      <c r="C252">
        <v>1</v>
      </c>
      <c r="D252">
        <v>1</v>
      </c>
      <c r="E252">
        <v>0</v>
      </c>
      <c r="F252">
        <v>1</v>
      </c>
      <c r="G252">
        <v>0</v>
      </c>
      <c r="H252">
        <v>44077</v>
      </c>
      <c r="I252" t="s">
        <v>400</v>
      </c>
      <c r="K252">
        <v>1</v>
      </c>
      <c r="L252">
        <v>1</v>
      </c>
    </row>
    <row r="253" spans="1:12" x14ac:dyDescent="0.35">
      <c r="A253" s="1" t="s">
        <v>145</v>
      </c>
      <c r="B253" t="s">
        <v>368</v>
      </c>
      <c r="C253">
        <v>1</v>
      </c>
      <c r="D253">
        <v>1</v>
      </c>
      <c r="E253">
        <v>0</v>
      </c>
      <c r="F253">
        <v>1</v>
      </c>
      <c r="G253">
        <v>0</v>
      </c>
      <c r="H253">
        <v>44083</v>
      </c>
      <c r="I253" t="s">
        <v>402</v>
      </c>
      <c r="K253">
        <v>1</v>
      </c>
      <c r="L253">
        <v>1</v>
      </c>
    </row>
    <row r="254" spans="1:12" x14ac:dyDescent="0.35">
      <c r="A254" s="1" t="s">
        <v>146</v>
      </c>
      <c r="B254" t="s">
        <v>368</v>
      </c>
      <c r="C254">
        <v>1</v>
      </c>
      <c r="D254">
        <v>1</v>
      </c>
      <c r="E254">
        <v>0</v>
      </c>
      <c r="F254">
        <v>1</v>
      </c>
      <c r="G254">
        <v>0</v>
      </c>
      <c r="H254">
        <v>0</v>
      </c>
      <c r="I254" t="s">
        <v>318</v>
      </c>
      <c r="J254">
        <v>1</v>
      </c>
      <c r="K254">
        <v>1</v>
      </c>
      <c r="L254">
        <v>1</v>
      </c>
    </row>
    <row r="255" spans="1:12" x14ac:dyDescent="0.35">
      <c r="A255" s="1" t="s">
        <v>147</v>
      </c>
      <c r="B255" t="s">
        <v>368</v>
      </c>
      <c r="C255">
        <v>1</v>
      </c>
      <c r="D255">
        <v>1</v>
      </c>
      <c r="E255">
        <v>0</v>
      </c>
      <c r="F255">
        <v>1</v>
      </c>
      <c r="G255">
        <v>0</v>
      </c>
      <c r="H255">
        <v>44086</v>
      </c>
      <c r="I255" t="s">
        <v>421</v>
      </c>
      <c r="K255">
        <v>1</v>
      </c>
      <c r="L255">
        <v>1</v>
      </c>
    </row>
    <row r="256" spans="1:12" x14ac:dyDescent="0.35">
      <c r="A256" s="1" t="s">
        <v>166</v>
      </c>
      <c r="B256" t="s">
        <v>368</v>
      </c>
      <c r="C256">
        <v>1</v>
      </c>
      <c r="D256">
        <v>1</v>
      </c>
      <c r="E256">
        <v>0</v>
      </c>
      <c r="F256">
        <v>1</v>
      </c>
      <c r="G256">
        <v>0</v>
      </c>
      <c r="H256">
        <v>44080</v>
      </c>
      <c r="I256" t="s">
        <v>399</v>
      </c>
      <c r="K256">
        <v>1</v>
      </c>
      <c r="L256">
        <v>1</v>
      </c>
    </row>
    <row r="257" spans="1:12" x14ac:dyDescent="0.35">
      <c r="A257" s="1" t="s">
        <v>256</v>
      </c>
      <c r="B257" t="s">
        <v>368</v>
      </c>
      <c r="C257">
        <v>1</v>
      </c>
      <c r="D257">
        <v>1</v>
      </c>
      <c r="E257">
        <v>0</v>
      </c>
      <c r="F257">
        <v>1</v>
      </c>
      <c r="G257">
        <v>0</v>
      </c>
      <c r="H257">
        <v>44235</v>
      </c>
      <c r="I257" t="s">
        <v>285</v>
      </c>
      <c r="J257">
        <v>1</v>
      </c>
      <c r="L257">
        <v>1</v>
      </c>
    </row>
    <row r="258" spans="1:12" x14ac:dyDescent="0.35">
      <c r="A258" s="1" t="s">
        <v>273</v>
      </c>
      <c r="B258" t="s">
        <v>368</v>
      </c>
      <c r="C258">
        <v>1</v>
      </c>
      <c r="D258">
        <v>1</v>
      </c>
      <c r="E258">
        <v>0</v>
      </c>
      <c r="F258">
        <v>1</v>
      </c>
      <c r="G258">
        <v>0</v>
      </c>
      <c r="H258">
        <v>44231</v>
      </c>
      <c r="I258" t="s">
        <v>398</v>
      </c>
      <c r="K258">
        <v>1</v>
      </c>
      <c r="L258">
        <v>1</v>
      </c>
    </row>
    <row r="259" spans="1:12" x14ac:dyDescent="0.35">
      <c r="A259" s="1" t="s">
        <v>88</v>
      </c>
      <c r="B259" t="s">
        <v>365</v>
      </c>
      <c r="C259">
        <v>1</v>
      </c>
      <c r="D259">
        <v>1</v>
      </c>
      <c r="E259">
        <v>0</v>
      </c>
      <c r="F259">
        <v>1</v>
      </c>
      <c r="G259">
        <v>0</v>
      </c>
      <c r="H259">
        <v>29465</v>
      </c>
      <c r="I259" t="s">
        <v>403</v>
      </c>
      <c r="J259">
        <v>1</v>
      </c>
      <c r="L259">
        <v>1</v>
      </c>
    </row>
    <row r="260" spans="1:12" x14ac:dyDescent="0.35">
      <c r="A260" s="1" t="s">
        <v>107</v>
      </c>
      <c r="B260" t="s">
        <v>365</v>
      </c>
      <c r="C260">
        <v>0.6</v>
      </c>
      <c r="D260">
        <v>0.6</v>
      </c>
      <c r="E260">
        <v>0</v>
      </c>
      <c r="F260">
        <v>1</v>
      </c>
      <c r="G260">
        <v>0</v>
      </c>
      <c r="H260">
        <v>8595</v>
      </c>
      <c r="I260" t="s">
        <v>414</v>
      </c>
      <c r="J260">
        <v>1</v>
      </c>
      <c r="L260">
        <v>1</v>
      </c>
    </row>
    <row r="261" spans="1:12" x14ac:dyDescent="0.35">
      <c r="A261" s="1" t="s">
        <v>139</v>
      </c>
      <c r="B261" t="s">
        <v>365</v>
      </c>
      <c r="C261">
        <v>1</v>
      </c>
      <c r="D261">
        <v>0.6</v>
      </c>
      <c r="E261">
        <v>0</v>
      </c>
      <c r="F261">
        <v>1</v>
      </c>
      <c r="G261">
        <v>0</v>
      </c>
      <c r="L261">
        <v>1</v>
      </c>
    </row>
    <row r="262" spans="1:12" x14ac:dyDescent="0.35">
      <c r="A262" s="1" t="s">
        <v>143</v>
      </c>
      <c r="B262" t="s">
        <v>365</v>
      </c>
      <c r="C262">
        <v>1</v>
      </c>
      <c r="D262">
        <v>1</v>
      </c>
      <c r="E262">
        <v>0</v>
      </c>
      <c r="F262">
        <v>1</v>
      </c>
      <c r="G262">
        <v>0</v>
      </c>
      <c r="H262">
        <v>45589</v>
      </c>
      <c r="I262" t="s">
        <v>283</v>
      </c>
      <c r="J262">
        <v>1</v>
      </c>
      <c r="L262">
        <v>1</v>
      </c>
    </row>
    <row r="263" spans="1:12" x14ac:dyDescent="0.35">
      <c r="A263" s="1" t="s">
        <v>163</v>
      </c>
      <c r="B263" t="s">
        <v>365</v>
      </c>
      <c r="C263">
        <v>0.6</v>
      </c>
      <c r="D263">
        <v>0.6</v>
      </c>
      <c r="E263">
        <v>0</v>
      </c>
      <c r="F263">
        <v>1</v>
      </c>
      <c r="G263">
        <v>0</v>
      </c>
      <c r="H263">
        <v>13321</v>
      </c>
      <c r="I263" t="s">
        <v>414</v>
      </c>
      <c r="J263">
        <v>1</v>
      </c>
      <c r="L263">
        <v>1</v>
      </c>
    </row>
    <row r="264" spans="1:12" x14ac:dyDescent="0.35">
      <c r="A264" s="1" t="s">
        <v>167</v>
      </c>
      <c r="B264" t="s">
        <v>365</v>
      </c>
      <c r="C264">
        <v>1</v>
      </c>
      <c r="D264">
        <v>1</v>
      </c>
      <c r="E264">
        <v>0</v>
      </c>
      <c r="F264">
        <v>1</v>
      </c>
      <c r="G264">
        <v>0</v>
      </c>
      <c r="H264">
        <v>13327</v>
      </c>
      <c r="I264" t="s">
        <v>281</v>
      </c>
      <c r="J264">
        <v>1</v>
      </c>
      <c r="L264">
        <v>1</v>
      </c>
    </row>
    <row r="265" spans="1:12" x14ac:dyDescent="0.35">
      <c r="A265" s="1" t="s">
        <v>184</v>
      </c>
      <c r="B265" t="s">
        <v>365</v>
      </c>
      <c r="C265">
        <v>1</v>
      </c>
      <c r="D265">
        <v>1</v>
      </c>
      <c r="E265">
        <v>0</v>
      </c>
      <c r="F265">
        <v>1</v>
      </c>
      <c r="G265">
        <v>0</v>
      </c>
      <c r="L265">
        <v>1</v>
      </c>
    </row>
    <row r="266" spans="1:12" x14ac:dyDescent="0.35">
      <c r="A266" s="1" t="s">
        <v>188</v>
      </c>
      <c r="B266" t="s">
        <v>365</v>
      </c>
      <c r="C266">
        <v>1</v>
      </c>
      <c r="D266">
        <v>1</v>
      </c>
      <c r="E266">
        <v>0</v>
      </c>
      <c r="F266">
        <v>1</v>
      </c>
      <c r="G266">
        <v>0</v>
      </c>
      <c r="L266">
        <v>1</v>
      </c>
    </row>
    <row r="267" spans="1:12" x14ac:dyDescent="0.35">
      <c r="A267" s="1" t="s">
        <v>190</v>
      </c>
      <c r="B267" t="s">
        <v>365</v>
      </c>
      <c r="C267">
        <v>0.6</v>
      </c>
      <c r="D267">
        <v>0.6</v>
      </c>
      <c r="E267">
        <v>0</v>
      </c>
      <c r="F267">
        <v>1</v>
      </c>
      <c r="G267">
        <v>0</v>
      </c>
      <c r="H267">
        <v>8563</v>
      </c>
      <c r="I267" t="s">
        <v>414</v>
      </c>
      <c r="J267">
        <v>1</v>
      </c>
      <c r="L267">
        <v>1</v>
      </c>
    </row>
    <row r="268" spans="1:12" x14ac:dyDescent="0.35">
      <c r="A268" s="1" t="s">
        <v>203</v>
      </c>
      <c r="B268" t="s">
        <v>365</v>
      </c>
      <c r="C268">
        <v>1</v>
      </c>
      <c r="D268">
        <v>1</v>
      </c>
      <c r="E268">
        <v>0</v>
      </c>
      <c r="F268">
        <v>1</v>
      </c>
      <c r="G268">
        <v>0</v>
      </c>
      <c r="L268">
        <v>1</v>
      </c>
    </row>
    <row r="269" spans="1:12" x14ac:dyDescent="0.35">
      <c r="A269" s="1" t="s">
        <v>225</v>
      </c>
      <c r="B269" t="s">
        <v>365</v>
      </c>
      <c r="C269">
        <v>1</v>
      </c>
      <c r="D269">
        <v>1</v>
      </c>
      <c r="E269">
        <v>0</v>
      </c>
      <c r="F269">
        <v>1</v>
      </c>
      <c r="G269">
        <v>0</v>
      </c>
      <c r="H269">
        <v>18772</v>
      </c>
      <c r="I269" t="s">
        <v>414</v>
      </c>
      <c r="J269">
        <v>1</v>
      </c>
      <c r="L269">
        <v>1</v>
      </c>
    </row>
    <row r="270" spans="1:12" x14ac:dyDescent="0.35">
      <c r="A270" s="1" t="s">
        <v>447</v>
      </c>
      <c r="B270" t="s">
        <v>365</v>
      </c>
      <c r="C270">
        <v>1</v>
      </c>
      <c r="D270">
        <v>1</v>
      </c>
      <c r="E270">
        <v>0</v>
      </c>
      <c r="F270">
        <v>1</v>
      </c>
      <c r="G270">
        <v>0</v>
      </c>
      <c r="L270">
        <v>1</v>
      </c>
    </row>
    <row r="271" spans="1:12" x14ac:dyDescent="0.35">
      <c r="A271" s="1" t="s">
        <v>244</v>
      </c>
      <c r="B271" t="s">
        <v>365</v>
      </c>
      <c r="C271">
        <v>1</v>
      </c>
      <c r="D271">
        <v>1</v>
      </c>
      <c r="E271">
        <v>0</v>
      </c>
      <c r="F271">
        <v>1</v>
      </c>
      <c r="G271">
        <v>0</v>
      </c>
      <c r="H271">
        <v>18773</v>
      </c>
      <c r="I271" t="s">
        <v>414</v>
      </c>
      <c r="J271">
        <v>1</v>
      </c>
      <c r="L271">
        <v>1</v>
      </c>
    </row>
    <row r="272" spans="1:12" x14ac:dyDescent="0.35">
      <c r="A272" s="1" t="s">
        <v>247</v>
      </c>
      <c r="B272" t="s">
        <v>365</v>
      </c>
      <c r="C272">
        <v>1</v>
      </c>
      <c r="D272">
        <v>1</v>
      </c>
      <c r="E272">
        <v>0</v>
      </c>
      <c r="F272">
        <v>1</v>
      </c>
      <c r="G272">
        <v>0</v>
      </c>
      <c r="H272">
        <v>18774</v>
      </c>
      <c r="I272" t="s">
        <v>414</v>
      </c>
      <c r="J272">
        <v>1</v>
      </c>
      <c r="L272">
        <v>1</v>
      </c>
    </row>
    <row r="273" spans="1:12" x14ac:dyDescent="0.35">
      <c r="A273" s="1" t="s">
        <v>257</v>
      </c>
      <c r="B273" t="s">
        <v>365</v>
      </c>
      <c r="C273">
        <v>1</v>
      </c>
      <c r="D273">
        <v>1</v>
      </c>
      <c r="E273">
        <v>0</v>
      </c>
      <c r="F273">
        <v>1</v>
      </c>
      <c r="G273">
        <v>0</v>
      </c>
      <c r="H273">
        <v>46747</v>
      </c>
      <c r="I273" t="s">
        <v>283</v>
      </c>
      <c r="J273">
        <v>1</v>
      </c>
      <c r="L273">
        <v>1</v>
      </c>
    </row>
    <row r="274" spans="1:12" x14ac:dyDescent="0.35">
      <c r="A274" s="1" t="s">
        <v>259</v>
      </c>
      <c r="B274" t="s">
        <v>365</v>
      </c>
      <c r="C274">
        <v>0.6</v>
      </c>
      <c r="D274">
        <v>0.6</v>
      </c>
      <c r="E274">
        <v>0</v>
      </c>
      <c r="F274">
        <v>1</v>
      </c>
      <c r="G274">
        <v>0</v>
      </c>
      <c r="H274">
        <v>13322</v>
      </c>
      <c r="I274" t="s">
        <v>414</v>
      </c>
      <c r="J274">
        <v>1</v>
      </c>
      <c r="L274">
        <v>1</v>
      </c>
    </row>
    <row r="275" spans="1:12" x14ac:dyDescent="0.35">
      <c r="A275" s="1" t="s">
        <v>264</v>
      </c>
      <c r="B275" t="s">
        <v>365</v>
      </c>
      <c r="C275">
        <v>1</v>
      </c>
      <c r="D275">
        <v>1</v>
      </c>
      <c r="E275">
        <v>0</v>
      </c>
      <c r="F275">
        <v>1</v>
      </c>
      <c r="G275">
        <v>0</v>
      </c>
      <c r="H275">
        <v>13326</v>
      </c>
      <c r="I275" t="s">
        <v>318</v>
      </c>
      <c r="J275">
        <v>1</v>
      </c>
      <c r="L275">
        <v>1</v>
      </c>
    </row>
    <row r="276" spans="1:12" x14ac:dyDescent="0.35">
      <c r="A276" s="1" t="s">
        <v>1139</v>
      </c>
      <c r="B276" t="s">
        <v>1168</v>
      </c>
      <c r="C276">
        <v>1</v>
      </c>
      <c r="D276">
        <v>1</v>
      </c>
      <c r="E276">
        <v>0</v>
      </c>
      <c r="F276">
        <v>1</v>
      </c>
      <c r="G276">
        <v>0</v>
      </c>
      <c r="L276">
        <v>1</v>
      </c>
    </row>
    <row r="277" spans="1:12" x14ac:dyDescent="0.35">
      <c r="A277" s="1" t="s">
        <v>1102</v>
      </c>
      <c r="B277" t="s">
        <v>1168</v>
      </c>
      <c r="C277">
        <v>1</v>
      </c>
      <c r="D277">
        <v>1</v>
      </c>
      <c r="E277">
        <v>0</v>
      </c>
      <c r="F277">
        <v>1</v>
      </c>
      <c r="G277">
        <v>0</v>
      </c>
      <c r="L277">
        <v>1</v>
      </c>
    </row>
    <row r="278" spans="1:12" x14ac:dyDescent="0.35">
      <c r="A278" s="1" t="s">
        <v>1090</v>
      </c>
      <c r="B278" t="s">
        <v>1168</v>
      </c>
      <c r="C278">
        <v>1</v>
      </c>
      <c r="D278">
        <v>1</v>
      </c>
      <c r="E278">
        <v>0</v>
      </c>
      <c r="F278">
        <v>1</v>
      </c>
      <c r="G278">
        <v>0</v>
      </c>
      <c r="L278">
        <v>1</v>
      </c>
    </row>
    <row r="279" spans="1:12" x14ac:dyDescent="0.35">
      <c r="A279" s="1" t="s">
        <v>1101</v>
      </c>
      <c r="B279" t="s">
        <v>1168</v>
      </c>
      <c r="C279">
        <v>1</v>
      </c>
      <c r="D279">
        <v>1</v>
      </c>
      <c r="E279">
        <v>0</v>
      </c>
      <c r="F279">
        <v>1</v>
      </c>
      <c r="G279">
        <v>0</v>
      </c>
      <c r="L279">
        <v>1</v>
      </c>
    </row>
    <row r="280" spans="1:12" x14ac:dyDescent="0.35">
      <c r="A280" s="1" t="s">
        <v>1094</v>
      </c>
      <c r="B280" t="s">
        <v>1168</v>
      </c>
      <c r="C280">
        <v>1</v>
      </c>
      <c r="D280">
        <v>1</v>
      </c>
      <c r="E280">
        <v>0</v>
      </c>
      <c r="F280">
        <v>1</v>
      </c>
      <c r="G280">
        <v>0</v>
      </c>
      <c r="L280">
        <v>1</v>
      </c>
    </row>
    <row r="281" spans="1:12" x14ac:dyDescent="0.35">
      <c r="A281" s="1" t="s">
        <v>1089</v>
      </c>
      <c r="B281" t="s">
        <v>1168</v>
      </c>
      <c r="C281">
        <v>1</v>
      </c>
      <c r="D281">
        <v>1</v>
      </c>
      <c r="E281">
        <v>0</v>
      </c>
      <c r="F281">
        <v>1</v>
      </c>
      <c r="G281">
        <v>0</v>
      </c>
      <c r="L281">
        <v>1</v>
      </c>
    </row>
    <row r="282" spans="1:12" x14ac:dyDescent="0.35">
      <c r="A282" s="1" t="s">
        <v>1093</v>
      </c>
      <c r="B282" t="s">
        <v>1168</v>
      </c>
      <c r="C282">
        <v>1</v>
      </c>
      <c r="D282">
        <v>1</v>
      </c>
      <c r="E282">
        <v>0</v>
      </c>
      <c r="F282">
        <v>1</v>
      </c>
      <c r="G282">
        <v>0</v>
      </c>
      <c r="L282">
        <v>1</v>
      </c>
    </row>
    <row r="283" spans="1:12" x14ac:dyDescent="0.35">
      <c r="A283" s="1" t="s">
        <v>1121</v>
      </c>
      <c r="B283" t="s">
        <v>1168</v>
      </c>
      <c r="C283">
        <v>1</v>
      </c>
      <c r="D283">
        <v>1</v>
      </c>
      <c r="E283">
        <v>0</v>
      </c>
      <c r="F283">
        <v>1</v>
      </c>
      <c r="G283">
        <v>0</v>
      </c>
      <c r="L283">
        <v>1</v>
      </c>
    </row>
    <row r="284" spans="1:12" x14ac:dyDescent="0.35">
      <c r="A284" s="1" t="s">
        <v>1092</v>
      </c>
      <c r="B284" t="s">
        <v>1168</v>
      </c>
      <c r="C284">
        <v>1</v>
      </c>
      <c r="D284">
        <v>1</v>
      </c>
      <c r="E284">
        <v>0</v>
      </c>
      <c r="F284">
        <v>1</v>
      </c>
      <c r="G284">
        <v>0</v>
      </c>
      <c r="L284">
        <v>1</v>
      </c>
    </row>
    <row r="285" spans="1:12" x14ac:dyDescent="0.35">
      <c r="A285" s="1" t="s">
        <v>1087</v>
      </c>
      <c r="B285" t="s">
        <v>1168</v>
      </c>
      <c r="C285">
        <v>1</v>
      </c>
      <c r="D285">
        <v>1</v>
      </c>
      <c r="E285">
        <v>0</v>
      </c>
      <c r="F285">
        <v>1</v>
      </c>
      <c r="G285">
        <v>0</v>
      </c>
      <c r="L285">
        <v>1</v>
      </c>
    </row>
    <row r="286" spans="1:12" x14ac:dyDescent="0.35">
      <c r="A286" s="1" t="s">
        <v>1105</v>
      </c>
      <c r="B286" t="s">
        <v>1160</v>
      </c>
      <c r="C286">
        <v>1</v>
      </c>
      <c r="D286">
        <v>1</v>
      </c>
      <c r="E286">
        <v>0</v>
      </c>
      <c r="F286">
        <v>1</v>
      </c>
      <c r="G286">
        <v>0</v>
      </c>
      <c r="L286">
        <v>1</v>
      </c>
    </row>
    <row r="287" spans="1:12" x14ac:dyDescent="0.35">
      <c r="A287" s="1" t="s">
        <v>1070</v>
      </c>
      <c r="B287" t="s">
        <v>1160</v>
      </c>
      <c r="C287">
        <v>1</v>
      </c>
      <c r="D287">
        <v>1</v>
      </c>
      <c r="E287">
        <v>0</v>
      </c>
      <c r="F287">
        <v>1</v>
      </c>
      <c r="G287">
        <v>0</v>
      </c>
      <c r="L287">
        <v>1</v>
      </c>
    </row>
    <row r="288" spans="1:12" x14ac:dyDescent="0.35">
      <c r="A288" s="1" t="s">
        <v>1125</v>
      </c>
      <c r="B288" t="s">
        <v>1160</v>
      </c>
      <c r="C288">
        <v>1</v>
      </c>
      <c r="D288">
        <v>1</v>
      </c>
      <c r="E288">
        <v>0</v>
      </c>
      <c r="F288">
        <v>1</v>
      </c>
      <c r="G288">
        <v>0</v>
      </c>
      <c r="L288">
        <v>1</v>
      </c>
    </row>
    <row r="289" spans="1:12" x14ac:dyDescent="0.35">
      <c r="A289" s="1" t="s">
        <v>10</v>
      </c>
      <c r="B289" t="s">
        <v>41</v>
      </c>
      <c r="C289">
        <v>2.8</v>
      </c>
      <c r="D289">
        <v>2.8</v>
      </c>
      <c r="E289">
        <v>0</v>
      </c>
      <c r="F289">
        <v>1</v>
      </c>
      <c r="G289">
        <v>0</v>
      </c>
      <c r="H289">
        <v>32858</v>
      </c>
      <c r="I289" t="s">
        <v>419</v>
      </c>
      <c r="J289">
        <v>1</v>
      </c>
      <c r="K289">
        <v>1</v>
      </c>
      <c r="L289">
        <v>1</v>
      </c>
    </row>
    <row r="290" spans="1:12" x14ac:dyDescent="0.35">
      <c r="A290" s="1" t="s">
        <v>21</v>
      </c>
      <c r="B290" t="s">
        <v>41</v>
      </c>
      <c r="C290">
        <v>3.1</v>
      </c>
      <c r="D290">
        <v>3.1</v>
      </c>
      <c r="E290">
        <v>0</v>
      </c>
      <c r="F290">
        <v>1</v>
      </c>
      <c r="G290">
        <v>0</v>
      </c>
      <c r="H290">
        <v>43516</v>
      </c>
      <c r="I290" t="s">
        <v>305</v>
      </c>
      <c r="J290">
        <v>1</v>
      </c>
      <c r="K290">
        <v>1</v>
      </c>
      <c r="L290">
        <v>1</v>
      </c>
    </row>
    <row r="291" spans="1:12" x14ac:dyDescent="0.35">
      <c r="A291" s="1" t="s">
        <v>452</v>
      </c>
      <c r="B291" t="s">
        <v>41</v>
      </c>
      <c r="C291">
        <v>2.8</v>
      </c>
      <c r="D291">
        <v>2.8</v>
      </c>
      <c r="E291">
        <v>0</v>
      </c>
      <c r="F291">
        <v>1</v>
      </c>
      <c r="G291">
        <v>0</v>
      </c>
      <c r="L291">
        <v>1</v>
      </c>
    </row>
    <row r="292" spans="1:12" x14ac:dyDescent="0.35">
      <c r="A292" s="1" t="s">
        <v>23</v>
      </c>
      <c r="B292" t="s">
        <v>41</v>
      </c>
      <c r="C292">
        <v>2.8</v>
      </c>
      <c r="D292">
        <v>2.8</v>
      </c>
      <c r="E292">
        <v>0</v>
      </c>
      <c r="F292">
        <v>1</v>
      </c>
      <c r="G292">
        <v>0</v>
      </c>
      <c r="H292">
        <v>32859</v>
      </c>
      <c r="I292" t="s">
        <v>419</v>
      </c>
      <c r="J292">
        <v>1</v>
      </c>
      <c r="K292">
        <v>1</v>
      </c>
      <c r="L292">
        <v>1</v>
      </c>
    </row>
    <row r="293" spans="1:12" x14ac:dyDescent="0.35">
      <c r="A293" s="1" t="s">
        <v>39</v>
      </c>
      <c r="B293" t="s">
        <v>41</v>
      </c>
      <c r="C293">
        <v>3.1</v>
      </c>
      <c r="D293">
        <v>3.1</v>
      </c>
      <c r="E293">
        <v>0</v>
      </c>
      <c r="F293">
        <v>1</v>
      </c>
      <c r="G293">
        <v>0</v>
      </c>
      <c r="H293">
        <v>34092</v>
      </c>
      <c r="I293" t="s">
        <v>305</v>
      </c>
      <c r="J293">
        <v>1</v>
      </c>
      <c r="L293">
        <v>1</v>
      </c>
    </row>
    <row r="294" spans="1:12" x14ac:dyDescent="0.35">
      <c r="A294" s="1" t="s">
        <v>41</v>
      </c>
      <c r="B294" t="s">
        <v>41</v>
      </c>
      <c r="C294">
        <v>1.5</v>
      </c>
      <c r="D294">
        <v>1.5</v>
      </c>
      <c r="E294">
        <v>0</v>
      </c>
      <c r="F294">
        <v>1</v>
      </c>
      <c r="G294">
        <v>0</v>
      </c>
      <c r="H294">
        <v>0</v>
      </c>
      <c r="I294" t="s">
        <v>433</v>
      </c>
      <c r="J294">
        <v>1</v>
      </c>
      <c r="K294">
        <v>1</v>
      </c>
      <c r="L294">
        <v>1</v>
      </c>
    </row>
    <row r="295" spans="1:12" x14ac:dyDescent="0.35">
      <c r="A295" s="1" t="s">
        <v>42</v>
      </c>
      <c r="B295" t="s">
        <v>41</v>
      </c>
      <c r="C295">
        <v>2.8</v>
      </c>
      <c r="D295">
        <v>2.8</v>
      </c>
      <c r="E295">
        <v>0</v>
      </c>
      <c r="F295">
        <v>1</v>
      </c>
      <c r="G295">
        <v>0</v>
      </c>
      <c r="H295">
        <v>32857</v>
      </c>
      <c r="I295" t="s">
        <v>419</v>
      </c>
      <c r="J295">
        <v>1</v>
      </c>
      <c r="K295">
        <v>1</v>
      </c>
      <c r="L295">
        <v>1</v>
      </c>
    </row>
    <row r="296" spans="1:12" x14ac:dyDescent="0.35">
      <c r="A296" s="1" t="s">
        <v>46</v>
      </c>
      <c r="B296" t="s">
        <v>41</v>
      </c>
      <c r="C296">
        <v>2.8</v>
      </c>
      <c r="D296">
        <v>2.8</v>
      </c>
      <c r="E296">
        <v>0</v>
      </c>
      <c r="F296">
        <v>1</v>
      </c>
      <c r="G296">
        <v>0</v>
      </c>
      <c r="H296">
        <v>32860</v>
      </c>
      <c r="I296" t="s">
        <v>419</v>
      </c>
      <c r="J296">
        <v>1</v>
      </c>
      <c r="K296">
        <v>1</v>
      </c>
      <c r="L296">
        <v>1</v>
      </c>
    </row>
    <row r="297" spans="1:12" x14ac:dyDescent="0.35">
      <c r="A297" s="1" t="s">
        <v>61</v>
      </c>
      <c r="B297" t="s">
        <v>41</v>
      </c>
      <c r="C297">
        <v>3.1</v>
      </c>
      <c r="D297">
        <v>3.1</v>
      </c>
      <c r="E297">
        <v>0</v>
      </c>
      <c r="F297">
        <v>1</v>
      </c>
      <c r="G297">
        <v>0</v>
      </c>
      <c r="H297">
        <v>30609</v>
      </c>
      <c r="I297" t="s">
        <v>305</v>
      </c>
      <c r="J297">
        <v>1</v>
      </c>
      <c r="K297">
        <v>1</v>
      </c>
      <c r="L297">
        <v>1</v>
      </c>
    </row>
    <row r="298" spans="1:12" x14ac:dyDescent="0.35">
      <c r="A298" s="1" t="s">
        <v>71</v>
      </c>
      <c r="B298" t="s">
        <v>41</v>
      </c>
      <c r="C298">
        <v>3.1</v>
      </c>
      <c r="D298">
        <v>3.1</v>
      </c>
      <c r="E298">
        <v>0</v>
      </c>
      <c r="F298">
        <v>1</v>
      </c>
      <c r="G298">
        <v>0</v>
      </c>
      <c r="H298">
        <v>37676</v>
      </c>
      <c r="I298" t="s">
        <v>305</v>
      </c>
      <c r="J298">
        <v>1</v>
      </c>
      <c r="K298">
        <v>1</v>
      </c>
      <c r="L298">
        <v>1</v>
      </c>
    </row>
    <row r="299" spans="1:12" x14ac:dyDescent="0.35">
      <c r="A299" s="1" t="s">
        <v>72</v>
      </c>
      <c r="B299" t="s">
        <v>41</v>
      </c>
      <c r="C299">
        <v>2.8</v>
      </c>
      <c r="D299">
        <v>2.8</v>
      </c>
      <c r="E299">
        <v>0</v>
      </c>
      <c r="F299">
        <v>1</v>
      </c>
      <c r="G299">
        <v>0</v>
      </c>
      <c r="H299">
        <v>32861</v>
      </c>
      <c r="I299" t="s">
        <v>419</v>
      </c>
      <c r="J299">
        <v>1</v>
      </c>
      <c r="K299">
        <v>1</v>
      </c>
      <c r="L299">
        <v>1</v>
      </c>
    </row>
    <row r="300" spans="1:12" x14ac:dyDescent="0.35">
      <c r="A300" s="1" t="s">
        <v>73</v>
      </c>
      <c r="B300" t="s">
        <v>41</v>
      </c>
      <c r="C300">
        <v>2.8</v>
      </c>
      <c r="D300">
        <v>2.8</v>
      </c>
      <c r="E300">
        <v>0</v>
      </c>
      <c r="F300">
        <v>1</v>
      </c>
      <c r="G300">
        <v>0</v>
      </c>
      <c r="H300">
        <v>32862</v>
      </c>
      <c r="I300" t="s">
        <v>419</v>
      </c>
      <c r="J300">
        <v>1</v>
      </c>
      <c r="K300">
        <v>1</v>
      </c>
      <c r="L300">
        <v>1</v>
      </c>
    </row>
    <row r="301" spans="1:12" x14ac:dyDescent="0.35">
      <c r="A301" s="1" t="s">
        <v>18</v>
      </c>
      <c r="B301" t="s">
        <v>385</v>
      </c>
      <c r="C301">
        <v>2.8</v>
      </c>
      <c r="D301">
        <v>2.8</v>
      </c>
      <c r="E301">
        <v>0</v>
      </c>
      <c r="F301">
        <v>1</v>
      </c>
      <c r="G301">
        <v>0</v>
      </c>
      <c r="H301">
        <v>32319</v>
      </c>
      <c r="I301" t="s">
        <v>418</v>
      </c>
      <c r="J301">
        <v>1</v>
      </c>
      <c r="K301">
        <v>1</v>
      </c>
      <c r="L301">
        <v>1</v>
      </c>
    </row>
    <row r="302" spans="1:12" x14ac:dyDescent="0.35">
      <c r="A302" s="1" t="s">
        <v>34</v>
      </c>
      <c r="B302" t="s">
        <v>385</v>
      </c>
      <c r="C302">
        <v>2.8</v>
      </c>
      <c r="D302">
        <v>2.8</v>
      </c>
      <c r="E302">
        <v>0</v>
      </c>
      <c r="F302">
        <v>1</v>
      </c>
      <c r="G302">
        <v>0</v>
      </c>
      <c r="H302">
        <v>32314</v>
      </c>
      <c r="I302" t="s">
        <v>418</v>
      </c>
      <c r="J302">
        <v>1</v>
      </c>
      <c r="K302">
        <v>1</v>
      </c>
      <c r="L302">
        <v>1</v>
      </c>
    </row>
    <row r="303" spans="1:12" x14ac:dyDescent="0.35">
      <c r="A303" s="1" t="s">
        <v>47</v>
      </c>
      <c r="B303" t="s">
        <v>385</v>
      </c>
      <c r="C303">
        <v>2.8</v>
      </c>
      <c r="D303">
        <v>2.8</v>
      </c>
      <c r="E303">
        <v>0</v>
      </c>
      <c r="F303">
        <v>1</v>
      </c>
      <c r="G303">
        <v>0</v>
      </c>
      <c r="H303">
        <v>32316</v>
      </c>
      <c r="I303" t="s">
        <v>418</v>
      </c>
      <c r="J303">
        <v>1</v>
      </c>
      <c r="K303">
        <v>1</v>
      </c>
      <c r="L303">
        <v>1</v>
      </c>
    </row>
    <row r="304" spans="1:12" x14ac:dyDescent="0.35">
      <c r="A304" s="1" t="s">
        <v>51</v>
      </c>
      <c r="B304" t="s">
        <v>385</v>
      </c>
      <c r="C304">
        <v>2.8</v>
      </c>
      <c r="D304">
        <v>2.8</v>
      </c>
      <c r="E304">
        <v>0</v>
      </c>
      <c r="F304">
        <v>1</v>
      </c>
      <c r="G304">
        <v>0</v>
      </c>
      <c r="H304">
        <v>32317</v>
      </c>
      <c r="I304" t="s">
        <v>418</v>
      </c>
      <c r="J304">
        <v>1</v>
      </c>
      <c r="K304">
        <v>1</v>
      </c>
      <c r="L304">
        <v>1</v>
      </c>
    </row>
    <row r="305" spans="1:12" x14ac:dyDescent="0.35">
      <c r="A305" s="1" t="s">
        <v>55</v>
      </c>
      <c r="B305" t="s">
        <v>385</v>
      </c>
      <c r="C305">
        <v>2.8</v>
      </c>
      <c r="D305">
        <v>2.8</v>
      </c>
      <c r="E305">
        <v>0</v>
      </c>
      <c r="F305">
        <v>1</v>
      </c>
      <c r="G305">
        <v>0</v>
      </c>
      <c r="H305">
        <v>32318</v>
      </c>
      <c r="I305" t="s">
        <v>418</v>
      </c>
      <c r="J305">
        <v>1</v>
      </c>
      <c r="K305">
        <v>1</v>
      </c>
      <c r="L305">
        <v>1</v>
      </c>
    </row>
    <row r="306" spans="1:12" x14ac:dyDescent="0.35">
      <c r="A306" s="1" t="s">
        <v>122</v>
      </c>
      <c r="B306" t="s">
        <v>307</v>
      </c>
      <c r="C306">
        <v>1</v>
      </c>
      <c r="D306">
        <v>1</v>
      </c>
      <c r="E306">
        <v>0</v>
      </c>
      <c r="F306">
        <v>1</v>
      </c>
      <c r="G306">
        <v>0</v>
      </c>
      <c r="H306">
        <v>0</v>
      </c>
      <c r="I306" t="s">
        <v>307</v>
      </c>
      <c r="J306">
        <v>1</v>
      </c>
      <c r="K306">
        <v>1</v>
      </c>
      <c r="L306">
        <v>1</v>
      </c>
    </row>
    <row r="307" spans="1:12" x14ac:dyDescent="0.35">
      <c r="A307" s="1" t="s">
        <v>209</v>
      </c>
      <c r="B307" t="s">
        <v>307</v>
      </c>
      <c r="C307">
        <v>1</v>
      </c>
      <c r="D307">
        <v>1</v>
      </c>
      <c r="E307">
        <v>0</v>
      </c>
      <c r="F307">
        <v>1</v>
      </c>
      <c r="G307">
        <v>0</v>
      </c>
      <c r="H307">
        <v>0</v>
      </c>
      <c r="I307" t="s">
        <v>363</v>
      </c>
      <c r="J307">
        <v>1</v>
      </c>
      <c r="K307">
        <v>1</v>
      </c>
      <c r="L307">
        <v>1</v>
      </c>
    </row>
    <row r="308" spans="1:12" x14ac:dyDescent="0.35">
      <c r="A308" s="1" t="s">
        <v>210</v>
      </c>
      <c r="B308" t="s">
        <v>307</v>
      </c>
      <c r="C308">
        <v>0.6</v>
      </c>
      <c r="D308">
        <v>0.6</v>
      </c>
      <c r="E308">
        <v>0</v>
      </c>
      <c r="F308">
        <v>1</v>
      </c>
      <c r="G308">
        <v>0</v>
      </c>
      <c r="H308">
        <v>0</v>
      </c>
      <c r="I308" t="s">
        <v>363</v>
      </c>
      <c r="J308">
        <v>1</v>
      </c>
      <c r="K308">
        <v>1</v>
      </c>
      <c r="L308">
        <v>1</v>
      </c>
    </row>
    <row r="309" spans="1:12" x14ac:dyDescent="0.35">
      <c r="A309" s="1" t="s">
        <v>262</v>
      </c>
      <c r="B309" t="s">
        <v>307</v>
      </c>
      <c r="C309">
        <v>0.6</v>
      </c>
      <c r="D309">
        <v>0.6</v>
      </c>
      <c r="E309">
        <v>0</v>
      </c>
      <c r="F309">
        <v>1</v>
      </c>
      <c r="G309">
        <v>0</v>
      </c>
      <c r="H309">
        <v>0</v>
      </c>
      <c r="I309" t="s">
        <v>307</v>
      </c>
      <c r="J309">
        <v>1</v>
      </c>
      <c r="K309">
        <v>1</v>
      </c>
      <c r="L309">
        <v>1</v>
      </c>
    </row>
    <row r="310" spans="1:12" x14ac:dyDescent="0.35">
      <c r="A310" s="1" t="s">
        <v>1050</v>
      </c>
      <c r="B310" t="s">
        <v>1159</v>
      </c>
      <c r="C310">
        <v>2.8</v>
      </c>
      <c r="D310">
        <v>2.8</v>
      </c>
      <c r="E310">
        <v>0</v>
      </c>
      <c r="F310">
        <v>1</v>
      </c>
      <c r="G310">
        <v>0</v>
      </c>
      <c r="L310">
        <v>1</v>
      </c>
    </row>
    <row r="311" spans="1:12" x14ac:dyDescent="0.35">
      <c r="A311" s="1" t="s">
        <v>1056</v>
      </c>
      <c r="B311" t="s">
        <v>1159</v>
      </c>
      <c r="C311">
        <v>2.8</v>
      </c>
      <c r="D311">
        <v>2.8</v>
      </c>
      <c r="E311">
        <v>0</v>
      </c>
      <c r="F311">
        <v>1</v>
      </c>
      <c r="G311">
        <v>0</v>
      </c>
      <c r="L311">
        <v>1</v>
      </c>
    </row>
    <row r="312" spans="1:12" x14ac:dyDescent="0.35">
      <c r="A312" s="1" t="s">
        <v>1049</v>
      </c>
      <c r="B312" t="s">
        <v>1159</v>
      </c>
      <c r="C312">
        <v>2.8</v>
      </c>
      <c r="D312">
        <v>2.8</v>
      </c>
      <c r="E312">
        <v>0</v>
      </c>
      <c r="F312">
        <v>1</v>
      </c>
      <c r="G312">
        <v>0</v>
      </c>
      <c r="L312">
        <v>1</v>
      </c>
    </row>
    <row r="313" spans="1:12" x14ac:dyDescent="0.35">
      <c r="A313" s="1" t="s">
        <v>1107</v>
      </c>
      <c r="B313" t="s">
        <v>1159</v>
      </c>
      <c r="C313">
        <v>2.8</v>
      </c>
      <c r="D313">
        <v>2.8</v>
      </c>
      <c r="E313">
        <v>0</v>
      </c>
      <c r="F313">
        <v>1</v>
      </c>
      <c r="G313">
        <v>0</v>
      </c>
      <c r="L313">
        <v>1</v>
      </c>
    </row>
    <row r="314" spans="1:12" x14ac:dyDescent="0.35">
      <c r="A314" s="1" t="s">
        <v>522</v>
      </c>
      <c r="B314" t="s">
        <v>535</v>
      </c>
      <c r="C314">
        <v>2.8</v>
      </c>
      <c r="D314">
        <v>2.8</v>
      </c>
      <c r="E314">
        <v>0</v>
      </c>
      <c r="F314">
        <v>1</v>
      </c>
      <c r="G314">
        <v>0</v>
      </c>
      <c r="L314">
        <v>1</v>
      </c>
    </row>
    <row r="315" spans="1:12" x14ac:dyDescent="0.35">
      <c r="A315" s="1" t="s">
        <v>444</v>
      </c>
      <c r="B315" t="s">
        <v>468</v>
      </c>
      <c r="C315">
        <v>2.8</v>
      </c>
      <c r="D315">
        <v>2.8</v>
      </c>
      <c r="E315">
        <v>0</v>
      </c>
      <c r="F315">
        <v>1</v>
      </c>
      <c r="G315">
        <v>0</v>
      </c>
      <c r="L315">
        <v>1</v>
      </c>
    </row>
    <row r="316" spans="1:12" x14ac:dyDescent="0.35">
      <c r="A316" s="1" t="s">
        <v>449</v>
      </c>
      <c r="B316" t="s">
        <v>463</v>
      </c>
      <c r="C316">
        <v>1</v>
      </c>
      <c r="D316">
        <v>1</v>
      </c>
      <c r="E316">
        <v>0</v>
      </c>
      <c r="F316">
        <v>1</v>
      </c>
      <c r="G316">
        <v>0</v>
      </c>
      <c r="L316">
        <v>1</v>
      </c>
    </row>
    <row r="317" spans="1:12" x14ac:dyDescent="0.35">
      <c r="A317" s="1" t="s">
        <v>8</v>
      </c>
      <c r="B317" t="s">
        <v>382</v>
      </c>
      <c r="C317">
        <v>3.1</v>
      </c>
      <c r="D317">
        <v>3.1</v>
      </c>
      <c r="E317">
        <v>0</v>
      </c>
      <c r="F317">
        <v>1</v>
      </c>
      <c r="G317">
        <v>0</v>
      </c>
      <c r="H317">
        <v>32458</v>
      </c>
      <c r="I317" t="s">
        <v>288</v>
      </c>
      <c r="J317">
        <v>1</v>
      </c>
      <c r="K317">
        <v>1</v>
      </c>
      <c r="L317">
        <v>1</v>
      </c>
    </row>
    <row r="318" spans="1:12" x14ac:dyDescent="0.35">
      <c r="A318" s="1" t="s">
        <v>506</v>
      </c>
      <c r="B318" t="s">
        <v>382</v>
      </c>
      <c r="C318">
        <v>2.8</v>
      </c>
      <c r="D318">
        <v>2.8</v>
      </c>
      <c r="E318">
        <v>0</v>
      </c>
      <c r="F318">
        <v>1</v>
      </c>
      <c r="G318">
        <v>0</v>
      </c>
      <c r="L318">
        <v>1</v>
      </c>
    </row>
    <row r="319" spans="1:12" x14ac:dyDescent="0.35">
      <c r="A319" s="1" t="s">
        <v>528</v>
      </c>
      <c r="B319" t="s">
        <v>382</v>
      </c>
      <c r="C319">
        <v>2.8</v>
      </c>
      <c r="D319">
        <v>2.8</v>
      </c>
      <c r="E319">
        <v>0</v>
      </c>
      <c r="F319">
        <v>1</v>
      </c>
      <c r="G319">
        <v>0</v>
      </c>
      <c r="L319">
        <v>1</v>
      </c>
    </row>
    <row r="320" spans="1:12" x14ac:dyDescent="0.35">
      <c r="A320" s="1" t="s">
        <v>458</v>
      </c>
      <c r="B320" t="s">
        <v>382</v>
      </c>
      <c r="C320">
        <v>2.8</v>
      </c>
      <c r="D320">
        <v>2.8</v>
      </c>
      <c r="E320">
        <v>0</v>
      </c>
      <c r="F320">
        <v>1</v>
      </c>
      <c r="G320">
        <v>0</v>
      </c>
      <c r="L320">
        <v>1</v>
      </c>
    </row>
    <row r="321" spans="1:12" x14ac:dyDescent="0.35">
      <c r="A321" s="1" t="s">
        <v>44</v>
      </c>
      <c r="B321" t="s">
        <v>382</v>
      </c>
      <c r="C321">
        <v>2.8</v>
      </c>
      <c r="D321">
        <v>2.8</v>
      </c>
      <c r="E321">
        <v>0</v>
      </c>
      <c r="F321">
        <v>1</v>
      </c>
      <c r="G321">
        <v>0</v>
      </c>
      <c r="L321">
        <v>1</v>
      </c>
    </row>
    <row r="322" spans="1:12" x14ac:dyDescent="0.35">
      <c r="A322" s="1" t="s">
        <v>507</v>
      </c>
      <c r="B322" t="s">
        <v>382</v>
      </c>
      <c r="C322">
        <v>2.8</v>
      </c>
      <c r="D322">
        <v>2.8</v>
      </c>
      <c r="E322">
        <v>0</v>
      </c>
      <c r="F322">
        <v>1</v>
      </c>
      <c r="G322">
        <v>0</v>
      </c>
      <c r="L322">
        <v>1</v>
      </c>
    </row>
    <row r="323" spans="1:12" x14ac:dyDescent="0.35">
      <c r="A323" s="1" t="s">
        <v>13</v>
      </c>
      <c r="B323" t="s">
        <v>378</v>
      </c>
      <c r="C323">
        <v>3.1</v>
      </c>
      <c r="D323">
        <v>3.1</v>
      </c>
      <c r="E323">
        <v>0</v>
      </c>
      <c r="F323">
        <v>1</v>
      </c>
      <c r="G323">
        <v>0</v>
      </c>
      <c r="H323">
        <v>44164</v>
      </c>
      <c r="I323" t="s">
        <v>279</v>
      </c>
      <c r="J323">
        <v>1</v>
      </c>
      <c r="K323">
        <v>1</v>
      </c>
      <c r="L323">
        <v>1</v>
      </c>
    </row>
    <row r="324" spans="1:12" x14ac:dyDescent="0.35">
      <c r="A324" s="1" t="s">
        <v>17</v>
      </c>
      <c r="B324" t="s">
        <v>378</v>
      </c>
      <c r="C324">
        <v>2.8</v>
      </c>
      <c r="D324">
        <v>2.8</v>
      </c>
      <c r="E324">
        <v>0</v>
      </c>
      <c r="F324">
        <v>1</v>
      </c>
      <c r="G324">
        <v>0</v>
      </c>
      <c r="H324">
        <v>44151</v>
      </c>
      <c r="I324" t="s">
        <v>300</v>
      </c>
      <c r="J324">
        <v>1</v>
      </c>
      <c r="K324">
        <v>1</v>
      </c>
      <c r="L324">
        <v>1</v>
      </c>
    </row>
    <row r="325" spans="1:12" x14ac:dyDescent="0.35">
      <c r="A325" s="1" t="s">
        <v>33</v>
      </c>
      <c r="B325" t="s">
        <v>378</v>
      </c>
      <c r="C325">
        <v>2.8</v>
      </c>
      <c r="D325">
        <v>2.8</v>
      </c>
      <c r="E325">
        <v>0</v>
      </c>
      <c r="F325">
        <v>1</v>
      </c>
      <c r="G325">
        <v>0</v>
      </c>
      <c r="H325">
        <v>44707</v>
      </c>
      <c r="I325" t="s">
        <v>321</v>
      </c>
      <c r="J325">
        <v>1</v>
      </c>
      <c r="K325">
        <v>1</v>
      </c>
      <c r="L325">
        <v>1</v>
      </c>
    </row>
    <row r="326" spans="1:12" x14ac:dyDescent="0.35">
      <c r="A326" s="1" t="s">
        <v>518</v>
      </c>
      <c r="B326" t="s">
        <v>378</v>
      </c>
      <c r="C326">
        <v>2.8</v>
      </c>
      <c r="D326">
        <v>2.8</v>
      </c>
      <c r="E326">
        <v>0</v>
      </c>
      <c r="F326">
        <v>1</v>
      </c>
      <c r="G326">
        <v>0</v>
      </c>
      <c r="L326">
        <v>1</v>
      </c>
    </row>
    <row r="327" spans="1:12" x14ac:dyDescent="0.35">
      <c r="A327" s="1" t="s">
        <v>37</v>
      </c>
      <c r="B327" t="s">
        <v>378</v>
      </c>
      <c r="C327">
        <v>3.1</v>
      </c>
      <c r="D327">
        <v>3.1</v>
      </c>
      <c r="E327">
        <v>0</v>
      </c>
      <c r="F327">
        <v>1</v>
      </c>
      <c r="G327">
        <v>0</v>
      </c>
      <c r="H327">
        <v>45801</v>
      </c>
      <c r="I327" t="s">
        <v>279</v>
      </c>
      <c r="J327">
        <v>1</v>
      </c>
      <c r="K327">
        <v>1</v>
      </c>
      <c r="L327">
        <v>1</v>
      </c>
    </row>
    <row r="328" spans="1:12" x14ac:dyDescent="0.35">
      <c r="A328" s="1" t="s">
        <v>45</v>
      </c>
      <c r="B328" t="s">
        <v>378</v>
      </c>
      <c r="C328">
        <v>3.1</v>
      </c>
      <c r="D328">
        <v>3.1</v>
      </c>
      <c r="E328">
        <v>0</v>
      </c>
      <c r="F328">
        <v>1</v>
      </c>
      <c r="G328">
        <v>0</v>
      </c>
      <c r="H328">
        <v>44175</v>
      </c>
      <c r="I328" t="s">
        <v>279</v>
      </c>
      <c r="J328">
        <v>1</v>
      </c>
      <c r="K328">
        <v>1</v>
      </c>
      <c r="L328">
        <v>1</v>
      </c>
    </row>
    <row r="329" spans="1:12" x14ac:dyDescent="0.35">
      <c r="A329" s="1" t="s">
        <v>50</v>
      </c>
      <c r="B329" t="s">
        <v>378</v>
      </c>
      <c r="C329">
        <v>2.8</v>
      </c>
      <c r="D329">
        <v>2.8</v>
      </c>
      <c r="E329">
        <v>0</v>
      </c>
      <c r="F329">
        <v>1</v>
      </c>
      <c r="G329">
        <v>0</v>
      </c>
      <c r="H329">
        <v>44160</v>
      </c>
      <c r="I329" t="s">
        <v>279</v>
      </c>
      <c r="J329">
        <v>1</v>
      </c>
      <c r="K329">
        <v>1</v>
      </c>
      <c r="L329">
        <v>1</v>
      </c>
    </row>
    <row r="330" spans="1:12" x14ac:dyDescent="0.35">
      <c r="A330" s="1" t="s">
        <v>53</v>
      </c>
      <c r="B330" t="s">
        <v>378</v>
      </c>
      <c r="C330">
        <v>3.1</v>
      </c>
      <c r="D330">
        <v>3.1</v>
      </c>
      <c r="E330">
        <v>0</v>
      </c>
      <c r="F330">
        <v>1</v>
      </c>
      <c r="G330">
        <v>0</v>
      </c>
      <c r="H330">
        <v>45802</v>
      </c>
      <c r="I330" t="s">
        <v>279</v>
      </c>
      <c r="J330">
        <v>1</v>
      </c>
      <c r="K330">
        <v>1</v>
      </c>
      <c r="L330">
        <v>1</v>
      </c>
    </row>
    <row r="331" spans="1:12" x14ac:dyDescent="0.35">
      <c r="A331" s="1" t="s">
        <v>68</v>
      </c>
      <c r="B331" t="s">
        <v>378</v>
      </c>
      <c r="C331">
        <v>2.8</v>
      </c>
      <c r="D331">
        <v>2.8</v>
      </c>
      <c r="E331">
        <v>0</v>
      </c>
      <c r="F331">
        <v>1</v>
      </c>
      <c r="G331">
        <v>0</v>
      </c>
      <c r="H331">
        <v>44168</v>
      </c>
      <c r="I331" t="s">
        <v>338</v>
      </c>
      <c r="J331">
        <v>1</v>
      </c>
      <c r="K331">
        <v>1</v>
      </c>
      <c r="L331">
        <v>1</v>
      </c>
    </row>
    <row r="332" spans="1:12" x14ac:dyDescent="0.35">
      <c r="A332" s="1" t="s">
        <v>74</v>
      </c>
      <c r="B332" t="s">
        <v>378</v>
      </c>
      <c r="C332">
        <v>3.1</v>
      </c>
      <c r="D332">
        <v>3.1</v>
      </c>
      <c r="E332">
        <v>0</v>
      </c>
      <c r="F332">
        <v>1</v>
      </c>
      <c r="G332">
        <v>0</v>
      </c>
      <c r="H332">
        <v>44177</v>
      </c>
      <c r="I332" t="s">
        <v>279</v>
      </c>
      <c r="J332">
        <v>1</v>
      </c>
      <c r="K332">
        <v>1</v>
      </c>
      <c r="L332">
        <v>1</v>
      </c>
    </row>
    <row r="333" spans="1:12" x14ac:dyDescent="0.35">
      <c r="A333" s="1" t="s">
        <v>1120</v>
      </c>
      <c r="B333" t="s">
        <v>1173</v>
      </c>
      <c r="C333">
        <v>2.8</v>
      </c>
      <c r="D333">
        <v>2.8</v>
      </c>
      <c r="E333">
        <v>0</v>
      </c>
      <c r="F333">
        <v>1</v>
      </c>
      <c r="G333">
        <v>0</v>
      </c>
      <c r="L333">
        <v>1</v>
      </c>
    </row>
    <row r="334" spans="1:12" x14ac:dyDescent="0.35">
      <c r="A334" s="1" t="s">
        <v>1080</v>
      </c>
      <c r="B334" t="s">
        <v>1166</v>
      </c>
      <c r="C334">
        <v>1</v>
      </c>
      <c r="D334">
        <v>1</v>
      </c>
      <c r="E334">
        <v>0</v>
      </c>
      <c r="F334">
        <v>1</v>
      </c>
      <c r="G334">
        <v>0</v>
      </c>
      <c r="L334">
        <v>1</v>
      </c>
    </row>
    <row r="335" spans="1:12" x14ac:dyDescent="0.35">
      <c r="A335" s="1" t="s">
        <v>428</v>
      </c>
      <c r="B335" t="s">
        <v>436</v>
      </c>
      <c r="C335">
        <v>1</v>
      </c>
      <c r="D335">
        <v>0.6</v>
      </c>
      <c r="E335">
        <v>0</v>
      </c>
      <c r="F335">
        <v>1</v>
      </c>
      <c r="G335">
        <v>0</v>
      </c>
      <c r="H335">
        <v>0</v>
      </c>
      <c r="I335" t="s">
        <v>433</v>
      </c>
      <c r="J335">
        <v>1</v>
      </c>
      <c r="K335">
        <v>1</v>
      </c>
      <c r="L335">
        <v>1</v>
      </c>
    </row>
    <row r="336" spans="1:12" x14ac:dyDescent="0.35">
      <c r="A336" s="1" t="s">
        <v>93</v>
      </c>
      <c r="B336" t="s">
        <v>371</v>
      </c>
      <c r="C336">
        <v>1</v>
      </c>
      <c r="D336">
        <v>1</v>
      </c>
      <c r="E336">
        <v>0</v>
      </c>
      <c r="F336">
        <v>1</v>
      </c>
      <c r="G336">
        <v>0</v>
      </c>
      <c r="H336">
        <v>13328</v>
      </c>
      <c r="I336" t="s">
        <v>413</v>
      </c>
      <c r="J336">
        <v>1</v>
      </c>
      <c r="L336">
        <v>1</v>
      </c>
    </row>
    <row r="337" spans="1:12" x14ac:dyDescent="0.35">
      <c r="A337" s="1" t="s">
        <v>100</v>
      </c>
      <c r="B337" t="s">
        <v>371</v>
      </c>
      <c r="C337">
        <v>1</v>
      </c>
      <c r="D337">
        <v>1</v>
      </c>
      <c r="E337">
        <v>0</v>
      </c>
      <c r="F337">
        <v>1</v>
      </c>
      <c r="G337">
        <v>0</v>
      </c>
      <c r="H337">
        <v>29467</v>
      </c>
      <c r="I337" t="s">
        <v>403</v>
      </c>
      <c r="J337">
        <v>1</v>
      </c>
      <c r="L337">
        <v>1</v>
      </c>
    </row>
    <row r="338" spans="1:12" x14ac:dyDescent="0.35">
      <c r="A338" s="1" t="s">
        <v>109</v>
      </c>
      <c r="B338" t="s">
        <v>371</v>
      </c>
      <c r="C338">
        <v>1</v>
      </c>
      <c r="D338">
        <v>0.6</v>
      </c>
      <c r="E338">
        <v>0</v>
      </c>
      <c r="F338">
        <v>1</v>
      </c>
      <c r="G338">
        <v>0</v>
      </c>
      <c r="L338">
        <v>1</v>
      </c>
    </row>
    <row r="339" spans="1:12" x14ac:dyDescent="0.35">
      <c r="A339" s="1" t="s">
        <v>113</v>
      </c>
      <c r="B339" t="s">
        <v>371</v>
      </c>
      <c r="C339">
        <v>0.6</v>
      </c>
      <c r="D339">
        <v>0.6</v>
      </c>
      <c r="E339">
        <v>0</v>
      </c>
      <c r="F339">
        <v>1</v>
      </c>
      <c r="G339">
        <v>0</v>
      </c>
      <c r="H339">
        <v>33976</v>
      </c>
      <c r="I339" t="s">
        <v>363</v>
      </c>
      <c r="J339">
        <v>1</v>
      </c>
      <c r="K339">
        <v>1</v>
      </c>
      <c r="L339">
        <v>1</v>
      </c>
    </row>
    <row r="340" spans="1:12" x14ac:dyDescent="0.35">
      <c r="A340" s="1" t="s">
        <v>119</v>
      </c>
      <c r="B340" t="s">
        <v>371</v>
      </c>
      <c r="C340">
        <v>0.6</v>
      </c>
      <c r="D340">
        <v>0.6</v>
      </c>
      <c r="E340">
        <v>0</v>
      </c>
      <c r="F340">
        <v>1</v>
      </c>
      <c r="G340">
        <v>0</v>
      </c>
      <c r="H340">
        <v>5872</v>
      </c>
      <c r="I340" t="s">
        <v>413</v>
      </c>
      <c r="J340">
        <v>1</v>
      </c>
      <c r="L340">
        <v>1</v>
      </c>
    </row>
    <row r="341" spans="1:12" x14ac:dyDescent="0.35">
      <c r="A341" s="1" t="s">
        <v>141</v>
      </c>
      <c r="B341" t="s">
        <v>371</v>
      </c>
      <c r="C341">
        <v>1</v>
      </c>
      <c r="D341">
        <v>1</v>
      </c>
      <c r="E341">
        <v>0</v>
      </c>
      <c r="F341">
        <v>1</v>
      </c>
      <c r="G341">
        <v>0</v>
      </c>
      <c r="H341">
        <v>13329</v>
      </c>
      <c r="I341" t="s">
        <v>281</v>
      </c>
      <c r="J341">
        <v>1</v>
      </c>
      <c r="L341">
        <v>1</v>
      </c>
    </row>
    <row r="342" spans="1:12" x14ac:dyDescent="0.35">
      <c r="A342" s="1" t="s">
        <v>150</v>
      </c>
      <c r="B342" t="s">
        <v>371</v>
      </c>
      <c r="C342">
        <v>0.6</v>
      </c>
      <c r="D342">
        <v>0.6</v>
      </c>
      <c r="E342">
        <v>0</v>
      </c>
      <c r="F342">
        <v>1</v>
      </c>
      <c r="G342">
        <v>0</v>
      </c>
      <c r="H342">
        <v>5864</v>
      </c>
      <c r="I342" t="s">
        <v>413</v>
      </c>
      <c r="J342">
        <v>1</v>
      </c>
      <c r="L342">
        <v>1</v>
      </c>
    </row>
    <row r="343" spans="1:12" x14ac:dyDescent="0.35">
      <c r="A343" s="1" t="s">
        <v>168</v>
      </c>
      <c r="B343" t="s">
        <v>371</v>
      </c>
      <c r="C343">
        <v>1</v>
      </c>
      <c r="D343">
        <v>1</v>
      </c>
      <c r="E343">
        <v>0</v>
      </c>
      <c r="F343">
        <v>1</v>
      </c>
      <c r="G343">
        <v>0</v>
      </c>
      <c r="H343">
        <v>45586</v>
      </c>
      <c r="I343" t="s">
        <v>283</v>
      </c>
      <c r="J343">
        <v>1</v>
      </c>
      <c r="L343">
        <v>1</v>
      </c>
    </row>
    <row r="344" spans="1:12" x14ac:dyDescent="0.35">
      <c r="A344" s="1" t="s">
        <v>204</v>
      </c>
      <c r="B344" t="s">
        <v>371</v>
      </c>
      <c r="C344">
        <v>1</v>
      </c>
      <c r="D344">
        <v>1</v>
      </c>
      <c r="E344">
        <v>0</v>
      </c>
      <c r="F344">
        <v>1</v>
      </c>
      <c r="G344">
        <v>0</v>
      </c>
      <c r="H344">
        <v>19030</v>
      </c>
      <c r="I344" t="s">
        <v>403</v>
      </c>
      <c r="J344">
        <v>1</v>
      </c>
      <c r="L344">
        <v>1</v>
      </c>
    </row>
    <row r="345" spans="1:12" x14ac:dyDescent="0.35">
      <c r="A345" s="1" t="s">
        <v>214</v>
      </c>
      <c r="B345" t="s">
        <v>371</v>
      </c>
      <c r="C345">
        <v>1</v>
      </c>
      <c r="D345">
        <v>1</v>
      </c>
      <c r="E345">
        <v>0</v>
      </c>
      <c r="F345">
        <v>1</v>
      </c>
      <c r="G345">
        <v>0</v>
      </c>
      <c r="H345">
        <v>33977</v>
      </c>
      <c r="I345" t="s">
        <v>303</v>
      </c>
      <c r="J345">
        <v>1</v>
      </c>
      <c r="K345">
        <v>1</v>
      </c>
      <c r="L345">
        <v>1</v>
      </c>
    </row>
    <row r="346" spans="1:12" x14ac:dyDescent="0.35">
      <c r="A346" s="1" t="s">
        <v>215</v>
      </c>
      <c r="B346" t="s">
        <v>371</v>
      </c>
      <c r="C346">
        <v>1</v>
      </c>
      <c r="D346">
        <v>1</v>
      </c>
      <c r="E346">
        <v>0</v>
      </c>
      <c r="F346">
        <v>1</v>
      </c>
      <c r="G346">
        <v>0</v>
      </c>
      <c r="H346">
        <v>18786</v>
      </c>
      <c r="I346" t="s">
        <v>413</v>
      </c>
      <c r="J346">
        <v>1</v>
      </c>
      <c r="L346">
        <v>1</v>
      </c>
    </row>
    <row r="347" spans="1:12" x14ac:dyDescent="0.35">
      <c r="A347" s="1" t="s">
        <v>221</v>
      </c>
      <c r="B347" t="s">
        <v>371</v>
      </c>
      <c r="C347">
        <v>1</v>
      </c>
      <c r="D347">
        <v>1</v>
      </c>
      <c r="E347">
        <v>0</v>
      </c>
      <c r="F347">
        <v>1</v>
      </c>
      <c r="G347">
        <v>0</v>
      </c>
      <c r="H347">
        <v>18787</v>
      </c>
      <c r="I347" t="s">
        <v>413</v>
      </c>
      <c r="J347">
        <v>1</v>
      </c>
      <c r="L347">
        <v>1</v>
      </c>
    </row>
    <row r="348" spans="1:12" x14ac:dyDescent="0.35">
      <c r="A348" s="1" t="s">
        <v>240</v>
      </c>
      <c r="B348" t="s">
        <v>371</v>
      </c>
      <c r="C348">
        <v>1</v>
      </c>
      <c r="D348">
        <v>1</v>
      </c>
      <c r="E348">
        <v>0</v>
      </c>
      <c r="F348">
        <v>1</v>
      </c>
      <c r="G348">
        <v>0</v>
      </c>
      <c r="H348">
        <v>46748</v>
      </c>
      <c r="I348" t="s">
        <v>283</v>
      </c>
      <c r="J348">
        <v>1</v>
      </c>
      <c r="L348">
        <v>1</v>
      </c>
    </row>
    <row r="349" spans="1:12" x14ac:dyDescent="0.35">
      <c r="A349" s="1" t="s">
        <v>245</v>
      </c>
      <c r="B349" t="s">
        <v>371</v>
      </c>
      <c r="C349">
        <v>1</v>
      </c>
      <c r="D349">
        <v>1</v>
      </c>
      <c r="E349">
        <v>0</v>
      </c>
      <c r="F349">
        <v>1</v>
      </c>
      <c r="G349">
        <v>0</v>
      </c>
      <c r="H349">
        <v>18785</v>
      </c>
      <c r="I349" t="s">
        <v>413</v>
      </c>
      <c r="J349">
        <v>1</v>
      </c>
      <c r="L349">
        <v>1</v>
      </c>
    </row>
    <row r="350" spans="1:12" x14ac:dyDescent="0.35">
      <c r="A350" s="1" t="s">
        <v>266</v>
      </c>
      <c r="B350" t="s">
        <v>371</v>
      </c>
      <c r="C350">
        <v>0.6</v>
      </c>
      <c r="D350">
        <v>0.6</v>
      </c>
      <c r="E350">
        <v>0</v>
      </c>
      <c r="F350">
        <v>1</v>
      </c>
      <c r="G350">
        <v>0</v>
      </c>
      <c r="H350">
        <v>5873</v>
      </c>
      <c r="I350" t="s">
        <v>413</v>
      </c>
      <c r="J350">
        <v>1</v>
      </c>
      <c r="L350">
        <v>1</v>
      </c>
    </row>
    <row r="351" spans="1:12" x14ac:dyDescent="0.35">
      <c r="A351" s="1" t="s">
        <v>509</v>
      </c>
      <c r="B351" t="s">
        <v>372</v>
      </c>
      <c r="C351">
        <v>1</v>
      </c>
      <c r="D351">
        <v>1</v>
      </c>
      <c r="E351">
        <v>0</v>
      </c>
      <c r="F351">
        <v>1</v>
      </c>
      <c r="G351">
        <v>0</v>
      </c>
      <c r="L351">
        <v>1</v>
      </c>
    </row>
    <row r="352" spans="1:12" x14ac:dyDescent="0.35">
      <c r="A352" s="1" t="s">
        <v>1113</v>
      </c>
      <c r="B352" t="s">
        <v>372</v>
      </c>
      <c r="C352">
        <v>1</v>
      </c>
      <c r="D352">
        <v>1</v>
      </c>
      <c r="E352">
        <v>0</v>
      </c>
      <c r="F352">
        <v>1</v>
      </c>
      <c r="G352">
        <v>0</v>
      </c>
      <c r="L352">
        <v>1</v>
      </c>
    </row>
    <row r="353" spans="1:12" x14ac:dyDescent="0.35">
      <c r="A353" s="1" t="s">
        <v>101</v>
      </c>
      <c r="B353" t="s">
        <v>372</v>
      </c>
      <c r="C353">
        <v>1</v>
      </c>
      <c r="D353">
        <v>1</v>
      </c>
      <c r="E353">
        <v>0</v>
      </c>
      <c r="F353">
        <v>1</v>
      </c>
      <c r="G353">
        <v>0</v>
      </c>
      <c r="H353">
        <v>29472</v>
      </c>
      <c r="I353" t="s">
        <v>403</v>
      </c>
      <c r="K353">
        <v>1</v>
      </c>
      <c r="L353">
        <v>1</v>
      </c>
    </row>
    <row r="354" spans="1:12" x14ac:dyDescent="0.35">
      <c r="A354" s="1" t="s">
        <v>1108</v>
      </c>
      <c r="B354" t="s">
        <v>372</v>
      </c>
      <c r="C354">
        <v>1</v>
      </c>
      <c r="D354">
        <v>1</v>
      </c>
      <c r="E354">
        <v>0</v>
      </c>
      <c r="F354">
        <v>1</v>
      </c>
      <c r="G354">
        <v>0</v>
      </c>
      <c r="L354">
        <v>1</v>
      </c>
    </row>
    <row r="355" spans="1:12" x14ac:dyDescent="0.35">
      <c r="A355" s="1" t="s">
        <v>131</v>
      </c>
      <c r="B355" t="s">
        <v>372</v>
      </c>
      <c r="C355">
        <v>1</v>
      </c>
      <c r="D355">
        <v>1</v>
      </c>
      <c r="E355">
        <v>0</v>
      </c>
      <c r="F355">
        <v>1</v>
      </c>
      <c r="G355">
        <v>0</v>
      </c>
      <c r="H355">
        <v>45593</v>
      </c>
      <c r="I355" t="s">
        <v>281</v>
      </c>
      <c r="K355">
        <v>1</v>
      </c>
      <c r="L355">
        <v>1</v>
      </c>
    </row>
    <row r="356" spans="1:12" x14ac:dyDescent="0.35">
      <c r="A356" s="1" t="s">
        <v>135</v>
      </c>
      <c r="B356" t="s">
        <v>372</v>
      </c>
      <c r="C356">
        <v>0.6</v>
      </c>
      <c r="D356">
        <v>0.6</v>
      </c>
      <c r="E356">
        <v>0</v>
      </c>
      <c r="F356">
        <v>1</v>
      </c>
      <c r="G356">
        <v>0</v>
      </c>
      <c r="H356">
        <v>8588</v>
      </c>
      <c r="I356" t="s">
        <v>285</v>
      </c>
      <c r="K356">
        <v>1</v>
      </c>
      <c r="L356">
        <v>1</v>
      </c>
    </row>
    <row r="357" spans="1:12" x14ac:dyDescent="0.35">
      <c r="A357" s="1" t="s">
        <v>1095</v>
      </c>
      <c r="B357" t="s">
        <v>372</v>
      </c>
      <c r="C357">
        <v>1</v>
      </c>
      <c r="D357">
        <v>1</v>
      </c>
      <c r="E357">
        <v>0</v>
      </c>
      <c r="F357">
        <v>1</v>
      </c>
      <c r="G357">
        <v>0</v>
      </c>
      <c r="L357">
        <v>1</v>
      </c>
    </row>
    <row r="358" spans="1:12" x14ac:dyDescent="0.35">
      <c r="A358" s="1" t="s">
        <v>169</v>
      </c>
      <c r="B358" t="s">
        <v>372</v>
      </c>
      <c r="C358">
        <v>1</v>
      </c>
      <c r="D358">
        <v>1</v>
      </c>
      <c r="E358">
        <v>0</v>
      </c>
      <c r="F358">
        <v>1</v>
      </c>
      <c r="G358">
        <v>0</v>
      </c>
      <c r="H358">
        <v>13317</v>
      </c>
      <c r="I358" t="s">
        <v>281</v>
      </c>
      <c r="K358">
        <v>1</v>
      </c>
      <c r="L358">
        <v>1</v>
      </c>
    </row>
    <row r="359" spans="1:12" x14ac:dyDescent="0.35">
      <c r="A359" s="1" t="s">
        <v>173</v>
      </c>
      <c r="B359" t="s">
        <v>372</v>
      </c>
      <c r="C359">
        <v>1</v>
      </c>
      <c r="D359">
        <v>1</v>
      </c>
      <c r="E359">
        <v>0</v>
      </c>
      <c r="F359">
        <v>1</v>
      </c>
      <c r="G359">
        <v>0</v>
      </c>
      <c r="H359">
        <v>8586</v>
      </c>
      <c r="I359" t="s">
        <v>318</v>
      </c>
      <c r="K359">
        <v>1</v>
      </c>
      <c r="L359">
        <v>1</v>
      </c>
    </row>
    <row r="360" spans="1:12" x14ac:dyDescent="0.35">
      <c r="A360" s="1" t="s">
        <v>175</v>
      </c>
      <c r="B360" t="s">
        <v>372</v>
      </c>
      <c r="C360">
        <v>1</v>
      </c>
      <c r="D360">
        <v>1</v>
      </c>
      <c r="E360">
        <v>0</v>
      </c>
      <c r="F360">
        <v>1</v>
      </c>
      <c r="G360">
        <v>0</v>
      </c>
      <c r="L360">
        <v>1</v>
      </c>
    </row>
    <row r="361" spans="1:12" x14ac:dyDescent="0.35">
      <c r="A361" s="1" t="s">
        <v>1123</v>
      </c>
      <c r="B361" t="s">
        <v>372</v>
      </c>
      <c r="C361">
        <v>1</v>
      </c>
      <c r="D361">
        <v>1</v>
      </c>
      <c r="E361">
        <v>0</v>
      </c>
      <c r="F361">
        <v>1</v>
      </c>
      <c r="G361">
        <v>0</v>
      </c>
      <c r="L361">
        <v>1</v>
      </c>
    </row>
    <row r="362" spans="1:12" x14ac:dyDescent="0.35">
      <c r="A362" s="1" t="s">
        <v>470</v>
      </c>
      <c r="B362" t="s">
        <v>372</v>
      </c>
      <c r="C362">
        <v>1</v>
      </c>
      <c r="D362">
        <v>1</v>
      </c>
      <c r="E362">
        <v>0</v>
      </c>
      <c r="F362">
        <v>1</v>
      </c>
      <c r="G362">
        <v>0</v>
      </c>
      <c r="L362">
        <v>1</v>
      </c>
    </row>
    <row r="363" spans="1:12" x14ac:dyDescent="0.35">
      <c r="A363" s="1" t="s">
        <v>213</v>
      </c>
      <c r="B363" t="s">
        <v>372</v>
      </c>
      <c r="C363">
        <v>1</v>
      </c>
      <c r="D363">
        <v>1</v>
      </c>
      <c r="E363">
        <v>0</v>
      </c>
      <c r="F363">
        <v>1</v>
      </c>
      <c r="G363">
        <v>0</v>
      </c>
      <c r="H363">
        <v>18788</v>
      </c>
      <c r="I363" t="s">
        <v>285</v>
      </c>
      <c r="K363">
        <v>1</v>
      </c>
      <c r="L363">
        <v>1</v>
      </c>
    </row>
    <row r="364" spans="1:12" x14ac:dyDescent="0.35">
      <c r="A364" s="1" t="s">
        <v>229</v>
      </c>
      <c r="B364" t="s">
        <v>372</v>
      </c>
      <c r="C364">
        <v>1</v>
      </c>
      <c r="D364">
        <v>1</v>
      </c>
      <c r="E364">
        <v>0</v>
      </c>
      <c r="F364">
        <v>1</v>
      </c>
      <c r="G364">
        <v>0</v>
      </c>
      <c r="H364">
        <v>18789</v>
      </c>
      <c r="I364" t="s">
        <v>285</v>
      </c>
      <c r="K364">
        <v>1</v>
      </c>
      <c r="L364">
        <v>1</v>
      </c>
    </row>
    <row r="365" spans="1:12" x14ac:dyDescent="0.35">
      <c r="A365" s="1" t="s">
        <v>230</v>
      </c>
      <c r="B365" t="s">
        <v>372</v>
      </c>
      <c r="C365">
        <v>1</v>
      </c>
      <c r="D365">
        <v>1</v>
      </c>
      <c r="E365">
        <v>0</v>
      </c>
      <c r="F365">
        <v>1</v>
      </c>
      <c r="G365">
        <v>0</v>
      </c>
      <c r="H365">
        <v>18790</v>
      </c>
      <c r="I365" t="s">
        <v>285</v>
      </c>
      <c r="K365">
        <v>1</v>
      </c>
      <c r="L365">
        <v>1</v>
      </c>
    </row>
    <row r="366" spans="1:12" x14ac:dyDescent="0.35">
      <c r="A366" s="1" t="s">
        <v>234</v>
      </c>
      <c r="B366" t="s">
        <v>372</v>
      </c>
      <c r="C366">
        <v>1</v>
      </c>
      <c r="D366">
        <v>1</v>
      </c>
      <c r="E366">
        <v>0</v>
      </c>
      <c r="F366">
        <v>1</v>
      </c>
      <c r="G366">
        <v>0</v>
      </c>
      <c r="H366">
        <v>46743</v>
      </c>
      <c r="I366" t="s">
        <v>283</v>
      </c>
      <c r="K366">
        <v>1</v>
      </c>
      <c r="L366">
        <v>1</v>
      </c>
    </row>
    <row r="367" spans="1:12" x14ac:dyDescent="0.35">
      <c r="A367" s="1" t="s">
        <v>235</v>
      </c>
      <c r="B367" t="s">
        <v>372</v>
      </c>
      <c r="C367">
        <v>1</v>
      </c>
      <c r="D367">
        <v>1</v>
      </c>
      <c r="E367">
        <v>0</v>
      </c>
      <c r="F367">
        <v>1</v>
      </c>
      <c r="G367">
        <v>0</v>
      </c>
      <c r="H367">
        <v>19872</v>
      </c>
      <c r="I367" t="s">
        <v>335</v>
      </c>
      <c r="J367">
        <v>1</v>
      </c>
      <c r="K367">
        <v>1</v>
      </c>
      <c r="L367">
        <v>1</v>
      </c>
    </row>
    <row r="368" spans="1:12" x14ac:dyDescent="0.35">
      <c r="A368" s="1" t="s">
        <v>258</v>
      </c>
      <c r="B368" t="s">
        <v>372</v>
      </c>
      <c r="C368">
        <v>0.6</v>
      </c>
      <c r="D368">
        <v>0.6</v>
      </c>
      <c r="E368">
        <v>0</v>
      </c>
      <c r="F368">
        <v>1</v>
      </c>
      <c r="G368">
        <v>0</v>
      </c>
      <c r="H368">
        <v>8591</v>
      </c>
      <c r="I368" t="s">
        <v>285</v>
      </c>
      <c r="K368">
        <v>1</v>
      </c>
      <c r="L368">
        <v>1</v>
      </c>
    </row>
    <row r="369" spans="1:12" x14ac:dyDescent="0.35">
      <c r="A369" s="1" t="s">
        <v>260</v>
      </c>
      <c r="B369" t="s">
        <v>372</v>
      </c>
      <c r="C369">
        <v>1</v>
      </c>
      <c r="D369">
        <v>1</v>
      </c>
      <c r="E369">
        <v>0</v>
      </c>
      <c r="F369">
        <v>1</v>
      </c>
      <c r="G369">
        <v>0</v>
      </c>
      <c r="H369">
        <v>46102</v>
      </c>
      <c r="I369" t="s">
        <v>401</v>
      </c>
      <c r="K369">
        <v>1</v>
      </c>
      <c r="L369">
        <v>1</v>
      </c>
    </row>
    <row r="370" spans="1:12" x14ac:dyDescent="0.35">
      <c r="A370" s="1" t="s">
        <v>261</v>
      </c>
      <c r="B370" t="s">
        <v>372</v>
      </c>
      <c r="C370">
        <v>0.6</v>
      </c>
      <c r="D370">
        <v>0.6</v>
      </c>
      <c r="E370">
        <v>0</v>
      </c>
      <c r="F370">
        <v>1</v>
      </c>
      <c r="G370">
        <v>0</v>
      </c>
      <c r="H370">
        <v>8592</v>
      </c>
      <c r="I370" t="s">
        <v>285</v>
      </c>
      <c r="K370">
        <v>1</v>
      </c>
      <c r="L370">
        <v>1</v>
      </c>
    </row>
    <row r="371" spans="1:12" x14ac:dyDescent="0.35">
      <c r="A371" s="1" t="s">
        <v>1091</v>
      </c>
      <c r="B371" t="s">
        <v>386</v>
      </c>
      <c r="C371">
        <v>2.8</v>
      </c>
      <c r="D371">
        <v>2.8</v>
      </c>
      <c r="E371">
        <v>0</v>
      </c>
      <c r="F371">
        <v>1</v>
      </c>
      <c r="G371">
        <v>0</v>
      </c>
      <c r="L371">
        <v>1</v>
      </c>
    </row>
    <row r="372" spans="1:12" x14ac:dyDescent="0.35">
      <c r="A372" s="1" t="s">
        <v>472</v>
      </c>
      <c r="B372" t="s">
        <v>386</v>
      </c>
      <c r="C372">
        <v>1</v>
      </c>
      <c r="D372">
        <v>1</v>
      </c>
      <c r="E372">
        <v>0</v>
      </c>
      <c r="F372">
        <v>1</v>
      </c>
      <c r="G372">
        <v>0</v>
      </c>
      <c r="L372">
        <v>1</v>
      </c>
    </row>
    <row r="373" spans="1:12" x14ac:dyDescent="0.35">
      <c r="A373" s="1" t="s">
        <v>187</v>
      </c>
      <c r="B373" t="s">
        <v>386</v>
      </c>
      <c r="C373">
        <v>1</v>
      </c>
      <c r="D373">
        <v>1</v>
      </c>
      <c r="E373">
        <v>0</v>
      </c>
      <c r="F373">
        <v>1</v>
      </c>
      <c r="G373">
        <v>0</v>
      </c>
      <c r="H373">
        <v>32768</v>
      </c>
      <c r="I373" t="s">
        <v>331</v>
      </c>
      <c r="J373">
        <v>1</v>
      </c>
      <c r="K373">
        <v>1</v>
      </c>
      <c r="L373">
        <v>1</v>
      </c>
    </row>
    <row r="374" spans="1:12" x14ac:dyDescent="0.35">
      <c r="A374" s="1" t="s">
        <v>274</v>
      </c>
      <c r="B374" t="s">
        <v>395</v>
      </c>
      <c r="C374">
        <v>1</v>
      </c>
      <c r="D374">
        <v>1</v>
      </c>
      <c r="E374">
        <v>0</v>
      </c>
      <c r="F374">
        <v>1</v>
      </c>
      <c r="G374">
        <v>0</v>
      </c>
      <c r="H374">
        <v>198633</v>
      </c>
      <c r="I374" t="s">
        <v>325</v>
      </c>
      <c r="J374">
        <v>1</v>
      </c>
      <c r="K374">
        <v>1</v>
      </c>
      <c r="L374">
        <v>1</v>
      </c>
    </row>
    <row r="375" spans="1:12" x14ac:dyDescent="0.35">
      <c r="A375" s="1" t="s">
        <v>1067</v>
      </c>
      <c r="B375" t="s">
        <v>390</v>
      </c>
      <c r="C375">
        <v>2.8</v>
      </c>
      <c r="D375">
        <v>2.8</v>
      </c>
      <c r="E375">
        <v>0</v>
      </c>
      <c r="F375">
        <v>1</v>
      </c>
      <c r="G375">
        <v>0</v>
      </c>
      <c r="L375">
        <v>1</v>
      </c>
    </row>
    <row r="376" spans="1:12" x14ac:dyDescent="0.35">
      <c r="A376" s="1" t="s">
        <v>1130</v>
      </c>
      <c r="B376" t="s">
        <v>390</v>
      </c>
      <c r="C376">
        <v>2.8</v>
      </c>
      <c r="D376">
        <v>2.8</v>
      </c>
      <c r="E376">
        <v>0</v>
      </c>
      <c r="F376">
        <v>1</v>
      </c>
      <c r="G376">
        <v>0</v>
      </c>
      <c r="L376">
        <v>1</v>
      </c>
    </row>
    <row r="377" spans="1:12" x14ac:dyDescent="0.35">
      <c r="A377" s="1" t="s">
        <v>356</v>
      </c>
      <c r="B377" t="s">
        <v>390</v>
      </c>
      <c r="C377">
        <v>3.1</v>
      </c>
      <c r="D377">
        <v>0.6</v>
      </c>
      <c r="E377">
        <v>0</v>
      </c>
      <c r="F377">
        <v>1</v>
      </c>
      <c r="G377">
        <v>0</v>
      </c>
      <c r="H377">
        <v>50250</v>
      </c>
      <c r="I377" t="s">
        <v>357</v>
      </c>
      <c r="J377">
        <v>1</v>
      </c>
      <c r="K377">
        <v>1</v>
      </c>
      <c r="L377">
        <v>1</v>
      </c>
    </row>
    <row r="378" spans="1:12" x14ac:dyDescent="0.35">
      <c r="A378" s="1" t="s">
        <v>76</v>
      </c>
      <c r="B378" t="s">
        <v>390</v>
      </c>
      <c r="C378">
        <v>2.8</v>
      </c>
      <c r="D378">
        <v>0.6</v>
      </c>
      <c r="E378">
        <v>0</v>
      </c>
      <c r="F378">
        <v>1</v>
      </c>
      <c r="G378">
        <v>0</v>
      </c>
      <c r="H378">
        <v>0</v>
      </c>
      <c r="I378" t="s">
        <v>433</v>
      </c>
      <c r="J378">
        <v>1</v>
      </c>
      <c r="K378">
        <v>1</v>
      </c>
      <c r="L378">
        <v>1</v>
      </c>
    </row>
    <row r="379" spans="1:12" x14ac:dyDescent="0.35">
      <c r="A379" s="1" t="s">
        <v>77</v>
      </c>
      <c r="B379" t="s">
        <v>390</v>
      </c>
      <c r="C379">
        <v>2.8</v>
      </c>
      <c r="D379">
        <v>0.6</v>
      </c>
      <c r="E379">
        <v>0</v>
      </c>
      <c r="F379">
        <v>1</v>
      </c>
      <c r="G379">
        <v>0</v>
      </c>
      <c r="H379">
        <v>0</v>
      </c>
      <c r="I379" t="s">
        <v>434</v>
      </c>
      <c r="J379">
        <v>1</v>
      </c>
      <c r="K379">
        <v>1</v>
      </c>
      <c r="L379">
        <v>1</v>
      </c>
    </row>
    <row r="380" spans="1:12" x14ac:dyDescent="0.35">
      <c r="A380" s="1" t="s">
        <v>170</v>
      </c>
      <c r="B380" t="s">
        <v>394</v>
      </c>
      <c r="C380">
        <v>1</v>
      </c>
      <c r="D380">
        <v>1</v>
      </c>
      <c r="E380">
        <v>0</v>
      </c>
      <c r="F380">
        <v>1</v>
      </c>
      <c r="G380">
        <v>0</v>
      </c>
      <c r="H380">
        <v>198631</v>
      </c>
      <c r="I380" t="s">
        <v>325</v>
      </c>
      <c r="J380">
        <v>1</v>
      </c>
      <c r="K380">
        <v>1</v>
      </c>
      <c r="L380">
        <v>1</v>
      </c>
    </row>
    <row r="381" spans="1:12" x14ac:dyDescent="0.35">
      <c r="A381" s="1" t="s">
        <v>450</v>
      </c>
      <c r="B381" t="s">
        <v>462</v>
      </c>
      <c r="C381">
        <v>1</v>
      </c>
      <c r="D381">
        <v>1</v>
      </c>
      <c r="E381">
        <v>0</v>
      </c>
      <c r="F381">
        <v>1</v>
      </c>
      <c r="G381">
        <v>0</v>
      </c>
      <c r="L381">
        <v>1</v>
      </c>
    </row>
    <row r="382" spans="1:12" x14ac:dyDescent="0.35">
      <c r="A382" s="1" t="s">
        <v>83</v>
      </c>
      <c r="B382" t="s">
        <v>373</v>
      </c>
      <c r="C382">
        <v>1</v>
      </c>
      <c r="D382">
        <v>1</v>
      </c>
      <c r="E382">
        <v>0</v>
      </c>
      <c r="F382">
        <v>1</v>
      </c>
      <c r="G382">
        <v>0</v>
      </c>
      <c r="H382">
        <v>12302</v>
      </c>
      <c r="I382" t="s">
        <v>281</v>
      </c>
      <c r="J382">
        <v>1</v>
      </c>
      <c r="L382">
        <v>1</v>
      </c>
    </row>
    <row r="383" spans="1:12" x14ac:dyDescent="0.35">
      <c r="A383" s="1" t="s">
        <v>90</v>
      </c>
      <c r="B383" t="s">
        <v>373</v>
      </c>
      <c r="C383">
        <v>1</v>
      </c>
      <c r="D383">
        <v>1</v>
      </c>
      <c r="E383">
        <v>0</v>
      </c>
      <c r="F383">
        <v>1</v>
      </c>
      <c r="G383">
        <v>0</v>
      </c>
      <c r="H383">
        <v>12303</v>
      </c>
      <c r="I383" t="s">
        <v>281</v>
      </c>
      <c r="J383">
        <v>1</v>
      </c>
      <c r="L383">
        <v>1</v>
      </c>
    </row>
    <row r="384" spans="1:12" x14ac:dyDescent="0.35">
      <c r="A384" s="1" t="s">
        <v>103</v>
      </c>
      <c r="B384" t="s">
        <v>373</v>
      </c>
      <c r="C384">
        <v>1</v>
      </c>
      <c r="D384">
        <v>1</v>
      </c>
      <c r="E384">
        <v>0</v>
      </c>
      <c r="F384">
        <v>1</v>
      </c>
      <c r="G384">
        <v>0</v>
      </c>
      <c r="H384">
        <v>29471</v>
      </c>
      <c r="I384" t="s">
        <v>403</v>
      </c>
      <c r="J384">
        <v>1</v>
      </c>
      <c r="L384">
        <v>1</v>
      </c>
    </row>
    <row r="385" spans="1:12" x14ac:dyDescent="0.35">
      <c r="A385" s="1" t="s">
        <v>1127</v>
      </c>
      <c r="B385" t="s">
        <v>373</v>
      </c>
      <c r="C385">
        <v>1</v>
      </c>
      <c r="D385">
        <v>1</v>
      </c>
      <c r="E385">
        <v>0</v>
      </c>
      <c r="F385">
        <v>1</v>
      </c>
      <c r="G385">
        <v>0</v>
      </c>
      <c r="L385">
        <v>1</v>
      </c>
    </row>
    <row r="386" spans="1:12" x14ac:dyDescent="0.35">
      <c r="A386" s="1" t="s">
        <v>132</v>
      </c>
      <c r="B386" t="s">
        <v>373</v>
      </c>
      <c r="C386">
        <v>1</v>
      </c>
      <c r="D386">
        <v>1</v>
      </c>
      <c r="E386">
        <v>0</v>
      </c>
      <c r="F386">
        <v>1</v>
      </c>
      <c r="G386">
        <v>0</v>
      </c>
      <c r="H386">
        <v>45591</v>
      </c>
      <c r="I386" t="s">
        <v>283</v>
      </c>
      <c r="J386">
        <v>1</v>
      </c>
      <c r="L386">
        <v>1</v>
      </c>
    </row>
    <row r="387" spans="1:12" x14ac:dyDescent="0.35">
      <c r="A387" s="1" t="s">
        <v>144</v>
      </c>
      <c r="B387" t="s">
        <v>373</v>
      </c>
      <c r="C387">
        <v>1</v>
      </c>
      <c r="D387">
        <v>0.6</v>
      </c>
      <c r="E387">
        <v>0</v>
      </c>
      <c r="F387">
        <v>1</v>
      </c>
      <c r="G387">
        <v>0</v>
      </c>
      <c r="L387">
        <v>1</v>
      </c>
    </row>
    <row r="388" spans="1:12" x14ac:dyDescent="0.35">
      <c r="A388" s="1" t="s">
        <v>1096</v>
      </c>
      <c r="B388" t="s">
        <v>373</v>
      </c>
      <c r="C388">
        <v>1</v>
      </c>
      <c r="D388">
        <v>1</v>
      </c>
      <c r="E388">
        <v>0</v>
      </c>
      <c r="F388">
        <v>1</v>
      </c>
      <c r="G388">
        <v>0</v>
      </c>
      <c r="L388">
        <v>1</v>
      </c>
    </row>
    <row r="389" spans="1:12" x14ac:dyDescent="0.35">
      <c r="A389" s="1" t="s">
        <v>1153</v>
      </c>
      <c r="B389" t="s">
        <v>373</v>
      </c>
      <c r="C389">
        <v>1</v>
      </c>
      <c r="D389">
        <v>1</v>
      </c>
      <c r="E389">
        <v>0</v>
      </c>
      <c r="F389">
        <v>1</v>
      </c>
      <c r="G389">
        <v>0</v>
      </c>
      <c r="L389">
        <v>1</v>
      </c>
    </row>
    <row r="390" spans="1:12" x14ac:dyDescent="0.35">
      <c r="A390" s="1" t="s">
        <v>1141</v>
      </c>
      <c r="B390" t="s">
        <v>373</v>
      </c>
      <c r="C390">
        <v>1</v>
      </c>
      <c r="D390">
        <v>1</v>
      </c>
      <c r="E390">
        <v>0</v>
      </c>
      <c r="F390">
        <v>1</v>
      </c>
      <c r="G390">
        <v>0</v>
      </c>
      <c r="L390">
        <v>1</v>
      </c>
    </row>
    <row r="391" spans="1:12" x14ac:dyDescent="0.35">
      <c r="A391" s="1" t="s">
        <v>181</v>
      </c>
      <c r="B391" t="s">
        <v>373</v>
      </c>
      <c r="C391">
        <v>1</v>
      </c>
      <c r="D391">
        <v>1</v>
      </c>
      <c r="E391">
        <v>0</v>
      </c>
      <c r="F391">
        <v>1</v>
      </c>
      <c r="G391">
        <v>0</v>
      </c>
      <c r="L391">
        <v>1</v>
      </c>
    </row>
    <row r="392" spans="1:12" x14ac:dyDescent="0.35">
      <c r="A392" s="1" t="s">
        <v>1126</v>
      </c>
      <c r="B392" t="s">
        <v>373</v>
      </c>
      <c r="C392">
        <v>1</v>
      </c>
      <c r="D392">
        <v>1</v>
      </c>
      <c r="E392">
        <v>0</v>
      </c>
      <c r="F392">
        <v>1</v>
      </c>
      <c r="G392">
        <v>0</v>
      </c>
      <c r="L392">
        <v>1</v>
      </c>
    </row>
    <row r="393" spans="1:12" x14ac:dyDescent="0.35">
      <c r="A393" s="1" t="s">
        <v>1138</v>
      </c>
      <c r="B393" t="s">
        <v>373</v>
      </c>
      <c r="C393">
        <v>1</v>
      </c>
      <c r="D393">
        <v>1</v>
      </c>
      <c r="E393">
        <v>0</v>
      </c>
      <c r="F393">
        <v>1</v>
      </c>
      <c r="G393">
        <v>0</v>
      </c>
      <c r="L393">
        <v>1</v>
      </c>
    </row>
    <row r="394" spans="1:12" x14ac:dyDescent="0.35">
      <c r="A394" s="1" t="s">
        <v>1151</v>
      </c>
      <c r="B394" t="s">
        <v>373</v>
      </c>
      <c r="C394">
        <v>1</v>
      </c>
      <c r="D394">
        <v>1</v>
      </c>
      <c r="E394">
        <v>0</v>
      </c>
      <c r="F394">
        <v>1</v>
      </c>
      <c r="G394">
        <v>0</v>
      </c>
      <c r="L394">
        <v>1</v>
      </c>
    </row>
    <row r="395" spans="1:12" x14ac:dyDescent="0.35">
      <c r="A395" s="1" t="s">
        <v>523</v>
      </c>
      <c r="B395" t="s">
        <v>373</v>
      </c>
      <c r="C395">
        <v>1</v>
      </c>
      <c r="D395">
        <v>1</v>
      </c>
      <c r="E395">
        <v>0</v>
      </c>
      <c r="F395">
        <v>1</v>
      </c>
      <c r="G395">
        <v>0</v>
      </c>
      <c r="L395">
        <v>1</v>
      </c>
    </row>
    <row r="396" spans="1:12" x14ac:dyDescent="0.35">
      <c r="A396" s="1" t="s">
        <v>201</v>
      </c>
      <c r="B396" t="s">
        <v>373</v>
      </c>
      <c r="C396">
        <v>0.6</v>
      </c>
      <c r="D396">
        <v>0.6</v>
      </c>
      <c r="E396">
        <v>0</v>
      </c>
      <c r="F396">
        <v>1</v>
      </c>
      <c r="G396">
        <v>0</v>
      </c>
      <c r="H396">
        <v>49283</v>
      </c>
      <c r="I396" t="s">
        <v>325</v>
      </c>
      <c r="J396">
        <v>1</v>
      </c>
      <c r="K396">
        <v>1</v>
      </c>
      <c r="L396">
        <v>1</v>
      </c>
    </row>
    <row r="397" spans="1:12" x14ac:dyDescent="0.35">
      <c r="A397" s="1" t="s">
        <v>202</v>
      </c>
      <c r="B397" t="s">
        <v>373</v>
      </c>
      <c r="C397">
        <v>0.6</v>
      </c>
      <c r="D397">
        <v>0.6</v>
      </c>
      <c r="E397">
        <v>0</v>
      </c>
      <c r="F397">
        <v>1</v>
      </c>
      <c r="G397">
        <v>0</v>
      </c>
      <c r="H397">
        <v>8632</v>
      </c>
      <c r="I397" t="s">
        <v>410</v>
      </c>
      <c r="J397">
        <v>1</v>
      </c>
      <c r="L397">
        <v>1</v>
      </c>
    </row>
    <row r="398" spans="1:12" x14ac:dyDescent="0.35">
      <c r="A398" s="1" t="s">
        <v>206</v>
      </c>
      <c r="B398" t="s">
        <v>373</v>
      </c>
      <c r="C398">
        <v>0.6</v>
      </c>
      <c r="D398">
        <v>0.6</v>
      </c>
      <c r="E398">
        <v>0</v>
      </c>
      <c r="F398">
        <v>1</v>
      </c>
      <c r="G398">
        <v>0</v>
      </c>
      <c r="H398">
        <v>47100</v>
      </c>
      <c r="I398" t="s">
        <v>410</v>
      </c>
      <c r="J398">
        <v>1</v>
      </c>
      <c r="L398">
        <v>1</v>
      </c>
    </row>
    <row r="399" spans="1:12" x14ac:dyDescent="0.35">
      <c r="A399" s="1" t="s">
        <v>207</v>
      </c>
      <c r="B399" t="s">
        <v>373</v>
      </c>
      <c r="C399">
        <v>0.6</v>
      </c>
      <c r="D399">
        <v>0.6</v>
      </c>
      <c r="E399">
        <v>0</v>
      </c>
      <c r="F399">
        <v>1</v>
      </c>
      <c r="G399">
        <v>0</v>
      </c>
      <c r="H399">
        <v>8631</v>
      </c>
      <c r="I399" t="s">
        <v>410</v>
      </c>
      <c r="J399">
        <v>1</v>
      </c>
      <c r="L399">
        <v>1</v>
      </c>
    </row>
    <row r="400" spans="1:12" x14ac:dyDescent="0.35">
      <c r="A400" s="1" t="s">
        <v>208</v>
      </c>
      <c r="B400" t="s">
        <v>373</v>
      </c>
      <c r="C400">
        <v>0.6</v>
      </c>
      <c r="D400">
        <v>0.6</v>
      </c>
      <c r="E400">
        <v>0</v>
      </c>
      <c r="F400">
        <v>1</v>
      </c>
      <c r="G400">
        <v>0</v>
      </c>
      <c r="H400">
        <v>8629</v>
      </c>
      <c r="I400" t="s">
        <v>410</v>
      </c>
      <c r="J400">
        <v>1</v>
      </c>
      <c r="L400">
        <v>1</v>
      </c>
    </row>
    <row r="401" spans="1:12" x14ac:dyDescent="0.35">
      <c r="A401" s="1" t="s">
        <v>1137</v>
      </c>
      <c r="B401" t="s">
        <v>373</v>
      </c>
      <c r="C401">
        <v>1</v>
      </c>
      <c r="D401">
        <v>1</v>
      </c>
      <c r="E401">
        <v>0</v>
      </c>
      <c r="F401">
        <v>1</v>
      </c>
      <c r="G401">
        <v>0</v>
      </c>
      <c r="L401">
        <v>1</v>
      </c>
    </row>
    <row r="402" spans="1:12" x14ac:dyDescent="0.35">
      <c r="A402" s="1" t="s">
        <v>219</v>
      </c>
      <c r="B402" t="s">
        <v>373</v>
      </c>
      <c r="C402">
        <v>1</v>
      </c>
      <c r="D402">
        <v>1</v>
      </c>
      <c r="E402">
        <v>0</v>
      </c>
      <c r="F402">
        <v>1</v>
      </c>
      <c r="G402">
        <v>0</v>
      </c>
      <c r="L402">
        <v>1</v>
      </c>
    </row>
    <row r="403" spans="1:12" x14ac:dyDescent="0.35">
      <c r="A403" s="1" t="s">
        <v>901</v>
      </c>
      <c r="B403" t="s">
        <v>902</v>
      </c>
      <c r="C403">
        <v>1</v>
      </c>
      <c r="D403">
        <v>1</v>
      </c>
      <c r="E403">
        <v>0</v>
      </c>
      <c r="F403">
        <v>1</v>
      </c>
      <c r="G403">
        <v>0</v>
      </c>
      <c r="L403">
        <v>1</v>
      </c>
    </row>
    <row r="404" spans="1:12" x14ac:dyDescent="0.35">
      <c r="A404" s="1" t="s">
        <v>220</v>
      </c>
      <c r="B404" t="s">
        <v>373</v>
      </c>
      <c r="C404">
        <v>1</v>
      </c>
      <c r="D404">
        <v>1</v>
      </c>
      <c r="E404">
        <v>0</v>
      </c>
      <c r="F404">
        <v>1</v>
      </c>
      <c r="G404">
        <v>0</v>
      </c>
      <c r="H404">
        <v>18766</v>
      </c>
      <c r="I404" t="s">
        <v>410</v>
      </c>
      <c r="J404">
        <v>1</v>
      </c>
      <c r="L404">
        <v>1</v>
      </c>
    </row>
    <row r="405" spans="1:12" x14ac:dyDescent="0.35">
      <c r="A405" s="1" t="s">
        <v>227</v>
      </c>
      <c r="B405" t="s">
        <v>373</v>
      </c>
      <c r="C405">
        <v>1</v>
      </c>
      <c r="D405">
        <v>1</v>
      </c>
      <c r="E405">
        <v>0</v>
      </c>
      <c r="F405">
        <v>1</v>
      </c>
      <c r="G405">
        <v>0</v>
      </c>
      <c r="H405">
        <v>18767</v>
      </c>
      <c r="I405" t="s">
        <v>410</v>
      </c>
      <c r="J405">
        <v>1</v>
      </c>
      <c r="L405">
        <v>1</v>
      </c>
    </row>
    <row r="406" spans="1:12" x14ac:dyDescent="0.35">
      <c r="A406" s="1" t="s">
        <v>228</v>
      </c>
      <c r="B406" t="s">
        <v>373</v>
      </c>
      <c r="C406">
        <v>1</v>
      </c>
      <c r="D406">
        <v>1</v>
      </c>
      <c r="E406">
        <v>0</v>
      </c>
      <c r="F406">
        <v>1</v>
      </c>
      <c r="G406">
        <v>0</v>
      </c>
      <c r="H406">
        <v>46744</v>
      </c>
      <c r="I406" t="s">
        <v>283</v>
      </c>
      <c r="J406">
        <v>1</v>
      </c>
      <c r="L406">
        <v>1</v>
      </c>
    </row>
    <row r="407" spans="1:12" x14ac:dyDescent="0.35">
      <c r="A407" s="1" t="s">
        <v>237</v>
      </c>
      <c r="B407" t="s">
        <v>373</v>
      </c>
      <c r="C407">
        <v>1</v>
      </c>
      <c r="D407">
        <v>1</v>
      </c>
      <c r="E407">
        <v>0</v>
      </c>
      <c r="F407">
        <v>1</v>
      </c>
      <c r="G407">
        <v>0</v>
      </c>
      <c r="H407">
        <v>49284</v>
      </c>
      <c r="I407" t="s">
        <v>325</v>
      </c>
      <c r="J407">
        <v>1</v>
      </c>
      <c r="K407">
        <v>1</v>
      </c>
      <c r="L407">
        <v>1</v>
      </c>
    </row>
    <row r="408" spans="1:12" x14ac:dyDescent="0.35">
      <c r="A408" s="1" t="s">
        <v>238</v>
      </c>
      <c r="B408" t="s">
        <v>373</v>
      </c>
      <c r="C408">
        <v>1</v>
      </c>
      <c r="D408">
        <v>1</v>
      </c>
      <c r="E408">
        <v>0</v>
      </c>
      <c r="F408">
        <v>1</v>
      </c>
      <c r="G408">
        <v>0</v>
      </c>
      <c r="H408">
        <v>18902</v>
      </c>
      <c r="I408" t="s">
        <v>410</v>
      </c>
      <c r="J408">
        <v>1</v>
      </c>
      <c r="L408">
        <v>1</v>
      </c>
    </row>
    <row r="409" spans="1:12" x14ac:dyDescent="0.35">
      <c r="A409" s="1" t="s">
        <v>487</v>
      </c>
      <c r="B409" t="s">
        <v>373</v>
      </c>
      <c r="C409">
        <v>1</v>
      </c>
      <c r="D409">
        <v>1</v>
      </c>
      <c r="E409">
        <v>0</v>
      </c>
      <c r="F409">
        <v>1</v>
      </c>
      <c r="G409">
        <v>0</v>
      </c>
      <c r="L409">
        <v>1</v>
      </c>
    </row>
    <row r="410" spans="1:12" x14ac:dyDescent="0.35">
      <c r="A410" s="1" t="s">
        <v>249</v>
      </c>
      <c r="B410" t="s">
        <v>373</v>
      </c>
      <c r="C410">
        <v>1</v>
      </c>
      <c r="D410">
        <v>1</v>
      </c>
      <c r="E410">
        <v>0</v>
      </c>
      <c r="F410">
        <v>1</v>
      </c>
      <c r="G410">
        <v>0</v>
      </c>
      <c r="H410">
        <v>19902</v>
      </c>
      <c r="I410" t="s">
        <v>335</v>
      </c>
      <c r="J410">
        <v>1</v>
      </c>
      <c r="K410">
        <v>1</v>
      </c>
      <c r="L410">
        <v>1</v>
      </c>
    </row>
    <row r="411" spans="1:12" x14ac:dyDescent="0.35">
      <c r="A411" s="1" t="s">
        <v>252</v>
      </c>
      <c r="B411" t="s">
        <v>373</v>
      </c>
      <c r="C411">
        <v>1</v>
      </c>
      <c r="D411">
        <v>1</v>
      </c>
      <c r="E411">
        <v>0</v>
      </c>
      <c r="F411">
        <v>1</v>
      </c>
      <c r="G411">
        <v>0</v>
      </c>
      <c r="L411">
        <v>1</v>
      </c>
    </row>
    <row r="412" spans="1:12" x14ac:dyDescent="0.35">
      <c r="A412" s="1" t="s">
        <v>438</v>
      </c>
      <c r="B412" t="s">
        <v>373</v>
      </c>
      <c r="C412">
        <v>1</v>
      </c>
      <c r="D412">
        <v>1</v>
      </c>
      <c r="E412">
        <v>0</v>
      </c>
      <c r="F412">
        <v>1</v>
      </c>
      <c r="G412">
        <v>0</v>
      </c>
      <c r="L412">
        <v>1</v>
      </c>
    </row>
    <row r="413" spans="1:12" x14ac:dyDescent="0.35">
      <c r="A413" s="1" t="s">
        <v>1100</v>
      </c>
      <c r="B413" t="s">
        <v>373</v>
      </c>
      <c r="C413">
        <v>1</v>
      </c>
      <c r="D413">
        <v>1</v>
      </c>
      <c r="E413">
        <v>0</v>
      </c>
      <c r="F413">
        <v>1</v>
      </c>
      <c r="G413">
        <v>0</v>
      </c>
      <c r="L413">
        <v>1</v>
      </c>
    </row>
    <row r="414" spans="1:12" x14ac:dyDescent="0.35">
      <c r="A414" s="1" t="s">
        <v>272</v>
      </c>
      <c r="B414" t="s">
        <v>373</v>
      </c>
      <c r="C414">
        <v>1</v>
      </c>
      <c r="D414">
        <v>1</v>
      </c>
      <c r="E414">
        <v>0</v>
      </c>
      <c r="F414">
        <v>1</v>
      </c>
      <c r="G414">
        <v>0</v>
      </c>
      <c r="H414">
        <v>13086</v>
      </c>
      <c r="I414" t="s">
        <v>415</v>
      </c>
      <c r="J414">
        <v>1</v>
      </c>
      <c r="L414">
        <v>1</v>
      </c>
    </row>
    <row r="415" spans="1:12" x14ac:dyDescent="0.35">
      <c r="A415" s="1" t="s">
        <v>1136</v>
      </c>
      <c r="B415" t="s">
        <v>534</v>
      </c>
      <c r="C415">
        <v>1</v>
      </c>
      <c r="D415">
        <v>1</v>
      </c>
      <c r="E415">
        <v>0</v>
      </c>
      <c r="F415">
        <v>1</v>
      </c>
      <c r="G415">
        <v>0</v>
      </c>
      <c r="L415">
        <v>1</v>
      </c>
    </row>
    <row r="416" spans="1:12" x14ac:dyDescent="0.35">
      <c r="A416" s="1" t="s">
        <v>519</v>
      </c>
      <c r="B416" t="s">
        <v>534</v>
      </c>
      <c r="C416">
        <v>1</v>
      </c>
      <c r="D416">
        <v>1</v>
      </c>
      <c r="E416">
        <v>0</v>
      </c>
      <c r="F416">
        <v>1</v>
      </c>
      <c r="G416">
        <v>0</v>
      </c>
      <c r="L416">
        <v>1</v>
      </c>
    </row>
    <row r="417" spans="1:12" x14ac:dyDescent="0.35">
      <c r="A417" s="1" t="s">
        <v>1133</v>
      </c>
      <c r="B417" t="s">
        <v>534</v>
      </c>
      <c r="C417">
        <v>1</v>
      </c>
      <c r="D417">
        <v>1</v>
      </c>
      <c r="E417">
        <v>0</v>
      </c>
      <c r="F417">
        <v>1</v>
      </c>
      <c r="G417">
        <v>0</v>
      </c>
      <c r="L417">
        <v>1</v>
      </c>
    </row>
    <row r="418" spans="1:12" x14ac:dyDescent="0.35">
      <c r="A418" s="1" t="s">
        <v>454</v>
      </c>
      <c r="B418" t="s">
        <v>464</v>
      </c>
      <c r="C418">
        <v>0</v>
      </c>
      <c r="D418">
        <v>0</v>
      </c>
      <c r="E418">
        <v>1</v>
      </c>
      <c r="F418">
        <v>1</v>
      </c>
      <c r="G418">
        <v>0</v>
      </c>
      <c r="L418">
        <v>1</v>
      </c>
    </row>
    <row r="419" spans="1:12" x14ac:dyDescent="0.35">
      <c r="A419" s="1" t="s">
        <v>516</v>
      </c>
      <c r="B419" t="s">
        <v>464</v>
      </c>
      <c r="C419">
        <v>0</v>
      </c>
      <c r="D419">
        <v>0</v>
      </c>
      <c r="E419">
        <v>1</v>
      </c>
      <c r="F419">
        <v>1</v>
      </c>
      <c r="G419">
        <v>0</v>
      </c>
      <c r="L419">
        <v>1</v>
      </c>
    </row>
    <row r="420" spans="1:12" x14ac:dyDescent="0.35">
      <c r="A420" s="1" t="s">
        <v>124</v>
      </c>
      <c r="B420" t="s">
        <v>383</v>
      </c>
      <c r="C420">
        <v>1</v>
      </c>
      <c r="D420">
        <v>1</v>
      </c>
      <c r="E420">
        <v>0</v>
      </c>
      <c r="F420">
        <v>1</v>
      </c>
      <c r="G420">
        <v>0</v>
      </c>
      <c r="H420">
        <v>31830</v>
      </c>
      <c r="I420" t="s">
        <v>417</v>
      </c>
      <c r="J420">
        <v>1</v>
      </c>
      <c r="L420">
        <v>1</v>
      </c>
    </row>
    <row r="421" spans="1:12" x14ac:dyDescent="0.35">
      <c r="A421" s="1" t="s">
        <v>125</v>
      </c>
      <c r="B421" t="s">
        <v>383</v>
      </c>
      <c r="C421">
        <v>1</v>
      </c>
      <c r="D421">
        <v>1</v>
      </c>
      <c r="E421">
        <v>0</v>
      </c>
      <c r="F421">
        <v>1</v>
      </c>
      <c r="G421">
        <v>0</v>
      </c>
      <c r="H421">
        <v>29227</v>
      </c>
      <c r="I421" t="s">
        <v>417</v>
      </c>
      <c r="J421">
        <v>1</v>
      </c>
      <c r="L421">
        <v>1</v>
      </c>
    </row>
    <row r="422" spans="1:12" x14ac:dyDescent="0.35">
      <c r="A422" s="1" t="s">
        <v>129</v>
      </c>
      <c r="B422" t="s">
        <v>383</v>
      </c>
      <c r="C422">
        <v>1</v>
      </c>
      <c r="D422">
        <v>1</v>
      </c>
      <c r="E422">
        <v>0</v>
      </c>
      <c r="F422">
        <v>1</v>
      </c>
      <c r="G422">
        <v>0</v>
      </c>
      <c r="H422">
        <v>28915</v>
      </c>
      <c r="I422" t="s">
        <v>364</v>
      </c>
      <c r="J422">
        <v>1</v>
      </c>
      <c r="K422">
        <v>1</v>
      </c>
      <c r="L422">
        <v>1</v>
      </c>
    </row>
    <row r="423" spans="1:12" x14ac:dyDescent="0.35">
      <c r="A423" s="1" t="s">
        <v>130</v>
      </c>
      <c r="B423" t="s">
        <v>383</v>
      </c>
      <c r="C423">
        <v>1</v>
      </c>
      <c r="D423">
        <v>1</v>
      </c>
      <c r="E423">
        <v>0</v>
      </c>
      <c r="F423">
        <v>1</v>
      </c>
      <c r="G423">
        <v>0</v>
      </c>
      <c r="H423">
        <v>29228</v>
      </c>
      <c r="I423" t="s">
        <v>364</v>
      </c>
      <c r="J423">
        <v>1</v>
      </c>
      <c r="K423">
        <v>1</v>
      </c>
      <c r="L423">
        <v>1</v>
      </c>
    </row>
    <row r="424" spans="1:12" x14ac:dyDescent="0.35">
      <c r="A424" s="1" t="s">
        <v>197</v>
      </c>
      <c r="B424" t="s">
        <v>383</v>
      </c>
      <c r="C424">
        <v>1</v>
      </c>
      <c r="D424">
        <v>1</v>
      </c>
      <c r="E424">
        <v>0</v>
      </c>
      <c r="F424">
        <v>1</v>
      </c>
      <c r="G424">
        <v>0</v>
      </c>
      <c r="H424">
        <v>31832</v>
      </c>
      <c r="I424" t="s">
        <v>417</v>
      </c>
      <c r="J424">
        <v>1</v>
      </c>
      <c r="L424">
        <v>1</v>
      </c>
    </row>
    <row r="425" spans="1:12" x14ac:dyDescent="0.35">
      <c r="A425" s="1" t="s">
        <v>198</v>
      </c>
      <c r="B425" t="s">
        <v>383</v>
      </c>
      <c r="C425">
        <v>1</v>
      </c>
      <c r="D425">
        <v>1</v>
      </c>
      <c r="E425">
        <v>0</v>
      </c>
      <c r="F425">
        <v>1</v>
      </c>
      <c r="G425">
        <v>0</v>
      </c>
      <c r="H425">
        <v>29229</v>
      </c>
      <c r="I425" t="s">
        <v>417</v>
      </c>
      <c r="J425">
        <v>1</v>
      </c>
      <c r="L425">
        <v>1</v>
      </c>
    </row>
    <row r="426" spans="1:12" x14ac:dyDescent="0.35">
      <c r="A426" s="1" t="s">
        <v>250</v>
      </c>
      <c r="B426" t="s">
        <v>383</v>
      </c>
      <c r="C426">
        <v>1</v>
      </c>
      <c r="D426">
        <v>1</v>
      </c>
      <c r="E426">
        <v>0</v>
      </c>
      <c r="F426">
        <v>1</v>
      </c>
      <c r="G426">
        <v>0</v>
      </c>
      <c r="H426">
        <v>31834</v>
      </c>
      <c r="I426" t="s">
        <v>417</v>
      </c>
      <c r="J426">
        <v>1</v>
      </c>
      <c r="L426">
        <v>1</v>
      </c>
    </row>
    <row r="427" spans="1:12" x14ac:dyDescent="0.35">
      <c r="A427" s="1" t="s">
        <v>251</v>
      </c>
      <c r="B427" t="s">
        <v>383</v>
      </c>
      <c r="C427">
        <v>1</v>
      </c>
      <c r="D427">
        <v>1</v>
      </c>
      <c r="E427">
        <v>0</v>
      </c>
      <c r="F427">
        <v>1</v>
      </c>
      <c r="G427">
        <v>0</v>
      </c>
      <c r="H427">
        <v>29230</v>
      </c>
      <c r="I427" t="s">
        <v>417</v>
      </c>
      <c r="J427">
        <v>1</v>
      </c>
      <c r="L427">
        <v>1</v>
      </c>
    </row>
    <row r="428" spans="1:12" x14ac:dyDescent="0.35">
      <c r="A428" s="1" t="s">
        <v>267</v>
      </c>
      <c r="B428" t="s">
        <v>383</v>
      </c>
      <c r="C428">
        <v>1</v>
      </c>
      <c r="D428">
        <v>1</v>
      </c>
      <c r="E428">
        <v>0</v>
      </c>
      <c r="F428">
        <v>1</v>
      </c>
      <c r="G428">
        <v>0</v>
      </c>
      <c r="H428">
        <v>31836</v>
      </c>
      <c r="I428" t="s">
        <v>417</v>
      </c>
      <c r="J428">
        <v>1</v>
      </c>
      <c r="L428">
        <v>1</v>
      </c>
    </row>
    <row r="429" spans="1:12" x14ac:dyDescent="0.35">
      <c r="A429" s="1" t="s">
        <v>270</v>
      </c>
      <c r="B429" t="s">
        <v>383</v>
      </c>
      <c r="C429">
        <v>1</v>
      </c>
      <c r="D429">
        <v>1</v>
      </c>
      <c r="E429">
        <v>0</v>
      </c>
      <c r="F429">
        <v>1</v>
      </c>
      <c r="G429">
        <v>0</v>
      </c>
      <c r="H429">
        <v>29231</v>
      </c>
      <c r="I429" t="s">
        <v>417</v>
      </c>
      <c r="J429">
        <v>1</v>
      </c>
      <c r="L429">
        <v>1</v>
      </c>
    </row>
    <row r="430" spans="1:12" x14ac:dyDescent="0.35">
      <c r="A430" s="1" t="s">
        <v>474</v>
      </c>
      <c r="B430" t="s">
        <v>510</v>
      </c>
      <c r="C430">
        <v>2.8</v>
      </c>
      <c r="D430">
        <v>2.8</v>
      </c>
      <c r="E430">
        <v>0</v>
      </c>
      <c r="F430">
        <v>1</v>
      </c>
      <c r="G430">
        <v>0</v>
      </c>
      <c r="L430">
        <v>1</v>
      </c>
    </row>
    <row r="431" spans="1:12" x14ac:dyDescent="0.35">
      <c r="A431" s="1" t="s">
        <v>443</v>
      </c>
      <c r="B431" t="s">
        <v>466</v>
      </c>
      <c r="C431">
        <v>1</v>
      </c>
      <c r="D431">
        <v>1</v>
      </c>
      <c r="E431">
        <v>0</v>
      </c>
      <c r="F431">
        <v>1</v>
      </c>
      <c r="G431">
        <v>0</v>
      </c>
      <c r="L431">
        <v>1</v>
      </c>
    </row>
    <row r="432" spans="1:12" x14ac:dyDescent="0.35">
      <c r="A432" s="1" t="s">
        <v>442</v>
      </c>
      <c r="B432" t="s">
        <v>466</v>
      </c>
      <c r="C432">
        <v>1</v>
      </c>
      <c r="D432">
        <v>1</v>
      </c>
      <c r="E432">
        <v>0</v>
      </c>
      <c r="F432">
        <v>1</v>
      </c>
      <c r="G432">
        <v>0</v>
      </c>
      <c r="L432">
        <v>1</v>
      </c>
    </row>
    <row r="433" spans="1:12" x14ac:dyDescent="0.35">
      <c r="A433" s="1" t="s">
        <v>1084</v>
      </c>
      <c r="B433" t="s">
        <v>379</v>
      </c>
      <c r="C433">
        <v>0</v>
      </c>
      <c r="D433">
        <v>0</v>
      </c>
      <c r="E433">
        <v>1</v>
      </c>
      <c r="F433">
        <v>1</v>
      </c>
      <c r="G433">
        <v>0</v>
      </c>
      <c r="L433">
        <v>1</v>
      </c>
    </row>
    <row r="434" spans="1:12" x14ac:dyDescent="0.35">
      <c r="A434" s="1" t="s">
        <v>354</v>
      </c>
      <c r="B434" t="s">
        <v>379</v>
      </c>
      <c r="C434">
        <v>0</v>
      </c>
      <c r="D434">
        <v>0</v>
      </c>
      <c r="E434">
        <v>1</v>
      </c>
      <c r="F434">
        <v>1</v>
      </c>
      <c r="G434">
        <v>0</v>
      </c>
      <c r="H434">
        <v>46109</v>
      </c>
      <c r="I434" t="s">
        <v>355</v>
      </c>
      <c r="J434">
        <v>1</v>
      </c>
      <c r="K434">
        <v>1</v>
      </c>
      <c r="L434">
        <v>1</v>
      </c>
    </row>
    <row r="435" spans="1:12" x14ac:dyDescent="0.35">
      <c r="A435" s="1" t="s">
        <v>1110</v>
      </c>
      <c r="B435" t="s">
        <v>1163</v>
      </c>
      <c r="C435">
        <v>1</v>
      </c>
      <c r="D435">
        <v>1</v>
      </c>
      <c r="E435">
        <v>0</v>
      </c>
      <c r="F435">
        <v>1</v>
      </c>
      <c r="G435">
        <v>0</v>
      </c>
      <c r="L435">
        <v>1</v>
      </c>
    </row>
    <row r="436" spans="1:12" x14ac:dyDescent="0.35">
      <c r="A436" s="1" t="s">
        <v>1114</v>
      </c>
      <c r="B436" t="s">
        <v>1163</v>
      </c>
      <c r="C436">
        <v>1</v>
      </c>
      <c r="D436">
        <v>1</v>
      </c>
      <c r="E436">
        <v>0</v>
      </c>
      <c r="F436">
        <v>1</v>
      </c>
      <c r="G436">
        <v>0</v>
      </c>
      <c r="L436">
        <v>1</v>
      </c>
    </row>
    <row r="437" spans="1:12" x14ac:dyDescent="0.35">
      <c r="A437" s="1" t="s">
        <v>445</v>
      </c>
      <c r="B437" t="s">
        <v>465</v>
      </c>
      <c r="C437">
        <v>1</v>
      </c>
      <c r="D437">
        <v>1</v>
      </c>
      <c r="E437">
        <v>0</v>
      </c>
      <c r="F437">
        <v>1</v>
      </c>
      <c r="G437">
        <v>0</v>
      </c>
      <c r="L437">
        <v>1</v>
      </c>
    </row>
    <row r="438" spans="1:12" x14ac:dyDescent="0.35">
      <c r="A438" s="1" t="s">
        <v>1104</v>
      </c>
      <c r="B438" t="s">
        <v>1170</v>
      </c>
      <c r="C438">
        <v>1</v>
      </c>
      <c r="D438">
        <v>1</v>
      </c>
      <c r="E438">
        <v>0</v>
      </c>
      <c r="F438">
        <v>1</v>
      </c>
      <c r="G438">
        <v>0</v>
      </c>
      <c r="L438">
        <v>1</v>
      </c>
    </row>
    <row r="439" spans="1:12" x14ac:dyDescent="0.35">
      <c r="A439" s="1" t="s">
        <v>134</v>
      </c>
      <c r="B439" t="s">
        <v>311</v>
      </c>
      <c r="C439">
        <v>1</v>
      </c>
      <c r="D439">
        <v>1</v>
      </c>
      <c r="E439">
        <v>0</v>
      </c>
      <c r="F439">
        <v>1</v>
      </c>
      <c r="G439">
        <v>0</v>
      </c>
      <c r="H439">
        <v>0</v>
      </c>
      <c r="I439" t="s">
        <v>311</v>
      </c>
      <c r="J439">
        <v>1</v>
      </c>
      <c r="K439">
        <v>1</v>
      </c>
      <c r="L439">
        <v>1</v>
      </c>
    </row>
    <row r="440" spans="1:12" x14ac:dyDescent="0.35">
      <c r="A440" s="1" t="s">
        <v>137</v>
      </c>
      <c r="B440" t="s">
        <v>311</v>
      </c>
      <c r="C440">
        <v>0.6</v>
      </c>
      <c r="D440">
        <v>0.6</v>
      </c>
      <c r="E440">
        <v>0</v>
      </c>
      <c r="F440">
        <v>1</v>
      </c>
      <c r="G440">
        <v>0</v>
      </c>
      <c r="H440">
        <v>0</v>
      </c>
      <c r="I440" t="s">
        <v>311</v>
      </c>
      <c r="J440">
        <v>1</v>
      </c>
      <c r="K440">
        <v>1</v>
      </c>
      <c r="L440">
        <v>1</v>
      </c>
    </row>
    <row r="441" spans="1:12" x14ac:dyDescent="0.35">
      <c r="A441" s="1" t="s">
        <v>362</v>
      </c>
      <c r="B441" t="s">
        <v>391</v>
      </c>
      <c r="C441">
        <v>1</v>
      </c>
      <c r="D441">
        <v>1</v>
      </c>
      <c r="E441">
        <v>0</v>
      </c>
      <c r="F441">
        <v>1</v>
      </c>
      <c r="G441">
        <v>0</v>
      </c>
      <c r="H441">
        <v>184865</v>
      </c>
      <c r="I441" t="s">
        <v>361</v>
      </c>
      <c r="J441">
        <v>1</v>
      </c>
      <c r="K441">
        <v>1</v>
      </c>
      <c r="L441">
        <v>1</v>
      </c>
    </row>
    <row r="442" spans="1:12" x14ac:dyDescent="0.35">
      <c r="A442" s="1" t="s">
        <v>1076</v>
      </c>
      <c r="B442" t="s">
        <v>1158</v>
      </c>
      <c r="C442">
        <v>1</v>
      </c>
      <c r="D442">
        <v>1</v>
      </c>
      <c r="E442">
        <v>0</v>
      </c>
      <c r="F442">
        <v>1</v>
      </c>
      <c r="G442">
        <v>0</v>
      </c>
      <c r="L442">
        <v>1</v>
      </c>
    </row>
    <row r="443" spans="1:12" x14ac:dyDescent="0.35">
      <c r="A443" s="1" t="s">
        <v>1058</v>
      </c>
      <c r="B443" t="s">
        <v>1158</v>
      </c>
      <c r="C443">
        <v>1</v>
      </c>
      <c r="D443">
        <v>1</v>
      </c>
      <c r="E443">
        <v>0</v>
      </c>
      <c r="F443">
        <v>1</v>
      </c>
      <c r="G443">
        <v>0</v>
      </c>
      <c r="L443">
        <v>1</v>
      </c>
    </row>
    <row r="444" spans="1:12" x14ac:dyDescent="0.35">
      <c r="A444" s="1" t="s">
        <v>1081</v>
      </c>
      <c r="B444" t="s">
        <v>1158</v>
      </c>
      <c r="C444">
        <v>1</v>
      </c>
      <c r="D444">
        <v>1</v>
      </c>
      <c r="E444">
        <v>0</v>
      </c>
      <c r="F444">
        <v>1</v>
      </c>
      <c r="G444">
        <v>0</v>
      </c>
      <c r="L444">
        <v>1</v>
      </c>
    </row>
    <row r="445" spans="1:12" x14ac:dyDescent="0.35">
      <c r="A445" s="1" t="s">
        <v>1060</v>
      </c>
      <c r="B445" t="s">
        <v>1158</v>
      </c>
      <c r="C445">
        <v>1</v>
      </c>
      <c r="D445">
        <v>1</v>
      </c>
      <c r="E445">
        <v>0</v>
      </c>
      <c r="F445">
        <v>1</v>
      </c>
      <c r="G445">
        <v>0</v>
      </c>
      <c r="L445">
        <v>1</v>
      </c>
    </row>
    <row r="446" spans="1:12" x14ac:dyDescent="0.35">
      <c r="A446" s="1" t="s">
        <v>1048</v>
      </c>
      <c r="B446" t="s">
        <v>1158</v>
      </c>
      <c r="C446">
        <v>1</v>
      </c>
      <c r="D446">
        <v>1</v>
      </c>
      <c r="E446">
        <v>0</v>
      </c>
      <c r="F446">
        <v>1</v>
      </c>
      <c r="G446">
        <v>0</v>
      </c>
      <c r="L446">
        <v>1</v>
      </c>
    </row>
    <row r="447" spans="1:12" x14ac:dyDescent="0.35">
      <c r="A447" s="1" t="s">
        <v>6</v>
      </c>
      <c r="B447" t="s">
        <v>381</v>
      </c>
      <c r="C447">
        <v>2.8</v>
      </c>
      <c r="D447">
        <v>2.8</v>
      </c>
      <c r="E447">
        <v>0</v>
      </c>
      <c r="F447">
        <v>1</v>
      </c>
      <c r="G447">
        <v>0</v>
      </c>
      <c r="H447">
        <v>44690</v>
      </c>
      <c r="I447" t="s">
        <v>285</v>
      </c>
      <c r="K447">
        <v>1</v>
      </c>
      <c r="L447">
        <v>1</v>
      </c>
    </row>
    <row r="448" spans="1:12" x14ac:dyDescent="0.35">
      <c r="A448" s="1" t="s">
        <v>19</v>
      </c>
      <c r="B448" t="s">
        <v>381</v>
      </c>
      <c r="C448">
        <v>1.5</v>
      </c>
      <c r="D448">
        <v>1.5</v>
      </c>
      <c r="E448">
        <v>0</v>
      </c>
      <c r="F448">
        <v>1</v>
      </c>
      <c r="G448">
        <v>0</v>
      </c>
      <c r="H448">
        <v>25475</v>
      </c>
      <c r="I448" t="s">
        <v>285</v>
      </c>
      <c r="K448">
        <v>1</v>
      </c>
      <c r="L448">
        <v>1</v>
      </c>
    </row>
    <row r="449" spans="1:12" x14ac:dyDescent="0.35">
      <c r="A449" s="1" t="s">
        <v>486</v>
      </c>
      <c r="B449" t="s">
        <v>381</v>
      </c>
      <c r="C449">
        <v>2.8</v>
      </c>
      <c r="D449">
        <v>2.8</v>
      </c>
      <c r="E449">
        <v>0</v>
      </c>
      <c r="F449">
        <v>1</v>
      </c>
      <c r="G449">
        <v>0</v>
      </c>
      <c r="L449">
        <v>1</v>
      </c>
    </row>
    <row r="450" spans="1:12" x14ac:dyDescent="0.35">
      <c r="A450" s="1" t="s">
        <v>485</v>
      </c>
      <c r="B450" t="s">
        <v>381</v>
      </c>
      <c r="C450">
        <v>2.8</v>
      </c>
      <c r="D450">
        <v>2.8</v>
      </c>
      <c r="E450">
        <v>0</v>
      </c>
      <c r="F450">
        <v>1</v>
      </c>
      <c r="G450">
        <v>0</v>
      </c>
      <c r="L450">
        <v>1</v>
      </c>
    </row>
    <row r="451" spans="1:12" x14ac:dyDescent="0.35">
      <c r="A451" s="1" t="s">
        <v>35</v>
      </c>
      <c r="B451" t="s">
        <v>381</v>
      </c>
      <c r="C451">
        <v>1.5</v>
      </c>
      <c r="D451">
        <v>1.5</v>
      </c>
      <c r="E451">
        <v>0</v>
      </c>
      <c r="F451">
        <v>1</v>
      </c>
      <c r="G451">
        <v>0</v>
      </c>
      <c r="H451">
        <v>25476</v>
      </c>
      <c r="I451" t="s">
        <v>285</v>
      </c>
      <c r="K451">
        <v>1</v>
      </c>
      <c r="L451">
        <v>1</v>
      </c>
    </row>
    <row r="452" spans="1:12" x14ac:dyDescent="0.35">
      <c r="A452" s="1" t="s">
        <v>484</v>
      </c>
      <c r="B452" t="s">
        <v>381</v>
      </c>
      <c r="C452">
        <v>2.8</v>
      </c>
      <c r="D452">
        <v>2.8</v>
      </c>
      <c r="E452">
        <v>0</v>
      </c>
      <c r="F452">
        <v>1</v>
      </c>
      <c r="G452">
        <v>0</v>
      </c>
      <c r="L452">
        <v>1</v>
      </c>
    </row>
    <row r="453" spans="1:12" x14ac:dyDescent="0.35">
      <c r="A453" s="1" t="s">
        <v>60</v>
      </c>
      <c r="B453" t="s">
        <v>381</v>
      </c>
      <c r="C453">
        <v>2.8</v>
      </c>
      <c r="D453">
        <v>2.8</v>
      </c>
      <c r="E453">
        <v>0</v>
      </c>
      <c r="F453">
        <v>1</v>
      </c>
      <c r="G453">
        <v>0</v>
      </c>
      <c r="H453">
        <v>25531</v>
      </c>
      <c r="I453" t="s">
        <v>285</v>
      </c>
      <c r="K453">
        <v>1</v>
      </c>
      <c r="L453">
        <v>1</v>
      </c>
    </row>
    <row r="454" spans="1:12" x14ac:dyDescent="0.35">
      <c r="A454" s="1" t="s">
        <v>63</v>
      </c>
      <c r="B454" t="s">
        <v>381</v>
      </c>
      <c r="C454">
        <v>2.8</v>
      </c>
      <c r="D454">
        <v>2.8</v>
      </c>
      <c r="E454">
        <v>0</v>
      </c>
      <c r="F454">
        <v>1</v>
      </c>
      <c r="G454">
        <v>0</v>
      </c>
      <c r="H454">
        <v>25533</v>
      </c>
      <c r="I454" t="s">
        <v>285</v>
      </c>
      <c r="K454">
        <v>1</v>
      </c>
      <c r="L454">
        <v>1</v>
      </c>
    </row>
    <row r="455" spans="1:12" x14ac:dyDescent="0.35">
      <c r="A455" s="1" t="s">
        <v>65</v>
      </c>
      <c r="B455" t="s">
        <v>381</v>
      </c>
      <c r="C455">
        <v>2.8</v>
      </c>
      <c r="D455">
        <v>2.8</v>
      </c>
      <c r="E455">
        <v>0</v>
      </c>
      <c r="F455">
        <v>1</v>
      </c>
      <c r="G455">
        <v>0</v>
      </c>
      <c r="H455">
        <v>25477</v>
      </c>
      <c r="I455" t="s">
        <v>285</v>
      </c>
      <c r="K455">
        <v>1</v>
      </c>
      <c r="L455">
        <v>1</v>
      </c>
    </row>
    <row r="456" spans="1:12" x14ac:dyDescent="0.35">
      <c r="A456" s="1" t="s">
        <v>66</v>
      </c>
      <c r="B456" t="s">
        <v>381</v>
      </c>
      <c r="C456">
        <v>2.8</v>
      </c>
      <c r="D456">
        <v>2.8</v>
      </c>
      <c r="E456">
        <v>0</v>
      </c>
      <c r="F456">
        <v>1</v>
      </c>
      <c r="G456">
        <v>0</v>
      </c>
      <c r="H456">
        <v>25532</v>
      </c>
      <c r="I456" t="s">
        <v>285</v>
      </c>
      <c r="K456">
        <v>1</v>
      </c>
      <c r="L456">
        <v>1</v>
      </c>
    </row>
    <row r="457" spans="1:12" x14ac:dyDescent="0.35">
      <c r="A457" s="1" t="s">
        <v>67</v>
      </c>
      <c r="B457" t="s">
        <v>381</v>
      </c>
      <c r="C457">
        <v>1.5</v>
      </c>
      <c r="D457">
        <v>1.5</v>
      </c>
      <c r="E457">
        <v>0</v>
      </c>
      <c r="F457">
        <v>1</v>
      </c>
      <c r="G457">
        <v>0</v>
      </c>
      <c r="H457">
        <v>25474</v>
      </c>
      <c r="I457" t="s">
        <v>285</v>
      </c>
      <c r="K457">
        <v>1</v>
      </c>
      <c r="L457">
        <v>1</v>
      </c>
    </row>
    <row r="458" spans="1:12" x14ac:dyDescent="0.35">
      <c r="A458" s="1" t="s">
        <v>1124</v>
      </c>
      <c r="B458" t="s">
        <v>1174</v>
      </c>
      <c r="C458">
        <v>2.8</v>
      </c>
      <c r="D458">
        <v>2.8</v>
      </c>
      <c r="E458">
        <v>0</v>
      </c>
      <c r="F458">
        <v>1</v>
      </c>
      <c r="G458">
        <v>0</v>
      </c>
      <c r="L458">
        <v>1</v>
      </c>
    </row>
    <row r="459" spans="1:12" x14ac:dyDescent="0.35">
      <c r="A459" s="1" t="s">
        <v>104</v>
      </c>
      <c r="B459" t="s">
        <v>370</v>
      </c>
      <c r="C459">
        <v>1</v>
      </c>
      <c r="D459">
        <v>1</v>
      </c>
      <c r="E459">
        <v>0</v>
      </c>
      <c r="F459">
        <v>1</v>
      </c>
      <c r="G459">
        <v>0</v>
      </c>
      <c r="H459">
        <v>29469</v>
      </c>
      <c r="I459" t="s">
        <v>403</v>
      </c>
      <c r="K459">
        <v>1</v>
      </c>
      <c r="L459">
        <v>1</v>
      </c>
    </row>
    <row r="460" spans="1:12" x14ac:dyDescent="0.35">
      <c r="A460" s="1" t="s">
        <v>105</v>
      </c>
      <c r="B460" t="s">
        <v>370</v>
      </c>
      <c r="C460">
        <v>0.6</v>
      </c>
      <c r="D460">
        <v>0.6</v>
      </c>
      <c r="E460">
        <v>0</v>
      </c>
      <c r="F460">
        <v>1</v>
      </c>
      <c r="G460">
        <v>0</v>
      </c>
      <c r="H460">
        <v>46099</v>
      </c>
      <c r="I460" t="s">
        <v>285</v>
      </c>
      <c r="K460">
        <v>1</v>
      </c>
      <c r="L460">
        <v>1</v>
      </c>
    </row>
    <row r="461" spans="1:12" x14ac:dyDescent="0.35">
      <c r="A461" s="1" t="s">
        <v>121</v>
      </c>
      <c r="B461" t="s">
        <v>370</v>
      </c>
      <c r="C461">
        <v>0.6</v>
      </c>
      <c r="D461">
        <v>0.6</v>
      </c>
      <c r="E461">
        <v>0</v>
      </c>
      <c r="F461">
        <v>1</v>
      </c>
      <c r="G461">
        <v>0</v>
      </c>
      <c r="H461">
        <v>5668</v>
      </c>
      <c r="I461" t="s">
        <v>285</v>
      </c>
      <c r="K461">
        <v>1</v>
      </c>
      <c r="L461">
        <v>1</v>
      </c>
    </row>
    <row r="462" spans="1:12" x14ac:dyDescent="0.35">
      <c r="A462" s="1" t="s">
        <v>133</v>
      </c>
      <c r="B462" t="s">
        <v>370</v>
      </c>
      <c r="C462">
        <v>0.6</v>
      </c>
      <c r="D462">
        <v>0.6</v>
      </c>
      <c r="E462">
        <v>0</v>
      </c>
      <c r="F462">
        <v>1</v>
      </c>
      <c r="G462">
        <v>0</v>
      </c>
      <c r="H462">
        <v>5665</v>
      </c>
      <c r="I462" t="s">
        <v>285</v>
      </c>
      <c r="K462">
        <v>1</v>
      </c>
      <c r="L462">
        <v>1</v>
      </c>
    </row>
    <row r="463" spans="1:12" x14ac:dyDescent="0.35">
      <c r="A463" s="1" t="s">
        <v>142</v>
      </c>
      <c r="B463" t="s">
        <v>370</v>
      </c>
      <c r="C463">
        <v>1</v>
      </c>
      <c r="D463">
        <v>1</v>
      </c>
      <c r="E463">
        <v>0</v>
      </c>
      <c r="F463">
        <v>1</v>
      </c>
      <c r="G463">
        <v>0</v>
      </c>
      <c r="H463">
        <v>19029</v>
      </c>
      <c r="I463" t="s">
        <v>403</v>
      </c>
      <c r="K463">
        <v>1</v>
      </c>
      <c r="L463">
        <v>1</v>
      </c>
    </row>
    <row r="464" spans="1:12" x14ac:dyDescent="0.35">
      <c r="A464" s="1" t="s">
        <v>151</v>
      </c>
      <c r="B464" t="s">
        <v>370</v>
      </c>
      <c r="C464">
        <v>0.6</v>
      </c>
      <c r="D464">
        <v>0.6</v>
      </c>
      <c r="E464">
        <v>0</v>
      </c>
      <c r="F464">
        <v>1</v>
      </c>
      <c r="G464">
        <v>0</v>
      </c>
      <c r="H464">
        <v>1134</v>
      </c>
      <c r="I464" t="s">
        <v>281</v>
      </c>
      <c r="K464">
        <v>1</v>
      </c>
      <c r="L464">
        <v>1</v>
      </c>
    </row>
    <row r="465" spans="1:12" x14ac:dyDescent="0.35">
      <c r="A465" s="1" t="s">
        <v>1037</v>
      </c>
      <c r="B465" t="s">
        <v>370</v>
      </c>
      <c r="C465">
        <v>1</v>
      </c>
      <c r="D465">
        <v>1</v>
      </c>
      <c r="E465">
        <v>0</v>
      </c>
      <c r="F465">
        <v>1</v>
      </c>
      <c r="G465">
        <v>0</v>
      </c>
      <c r="L465">
        <v>1</v>
      </c>
    </row>
    <row r="466" spans="1:12" x14ac:dyDescent="0.35">
      <c r="A466" s="1" t="s">
        <v>177</v>
      </c>
      <c r="B466" t="s">
        <v>370</v>
      </c>
      <c r="C466">
        <v>1</v>
      </c>
      <c r="D466">
        <v>1</v>
      </c>
      <c r="E466">
        <v>0</v>
      </c>
      <c r="F466">
        <v>1</v>
      </c>
      <c r="G466">
        <v>0</v>
      </c>
      <c r="H466">
        <v>45595</v>
      </c>
      <c r="I466" t="s">
        <v>283</v>
      </c>
      <c r="K466">
        <v>1</v>
      </c>
      <c r="L466">
        <v>1</v>
      </c>
    </row>
    <row r="467" spans="1:12" x14ac:dyDescent="0.35">
      <c r="A467" s="1" t="s">
        <v>194</v>
      </c>
      <c r="B467" t="s">
        <v>370</v>
      </c>
      <c r="C467">
        <v>1</v>
      </c>
      <c r="D467">
        <v>1</v>
      </c>
      <c r="E467">
        <v>0</v>
      </c>
      <c r="F467">
        <v>1</v>
      </c>
      <c r="G467">
        <v>0</v>
      </c>
      <c r="H467">
        <v>12330</v>
      </c>
      <c r="I467" t="s">
        <v>318</v>
      </c>
      <c r="K467">
        <v>1</v>
      </c>
      <c r="L467">
        <v>1</v>
      </c>
    </row>
    <row r="468" spans="1:12" x14ac:dyDescent="0.35">
      <c r="A468" s="1" t="s">
        <v>514</v>
      </c>
      <c r="B468" t="s">
        <v>370</v>
      </c>
      <c r="C468">
        <v>1</v>
      </c>
      <c r="D468">
        <v>1</v>
      </c>
      <c r="E468">
        <v>0</v>
      </c>
      <c r="F468">
        <v>1</v>
      </c>
      <c r="G468">
        <v>0</v>
      </c>
      <c r="L468">
        <v>1</v>
      </c>
    </row>
    <row r="469" spans="1:12" x14ac:dyDescent="0.35">
      <c r="A469" s="1" t="s">
        <v>217</v>
      </c>
      <c r="B469" t="s">
        <v>370</v>
      </c>
      <c r="C469">
        <v>1</v>
      </c>
      <c r="D469">
        <v>1</v>
      </c>
      <c r="E469">
        <v>0</v>
      </c>
      <c r="F469">
        <v>1</v>
      </c>
      <c r="G469">
        <v>0</v>
      </c>
      <c r="H469">
        <v>18796</v>
      </c>
      <c r="I469" t="s">
        <v>285</v>
      </c>
      <c r="K469">
        <v>1</v>
      </c>
      <c r="L469">
        <v>1</v>
      </c>
    </row>
    <row r="470" spans="1:12" x14ac:dyDescent="0.35">
      <c r="A470" s="1" t="s">
        <v>218</v>
      </c>
      <c r="B470" t="s">
        <v>370</v>
      </c>
      <c r="C470">
        <v>1</v>
      </c>
      <c r="D470">
        <v>1</v>
      </c>
      <c r="E470">
        <v>0</v>
      </c>
      <c r="F470">
        <v>1</v>
      </c>
      <c r="G470">
        <v>0</v>
      </c>
      <c r="H470">
        <v>46757</v>
      </c>
      <c r="I470" t="s">
        <v>283</v>
      </c>
      <c r="K470">
        <v>1</v>
      </c>
      <c r="L470">
        <v>1</v>
      </c>
    </row>
    <row r="471" spans="1:12" x14ac:dyDescent="0.35">
      <c r="A471" s="1" t="s">
        <v>223</v>
      </c>
      <c r="B471" t="s">
        <v>370</v>
      </c>
      <c r="C471">
        <v>1</v>
      </c>
      <c r="D471">
        <v>1</v>
      </c>
      <c r="E471">
        <v>0</v>
      </c>
      <c r="F471">
        <v>1</v>
      </c>
      <c r="G471">
        <v>0</v>
      </c>
      <c r="H471">
        <v>18798</v>
      </c>
      <c r="I471" t="s">
        <v>285</v>
      </c>
      <c r="K471">
        <v>1</v>
      </c>
      <c r="L471">
        <v>1</v>
      </c>
    </row>
    <row r="472" spans="1:12" x14ac:dyDescent="0.35">
      <c r="A472" s="1" t="s">
        <v>226</v>
      </c>
      <c r="B472" t="s">
        <v>370</v>
      </c>
      <c r="C472">
        <v>1</v>
      </c>
      <c r="D472">
        <v>1</v>
      </c>
      <c r="E472">
        <v>0</v>
      </c>
      <c r="F472">
        <v>1</v>
      </c>
      <c r="G472">
        <v>0</v>
      </c>
      <c r="H472">
        <v>49046</v>
      </c>
      <c r="I472" t="s">
        <v>334</v>
      </c>
      <c r="K472">
        <v>1</v>
      </c>
      <c r="L472">
        <v>1</v>
      </c>
    </row>
    <row r="473" spans="1:12" x14ac:dyDescent="0.35">
      <c r="A473" s="1" t="s">
        <v>239</v>
      </c>
      <c r="B473" t="s">
        <v>370</v>
      </c>
      <c r="C473">
        <v>1</v>
      </c>
      <c r="D473">
        <v>1</v>
      </c>
      <c r="E473">
        <v>0</v>
      </c>
      <c r="F473">
        <v>1</v>
      </c>
      <c r="G473">
        <v>0</v>
      </c>
      <c r="H473">
        <v>18797</v>
      </c>
      <c r="I473" t="s">
        <v>285</v>
      </c>
      <c r="K473">
        <v>1</v>
      </c>
      <c r="L473">
        <v>1</v>
      </c>
    </row>
    <row r="474" spans="1:12" x14ac:dyDescent="0.35">
      <c r="A474" s="1" t="s">
        <v>255</v>
      </c>
      <c r="B474" t="s">
        <v>370</v>
      </c>
      <c r="C474">
        <v>0.6</v>
      </c>
      <c r="D474">
        <v>0.6</v>
      </c>
      <c r="E474">
        <v>0</v>
      </c>
      <c r="F474">
        <v>1</v>
      </c>
      <c r="G474">
        <v>0</v>
      </c>
      <c r="H474">
        <v>1132</v>
      </c>
      <c r="I474" t="s">
        <v>285</v>
      </c>
      <c r="K474">
        <v>1</v>
      </c>
      <c r="L474">
        <v>1</v>
      </c>
    </row>
    <row r="475" spans="1:12" x14ac:dyDescent="0.35">
      <c r="A475" s="1" t="s">
        <v>503</v>
      </c>
      <c r="B475" t="s">
        <v>370</v>
      </c>
      <c r="C475">
        <v>1</v>
      </c>
      <c r="D475">
        <v>1</v>
      </c>
      <c r="E475">
        <v>0</v>
      </c>
      <c r="F475">
        <v>1</v>
      </c>
      <c r="G475">
        <v>0</v>
      </c>
      <c r="L475">
        <v>1</v>
      </c>
    </row>
    <row r="476" spans="1:12" x14ac:dyDescent="0.35">
      <c r="A476" s="1" t="s">
        <v>271</v>
      </c>
      <c r="B476" t="s">
        <v>370</v>
      </c>
      <c r="C476">
        <v>1</v>
      </c>
      <c r="D476">
        <v>1</v>
      </c>
      <c r="E476">
        <v>0</v>
      </c>
      <c r="F476">
        <v>1</v>
      </c>
      <c r="G476">
        <v>0</v>
      </c>
      <c r="H476">
        <v>1133</v>
      </c>
      <c r="I476" t="s">
        <v>318</v>
      </c>
      <c r="K476">
        <v>1</v>
      </c>
      <c r="L476">
        <v>1</v>
      </c>
    </row>
    <row r="477" spans="1:12" x14ac:dyDescent="0.35">
      <c r="A477" s="1" t="s">
        <v>14</v>
      </c>
      <c r="B477" t="s">
        <v>366</v>
      </c>
      <c r="C477">
        <v>3.1</v>
      </c>
      <c r="D477">
        <v>3.1</v>
      </c>
      <c r="E477">
        <v>0</v>
      </c>
      <c r="F477">
        <v>1</v>
      </c>
      <c r="G477">
        <v>0</v>
      </c>
      <c r="H477">
        <v>51954</v>
      </c>
      <c r="I477" t="s">
        <v>279</v>
      </c>
      <c r="J477">
        <v>1</v>
      </c>
      <c r="K477">
        <v>1</v>
      </c>
      <c r="L477">
        <v>1</v>
      </c>
    </row>
    <row r="478" spans="1:12" x14ac:dyDescent="0.35">
      <c r="A478" s="1" t="s">
        <v>24</v>
      </c>
      <c r="B478" t="s">
        <v>366</v>
      </c>
      <c r="C478">
        <v>3.1</v>
      </c>
      <c r="D478">
        <v>3.1</v>
      </c>
      <c r="E478">
        <v>0</v>
      </c>
      <c r="F478">
        <v>1</v>
      </c>
      <c r="G478">
        <v>0</v>
      </c>
      <c r="H478">
        <v>46708</v>
      </c>
      <c r="I478" t="s">
        <v>305</v>
      </c>
      <c r="J478">
        <v>1</v>
      </c>
      <c r="K478">
        <v>1</v>
      </c>
      <c r="L478">
        <v>1</v>
      </c>
    </row>
    <row r="479" spans="1:12" x14ac:dyDescent="0.35">
      <c r="A479" s="1" t="s">
        <v>28</v>
      </c>
      <c r="B479" t="s">
        <v>366</v>
      </c>
      <c r="C479">
        <v>2.8</v>
      </c>
      <c r="D479">
        <v>2.8</v>
      </c>
      <c r="E479">
        <v>0</v>
      </c>
      <c r="F479">
        <v>1</v>
      </c>
      <c r="G479">
        <v>0</v>
      </c>
      <c r="L479">
        <v>1</v>
      </c>
    </row>
    <row r="480" spans="1:12" x14ac:dyDescent="0.35">
      <c r="A480" s="1" t="s">
        <v>29</v>
      </c>
      <c r="B480" t="s">
        <v>366</v>
      </c>
      <c r="C480">
        <v>2.8</v>
      </c>
      <c r="D480">
        <v>2.8</v>
      </c>
      <c r="E480">
        <v>0</v>
      </c>
      <c r="F480">
        <v>1</v>
      </c>
      <c r="G480">
        <v>0</v>
      </c>
      <c r="L480">
        <v>1</v>
      </c>
    </row>
    <row r="481" spans="1:12" x14ac:dyDescent="0.35">
      <c r="A481" s="1" t="s">
        <v>31</v>
      </c>
      <c r="B481" t="s">
        <v>366</v>
      </c>
      <c r="C481">
        <v>3.1</v>
      </c>
      <c r="D481">
        <v>3.1</v>
      </c>
      <c r="E481">
        <v>0</v>
      </c>
      <c r="F481">
        <v>1</v>
      </c>
      <c r="G481">
        <v>0</v>
      </c>
      <c r="H481">
        <v>46171</v>
      </c>
      <c r="I481" t="s">
        <v>305</v>
      </c>
      <c r="J481">
        <v>1</v>
      </c>
      <c r="K481">
        <v>1</v>
      </c>
      <c r="L481">
        <v>1</v>
      </c>
    </row>
    <row r="482" spans="1:12" x14ac:dyDescent="0.35">
      <c r="A482" s="1" t="s">
        <v>36</v>
      </c>
      <c r="B482" t="s">
        <v>366</v>
      </c>
      <c r="C482">
        <v>3.1</v>
      </c>
      <c r="D482">
        <v>3.1</v>
      </c>
      <c r="E482">
        <v>0</v>
      </c>
      <c r="F482">
        <v>1</v>
      </c>
      <c r="G482">
        <v>0</v>
      </c>
      <c r="H482">
        <v>51955</v>
      </c>
      <c r="I482" t="s">
        <v>279</v>
      </c>
      <c r="J482">
        <v>1</v>
      </c>
      <c r="K482">
        <v>1</v>
      </c>
      <c r="L482">
        <v>1</v>
      </c>
    </row>
    <row r="483" spans="1:12" x14ac:dyDescent="0.35">
      <c r="A483" s="1" t="s">
        <v>358</v>
      </c>
      <c r="B483" t="s">
        <v>366</v>
      </c>
      <c r="C483">
        <v>2.8</v>
      </c>
      <c r="D483">
        <v>2.8</v>
      </c>
      <c r="E483">
        <v>0</v>
      </c>
      <c r="F483">
        <v>1</v>
      </c>
      <c r="G483">
        <v>0</v>
      </c>
      <c r="H483">
        <v>50818</v>
      </c>
      <c r="I483" t="s">
        <v>359</v>
      </c>
      <c r="J483">
        <v>1</v>
      </c>
      <c r="K483">
        <v>1</v>
      </c>
      <c r="L483">
        <v>1</v>
      </c>
    </row>
    <row r="484" spans="1:12" x14ac:dyDescent="0.35">
      <c r="A484" s="1" t="s">
        <v>52</v>
      </c>
      <c r="B484" t="s">
        <v>366</v>
      </c>
      <c r="C484">
        <v>3.1</v>
      </c>
      <c r="D484">
        <v>3.1</v>
      </c>
      <c r="E484">
        <v>0</v>
      </c>
      <c r="F484">
        <v>1</v>
      </c>
      <c r="G484">
        <v>0</v>
      </c>
      <c r="H484">
        <v>47840</v>
      </c>
      <c r="I484" t="s">
        <v>305</v>
      </c>
      <c r="J484">
        <v>1</v>
      </c>
      <c r="K484">
        <v>1</v>
      </c>
      <c r="L484">
        <v>1</v>
      </c>
    </row>
    <row r="485" spans="1:12" x14ac:dyDescent="0.35">
      <c r="A485" s="1" t="s">
        <v>350</v>
      </c>
      <c r="B485" t="s">
        <v>366</v>
      </c>
      <c r="C485">
        <v>2.8</v>
      </c>
      <c r="D485">
        <v>2.8</v>
      </c>
      <c r="E485">
        <v>0</v>
      </c>
      <c r="F485">
        <v>1</v>
      </c>
      <c r="G485">
        <v>0</v>
      </c>
      <c r="H485">
        <v>40775</v>
      </c>
      <c r="I485" t="s">
        <v>351</v>
      </c>
      <c r="J485">
        <v>1</v>
      </c>
      <c r="K485">
        <v>1</v>
      </c>
      <c r="L485">
        <v>1</v>
      </c>
    </row>
    <row r="486" spans="1:12" x14ac:dyDescent="0.35">
      <c r="A486" s="1" t="s">
        <v>75</v>
      </c>
      <c r="B486" t="s">
        <v>366</v>
      </c>
      <c r="C486">
        <v>3.1</v>
      </c>
      <c r="D486">
        <v>3.1</v>
      </c>
      <c r="E486">
        <v>0</v>
      </c>
      <c r="F486">
        <v>1</v>
      </c>
      <c r="G486">
        <v>0</v>
      </c>
      <c r="H486">
        <v>50435</v>
      </c>
      <c r="I486" t="s">
        <v>305</v>
      </c>
      <c r="J486">
        <v>1</v>
      </c>
      <c r="K486">
        <v>1</v>
      </c>
      <c r="L486">
        <v>1</v>
      </c>
    </row>
    <row r="487" spans="1:12" x14ac:dyDescent="0.35">
      <c r="A487" s="1" t="s">
        <v>1079</v>
      </c>
      <c r="B487" t="s">
        <v>1165</v>
      </c>
      <c r="C487">
        <v>2.8</v>
      </c>
      <c r="D487">
        <v>2.8</v>
      </c>
      <c r="E487">
        <v>0</v>
      </c>
      <c r="F487">
        <v>1</v>
      </c>
      <c r="G487">
        <v>0</v>
      </c>
      <c r="L487">
        <v>1</v>
      </c>
    </row>
    <row r="488" spans="1:12" x14ac:dyDescent="0.35">
      <c r="A488" s="1" t="s">
        <v>1146</v>
      </c>
      <c r="B488" t="s">
        <v>1165</v>
      </c>
      <c r="C488">
        <v>2.8</v>
      </c>
      <c r="D488">
        <v>2.8</v>
      </c>
      <c r="E488">
        <v>0</v>
      </c>
      <c r="F488">
        <v>1</v>
      </c>
      <c r="G488">
        <v>0</v>
      </c>
      <c r="L488">
        <v>1</v>
      </c>
    </row>
    <row r="489" spans="1:12" x14ac:dyDescent="0.35">
      <c r="A489" s="1" t="s">
        <v>1053</v>
      </c>
      <c r="B489" t="s">
        <v>1155</v>
      </c>
      <c r="C489">
        <v>1</v>
      </c>
      <c r="D489">
        <v>1</v>
      </c>
      <c r="E489">
        <v>0</v>
      </c>
      <c r="F489">
        <v>1</v>
      </c>
      <c r="G489">
        <v>0</v>
      </c>
      <c r="L489">
        <v>1</v>
      </c>
    </row>
    <row r="490" spans="1:12" x14ac:dyDescent="0.35">
      <c r="A490" s="1" t="s">
        <v>1106</v>
      </c>
      <c r="B490" t="s">
        <v>1155</v>
      </c>
      <c r="C490">
        <v>1</v>
      </c>
      <c r="D490">
        <v>1</v>
      </c>
      <c r="E490">
        <v>0</v>
      </c>
      <c r="F490">
        <v>1</v>
      </c>
      <c r="G490">
        <v>0</v>
      </c>
      <c r="L490">
        <v>1</v>
      </c>
    </row>
    <row r="491" spans="1:12" x14ac:dyDescent="0.35">
      <c r="A491" s="1" t="s">
        <v>1047</v>
      </c>
      <c r="B491" t="s">
        <v>1155</v>
      </c>
      <c r="C491">
        <v>1</v>
      </c>
      <c r="D491">
        <v>1</v>
      </c>
      <c r="E491">
        <v>0</v>
      </c>
      <c r="F491">
        <v>1</v>
      </c>
      <c r="G491">
        <v>0</v>
      </c>
      <c r="L491">
        <v>1</v>
      </c>
    </row>
    <row r="492" spans="1:12" x14ac:dyDescent="0.35">
      <c r="A492" s="1" t="s">
        <v>1069</v>
      </c>
      <c r="B492" t="s">
        <v>1155</v>
      </c>
      <c r="C492">
        <v>1</v>
      </c>
      <c r="D492">
        <v>1</v>
      </c>
      <c r="E492">
        <v>0</v>
      </c>
      <c r="F492">
        <v>1</v>
      </c>
      <c r="G492">
        <v>0</v>
      </c>
      <c r="L492">
        <v>1</v>
      </c>
    </row>
    <row r="493" spans="1:12" x14ac:dyDescent="0.35">
      <c r="A493" s="1" t="s">
        <v>1088</v>
      </c>
      <c r="B493" t="s">
        <v>1155</v>
      </c>
      <c r="C493">
        <v>1</v>
      </c>
      <c r="D493">
        <v>1</v>
      </c>
      <c r="E493">
        <v>0</v>
      </c>
      <c r="F493">
        <v>1</v>
      </c>
      <c r="G493">
        <v>0</v>
      </c>
      <c r="L493">
        <v>1</v>
      </c>
    </row>
    <row r="494" spans="1:12" x14ac:dyDescent="0.35">
      <c r="A494" s="1" t="s">
        <v>1030</v>
      </c>
      <c r="B494" t="s">
        <v>1155</v>
      </c>
      <c r="C494">
        <v>1</v>
      </c>
      <c r="D494">
        <v>1</v>
      </c>
      <c r="E494">
        <v>0</v>
      </c>
      <c r="F494">
        <v>1</v>
      </c>
      <c r="G494">
        <v>0</v>
      </c>
      <c r="L494">
        <v>1</v>
      </c>
    </row>
    <row r="495" spans="1:12" x14ac:dyDescent="0.35">
      <c r="A495" s="1" t="s">
        <v>248</v>
      </c>
      <c r="B495" t="s">
        <v>460</v>
      </c>
      <c r="C495">
        <v>1</v>
      </c>
      <c r="D495">
        <v>1</v>
      </c>
      <c r="E495">
        <v>0</v>
      </c>
      <c r="F495">
        <v>1</v>
      </c>
      <c r="G495">
        <v>0</v>
      </c>
      <c r="L495">
        <v>1</v>
      </c>
    </row>
  </sheetData>
  <conditionalFormatting sqref="A1:A1048576">
    <cfRule type="duplicateValues" dxfId="7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0"/>
  <sheetViews>
    <sheetView tabSelected="1" workbookViewId="0">
      <pane ySplit="1" topLeftCell="A432" activePane="bottomLeft" state="frozen"/>
      <selection pane="bottomLeft" activeCell="N2" sqref="N2:N490"/>
    </sheetView>
  </sheetViews>
  <sheetFormatPr defaultRowHeight="14.5" x14ac:dyDescent="0.35"/>
  <cols>
    <col min="1" max="1" width="11.54296875" style="2" bestFit="1" customWidth="1"/>
    <col min="2" max="2" width="31.6328125" bestFit="1" customWidth="1"/>
    <col min="3" max="3" width="14.1796875" bestFit="1" customWidth="1"/>
    <col min="5" max="5" width="8.453125" customWidth="1"/>
    <col min="6" max="6" width="42.6328125" bestFit="1" customWidth="1"/>
    <col min="7" max="7" width="7" customWidth="1"/>
    <col min="8" max="8" width="8.81640625" customWidth="1"/>
    <col min="9" max="9" width="8.81640625" bestFit="1" customWidth="1"/>
    <col min="10" max="10" width="28.08984375" bestFit="1" customWidth="1"/>
    <col min="11" max="11" width="42.08984375" bestFit="1" customWidth="1"/>
    <col min="13" max="13" width="15.54296875" bestFit="1" customWidth="1"/>
    <col min="14" max="14" width="99.90625" bestFit="1" customWidth="1"/>
  </cols>
  <sheetData>
    <row r="1" spans="1:14" x14ac:dyDescent="0.35">
      <c r="A1" s="2" t="s">
        <v>78</v>
      </c>
      <c r="B1" t="s">
        <v>79</v>
      </c>
      <c r="C1" t="s">
        <v>80</v>
      </c>
      <c r="D1" t="s">
        <v>3</v>
      </c>
      <c r="E1" t="s">
        <v>396</v>
      </c>
      <c r="F1" t="s">
        <v>397</v>
      </c>
      <c r="G1" t="s">
        <v>408</v>
      </c>
      <c r="H1" t="s">
        <v>409</v>
      </c>
      <c r="I1" t="s">
        <v>1</v>
      </c>
      <c r="J1" t="s">
        <v>278</v>
      </c>
      <c r="K1" t="s">
        <v>344</v>
      </c>
      <c r="L1" t="s">
        <v>345</v>
      </c>
      <c r="M1" t="s">
        <v>405</v>
      </c>
      <c r="N1" t="s">
        <v>461</v>
      </c>
    </row>
    <row r="2" spans="1:14" x14ac:dyDescent="0.35">
      <c r="A2" s="2">
        <v>139595</v>
      </c>
      <c r="B2" t="s">
        <v>1112</v>
      </c>
      <c r="C2" s="1" t="str">
        <f>VLOOKUP(Table1[[#This Row],[Name]],MountsByName[],2,FALSE)</f>
        <v>Bat</v>
      </c>
      <c r="D2" s="1">
        <f>VLOOKUP(Table1[[#This Row],[Name]],MountsByName[],3,FALSE)</f>
        <v>2.8</v>
      </c>
      <c r="E2" s="1">
        <f>VLOOKUP(Table1[[#This Row],[Name]],MountsByName[],4,FALSE)</f>
        <v>1.5</v>
      </c>
      <c r="F2" s="1">
        <f>VLOOKUP(Table1[[#This Row],[Name]],MountsByName[],5,FALSE)</f>
        <v>0</v>
      </c>
      <c r="G2" s="1">
        <f>VLOOKUP(Table1[[#This Row],[Name]],MountsByName[],6,FALSE)</f>
        <v>1</v>
      </c>
      <c r="H2" s="1">
        <f>VLOOKUP(Table1[[#This Row],[Name]],MountsByName[],7,FALSE)</f>
        <v>0</v>
      </c>
      <c r="I2" s="1">
        <f>VLOOKUP(Table1[[#This Row],[Name]],MountsByName[],8,FALSE)</f>
        <v>0</v>
      </c>
      <c r="J2" s="1">
        <f>VLOOKUP(Table1[[#This Row],[Name]],MountsByName[],9,FALSE)</f>
        <v>0</v>
      </c>
      <c r="K2" s="1">
        <f>VLOOKUP(Table1[[#This Row],[Name]],MountsByName[],10,FALSE)</f>
        <v>0</v>
      </c>
      <c r="L2" s="1">
        <f>VLOOKUP(Table1[[#This Row],[Name]],MountsByName[],11,FALSE)</f>
        <v>0</v>
      </c>
      <c r="M2" s="1">
        <f>VLOOKUP(Table1[[#This Row],[Name]],MountsByName[],12,FALSE)</f>
        <v>1</v>
      </c>
      <c r="N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[139595] ={"Armored Bloodwing", 139595, 0, 2.8, 1.5, 0, "Bat", "0", 1, 0},</v>
      </c>
    </row>
    <row r="3" spans="1:14" x14ac:dyDescent="0.35">
      <c r="A3" s="2">
        <v>43688</v>
      </c>
      <c r="B3" t="s">
        <v>82</v>
      </c>
      <c r="C3" s="1" t="str">
        <f>VLOOKUP(Table1[[#This Row],[Name]],MountsByName[],2,FALSE)</f>
        <v>Bear</v>
      </c>
      <c r="D3" s="1">
        <f>VLOOKUP(Table1[[#This Row],[Name]],MountsByName[],3,FALSE)</f>
        <v>1</v>
      </c>
      <c r="E3" s="1">
        <f>VLOOKUP(Table1[[#This Row],[Name]],MountsByName[],4,FALSE)</f>
        <v>1</v>
      </c>
      <c r="F3" s="1">
        <f>VLOOKUP(Table1[[#This Row],[Name]],MountsByName[],5,FALSE)</f>
        <v>0</v>
      </c>
      <c r="G3" s="1">
        <f>VLOOKUP(Table1[[#This Row],[Name]],MountsByName[],6,FALSE)</f>
        <v>1</v>
      </c>
      <c r="H3" s="1">
        <f>VLOOKUP(Table1[[#This Row],[Name]],MountsByName[],7,FALSE)</f>
        <v>0</v>
      </c>
      <c r="I3" s="1">
        <f>VLOOKUP(Table1[[#This Row],[Name]],MountsByName[],8,FALSE)</f>
        <v>33809</v>
      </c>
      <c r="J3" s="1" t="str">
        <f>VLOOKUP(Table1[[#This Row],[Name]],MountsByName[],9,FALSE)</f>
        <v>ZA</v>
      </c>
      <c r="K3" s="1">
        <f>VLOOKUP(Table1[[#This Row],[Name]],MountsByName[],10,FALSE)</f>
        <v>1</v>
      </c>
      <c r="L3" s="1">
        <f>VLOOKUP(Table1[[#This Row],[Name]],MountsByName[],11,FALSE)</f>
        <v>1</v>
      </c>
      <c r="M3" s="1">
        <f>VLOOKUP(Table1[[#This Row],[Name]],MountsByName[],12,FALSE)</f>
        <v>1</v>
      </c>
      <c r="N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[43688] ={"Amani War Bear", 43688, 33809, 1, 1, 0, "Bear", "ZA", 1, 0},</v>
      </c>
    </row>
    <row r="4" spans="1:14" x14ac:dyDescent="0.35">
      <c r="A4" s="2">
        <v>51412</v>
      </c>
      <c r="B4" t="s">
        <v>87</v>
      </c>
      <c r="C4" s="1" t="str">
        <f>VLOOKUP(Table1[[#This Row],[Name]],MountsByName[],2,FALSE)</f>
        <v>Bear</v>
      </c>
      <c r="D4" s="1">
        <f>VLOOKUP(Table1[[#This Row],[Name]],MountsByName[],3,FALSE)</f>
        <v>1</v>
      </c>
      <c r="E4" s="1">
        <f>VLOOKUP(Table1[[#This Row],[Name]],MountsByName[],4,FALSE)</f>
        <v>1</v>
      </c>
      <c r="F4" s="1">
        <f>VLOOKUP(Table1[[#This Row],[Name]],MountsByName[],5,FALSE)</f>
        <v>0</v>
      </c>
      <c r="G4" s="1">
        <f>VLOOKUP(Table1[[#This Row],[Name]],MountsByName[],6,FALSE)</f>
        <v>1</v>
      </c>
      <c r="H4" s="1">
        <f>VLOOKUP(Table1[[#This Row],[Name]],MountsByName[],7,FALSE)</f>
        <v>0</v>
      </c>
      <c r="I4" s="1">
        <f>VLOOKUP(Table1[[#This Row],[Name]],MountsByName[],8,FALSE)</f>
        <v>0</v>
      </c>
      <c r="J4" s="1" t="str">
        <f>VLOOKUP(Table1[[#This Row],[Name]],MountsByName[],9,FALSE)</f>
        <v>Event Blizcon</v>
      </c>
      <c r="K4" s="1">
        <f>VLOOKUP(Table1[[#This Row],[Name]],MountsByName[],10,FALSE)</f>
        <v>1</v>
      </c>
      <c r="L4" s="1">
        <f>VLOOKUP(Table1[[#This Row],[Name]],MountsByName[],11,FALSE)</f>
        <v>1</v>
      </c>
      <c r="M4" s="1">
        <f>VLOOKUP(Table1[[#This Row],[Name]],MountsByName[],12,FALSE)</f>
        <v>1</v>
      </c>
      <c r="N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[51412] ={"Big Battle Bear", 51412, 0, 1, 1, 0, "Bear", "Event Blizcon", 1, 0},</v>
      </c>
    </row>
    <row r="5" spans="1:14" x14ac:dyDescent="0.35">
      <c r="A5" s="2">
        <v>54753</v>
      </c>
      <c r="B5" t="s">
        <v>265</v>
      </c>
      <c r="C5" s="1" t="str">
        <f>VLOOKUP(Table1[[#This Row],[Name]],MountsByName[],2,FALSE)</f>
        <v>Bear</v>
      </c>
      <c r="D5" s="1">
        <f>VLOOKUP(Table1[[#This Row],[Name]],MountsByName[],3,FALSE)</f>
        <v>1</v>
      </c>
      <c r="E5" s="1">
        <f>VLOOKUP(Table1[[#This Row],[Name]],MountsByName[],4,FALSE)</f>
        <v>1</v>
      </c>
      <c r="F5" s="1">
        <f>VLOOKUP(Table1[[#This Row],[Name]],MountsByName[],5,FALSE)</f>
        <v>0</v>
      </c>
      <c r="G5" s="1">
        <f>VLOOKUP(Table1[[#This Row],[Name]],MountsByName[],6,FALSE)</f>
        <v>1</v>
      </c>
      <c r="H5" s="1">
        <f>VLOOKUP(Table1[[#This Row],[Name]],MountsByName[],7,FALSE)</f>
        <v>0</v>
      </c>
      <c r="I5" s="1">
        <f>VLOOKUP(Table1[[#This Row],[Name]],MountsByName[],8,FALSE)</f>
        <v>43962</v>
      </c>
      <c r="J5" s="1" t="str">
        <f>VLOOKUP(Table1[[#This Row],[Name]],MountsByName[],9,FALSE)</f>
        <v>Daily Storm Peaks</v>
      </c>
      <c r="K5" s="1">
        <f>VLOOKUP(Table1[[#This Row],[Name]],MountsByName[],10,FALSE)</f>
        <v>1</v>
      </c>
      <c r="L5" s="1">
        <f>VLOOKUP(Table1[[#This Row],[Name]],MountsByName[],11,FALSE)</f>
        <v>1</v>
      </c>
      <c r="M5" s="1">
        <f>VLOOKUP(Table1[[#This Row],[Name]],MountsByName[],12,FALSE)</f>
        <v>1</v>
      </c>
      <c r="N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[54753] ={"White Polar Bear", 54753, 43962, 1, 1, 0, "Bear", "Daily Storm Peaks", 1, 0},</v>
      </c>
    </row>
    <row r="6" spans="1:14" x14ac:dyDescent="0.35">
      <c r="A6" s="2">
        <v>58983</v>
      </c>
      <c r="B6" t="s">
        <v>352</v>
      </c>
      <c r="C6" s="1" t="str">
        <f>VLOOKUP(Table1[[#This Row],[Name]],MountsByName[],2,FALSE)</f>
        <v>Bear</v>
      </c>
      <c r="D6" s="1">
        <f>VLOOKUP(Table1[[#This Row],[Name]],MountsByName[],3,FALSE)</f>
        <v>1</v>
      </c>
      <c r="E6" s="1">
        <f>VLOOKUP(Table1[[#This Row],[Name]],MountsByName[],4,FALSE)</f>
        <v>1</v>
      </c>
      <c r="F6" s="1">
        <f>VLOOKUP(Table1[[#This Row],[Name]],MountsByName[],5,FALSE)</f>
        <v>0</v>
      </c>
      <c r="G6" s="1">
        <f>VLOOKUP(Table1[[#This Row],[Name]],MountsByName[],6,FALSE)</f>
        <v>1</v>
      </c>
      <c r="H6" s="1">
        <f>VLOOKUP(Table1[[#This Row],[Name]],MountsByName[],7,FALSE)</f>
        <v>0</v>
      </c>
      <c r="I6" s="1">
        <f>VLOOKUP(Table1[[#This Row],[Name]],MountsByName[],8,FALSE)</f>
        <v>43599</v>
      </c>
      <c r="J6" s="1" t="str">
        <f>VLOOKUP(Table1[[#This Row],[Name]],MountsByName[],9,FALSE)</f>
        <v>TCG</v>
      </c>
      <c r="K6" s="1">
        <f>VLOOKUP(Table1[[#This Row],[Name]],MountsByName[],10,FALSE)</f>
        <v>1</v>
      </c>
      <c r="L6" s="1">
        <f>VLOOKUP(Table1[[#This Row],[Name]],MountsByName[],11,FALSE)</f>
        <v>1</v>
      </c>
      <c r="M6" s="1">
        <f>VLOOKUP(Table1[[#This Row],[Name]],MountsByName[],12,FALSE)</f>
        <v>1</v>
      </c>
      <c r="N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[58983] ={"Big Blizzard Bear", 58983, 43599, 1, 1, 0, "Bear", "TCG", 1, 0},</v>
      </c>
    </row>
    <row r="7" spans="1:14" x14ac:dyDescent="0.35">
      <c r="A7" s="2">
        <v>59572</v>
      </c>
      <c r="B7" t="s">
        <v>91</v>
      </c>
      <c r="C7" s="1" t="str">
        <f>VLOOKUP(Table1[[#This Row],[Name]],MountsByName[],2,FALSE)</f>
        <v>Bear</v>
      </c>
      <c r="D7" s="1">
        <f>VLOOKUP(Table1[[#This Row],[Name]],MountsByName[],3,FALSE)</f>
        <v>1</v>
      </c>
      <c r="E7" s="1">
        <f>VLOOKUP(Table1[[#This Row],[Name]],MountsByName[],4,FALSE)</f>
        <v>1</v>
      </c>
      <c r="F7" s="1">
        <f>VLOOKUP(Table1[[#This Row],[Name]],MountsByName[],5,FALSE)</f>
        <v>0</v>
      </c>
      <c r="G7" s="1">
        <f>VLOOKUP(Table1[[#This Row],[Name]],MountsByName[],6,FALSE)</f>
        <v>1</v>
      </c>
      <c r="H7" s="1">
        <f>VLOOKUP(Table1[[#This Row],[Name]],MountsByName[],7,FALSE)</f>
        <v>0</v>
      </c>
      <c r="I7" s="1">
        <f>VLOOKUP(Table1[[#This Row],[Name]],MountsByName[],8,FALSE)</f>
        <v>43964</v>
      </c>
      <c r="J7" s="1" t="str">
        <f>VLOOKUP(Table1[[#This Row],[Name]],MountsByName[],9,FALSE)</f>
        <v>Removed</v>
      </c>
      <c r="K7" s="1">
        <f>VLOOKUP(Table1[[#This Row],[Name]],MountsByName[],10,FALSE)</f>
        <v>1</v>
      </c>
      <c r="L7" s="1">
        <f>VLOOKUP(Table1[[#This Row],[Name]],MountsByName[],11,FALSE)</f>
        <v>1</v>
      </c>
      <c r="M7" s="1">
        <f>VLOOKUP(Table1[[#This Row],[Name]],MountsByName[],12,FALSE)</f>
        <v>1</v>
      </c>
      <c r="N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[59572] ={"Black Polar Bear", 59572, 43964, 1, 1, 0, "Bear", "Removed", 1, 0},</v>
      </c>
    </row>
    <row r="8" spans="1:14" x14ac:dyDescent="0.35">
      <c r="A8" s="2">
        <v>60114</v>
      </c>
      <c r="B8" t="s">
        <v>86</v>
      </c>
      <c r="C8" s="1" t="str">
        <f>VLOOKUP(Table1[[#This Row],[Name]],MountsByName[],2,FALSE)</f>
        <v>Bear</v>
      </c>
      <c r="D8" s="1">
        <f>VLOOKUP(Table1[[#This Row],[Name]],MountsByName[],3,FALSE)</f>
        <v>1</v>
      </c>
      <c r="E8" s="1">
        <f>VLOOKUP(Table1[[#This Row],[Name]],MountsByName[],4,FALSE)</f>
        <v>1</v>
      </c>
      <c r="F8" s="1">
        <f>VLOOKUP(Table1[[#This Row],[Name]],MountsByName[],5,FALSE)</f>
        <v>0</v>
      </c>
      <c r="G8" s="1">
        <f>VLOOKUP(Table1[[#This Row],[Name]],MountsByName[],6,FALSE)</f>
        <v>1</v>
      </c>
      <c r="H8" s="1">
        <f>VLOOKUP(Table1[[#This Row],[Name]],MountsByName[],7,FALSE)</f>
        <v>0</v>
      </c>
      <c r="I8" s="1">
        <f>VLOOKUP(Table1[[#This Row],[Name]],MountsByName[],8,FALSE)</f>
        <v>44226</v>
      </c>
      <c r="J8" s="1" t="str">
        <f>VLOOKUP(Table1[[#This Row],[Name]],MountsByName[],9,FALSE)</f>
        <v>Gold</v>
      </c>
      <c r="K8" s="1">
        <f>VLOOKUP(Table1[[#This Row],[Name]],MountsByName[],10,FALSE)</f>
        <v>1</v>
      </c>
      <c r="L8" s="1">
        <f>VLOOKUP(Table1[[#This Row],[Name]],MountsByName[],11,FALSE)</f>
        <v>1</v>
      </c>
      <c r="M8" s="1">
        <f>VLOOKUP(Table1[[#This Row],[Name]],MountsByName[],12,FALSE)</f>
        <v>1</v>
      </c>
      <c r="N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[60114] ={"Armored Brown Bear", 60114, 44226, 1, 1, 0, "Bear", "Gold", 1, 0},</v>
      </c>
    </row>
    <row r="9" spans="1:14" x14ac:dyDescent="0.35">
      <c r="A9" s="2">
        <v>60116</v>
      </c>
      <c r="B9" t="s">
        <v>86</v>
      </c>
      <c r="C9" s="1" t="str">
        <f>VLOOKUP(Table1[[#This Row],[Name]],MountsByName[],2,FALSE)</f>
        <v>Bear</v>
      </c>
      <c r="D9" s="1">
        <f>VLOOKUP(Table1[[#This Row],[Name]],MountsByName[],3,FALSE)</f>
        <v>1</v>
      </c>
      <c r="E9" s="1">
        <f>VLOOKUP(Table1[[#This Row],[Name]],MountsByName[],4,FALSE)</f>
        <v>1</v>
      </c>
      <c r="F9" s="1">
        <f>VLOOKUP(Table1[[#This Row],[Name]],MountsByName[],5,FALSE)</f>
        <v>0</v>
      </c>
      <c r="G9" s="1">
        <f>VLOOKUP(Table1[[#This Row],[Name]],MountsByName[],6,FALSE)</f>
        <v>1</v>
      </c>
      <c r="H9" s="1">
        <f>VLOOKUP(Table1[[#This Row],[Name]],MountsByName[],7,FALSE)</f>
        <v>0</v>
      </c>
      <c r="I9" s="1">
        <f>VLOOKUP(Table1[[#This Row],[Name]],MountsByName[],8,FALSE)</f>
        <v>44226</v>
      </c>
      <c r="J9" s="1" t="str">
        <f>VLOOKUP(Table1[[#This Row],[Name]],MountsByName[],9,FALSE)</f>
        <v>Gold</v>
      </c>
      <c r="K9" s="1">
        <f>VLOOKUP(Table1[[#This Row],[Name]],MountsByName[],10,FALSE)</f>
        <v>1</v>
      </c>
      <c r="L9" s="1">
        <f>VLOOKUP(Table1[[#This Row],[Name]],MountsByName[],11,FALSE)</f>
        <v>1</v>
      </c>
      <c r="M9" s="1">
        <f>VLOOKUP(Table1[[#This Row],[Name]],MountsByName[],12,FALSE)</f>
        <v>1</v>
      </c>
      <c r="N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[60116] ={"Armored Brown Bear", 60116, 44226, 1, 1, 0, "Bear", "Gold", 1, 0},</v>
      </c>
    </row>
    <row r="10" spans="1:14" x14ac:dyDescent="0.35">
      <c r="A10" s="2">
        <v>60118</v>
      </c>
      <c r="B10" t="s">
        <v>96</v>
      </c>
      <c r="C10" s="1" t="str">
        <f>VLOOKUP(Table1[[#This Row],[Name]],MountsByName[],2,FALSE)</f>
        <v>Bear</v>
      </c>
      <c r="D10" s="1">
        <f>VLOOKUP(Table1[[#This Row],[Name]],MountsByName[],3,FALSE)</f>
        <v>1</v>
      </c>
      <c r="E10" s="1">
        <f>VLOOKUP(Table1[[#This Row],[Name]],MountsByName[],4,FALSE)</f>
        <v>1</v>
      </c>
      <c r="F10" s="1">
        <f>VLOOKUP(Table1[[#This Row],[Name]],MountsByName[],5,FALSE)</f>
        <v>0</v>
      </c>
      <c r="G10" s="1">
        <f>VLOOKUP(Table1[[#This Row],[Name]],MountsByName[],6,FALSE)</f>
        <v>1</v>
      </c>
      <c r="H10" s="1">
        <f>VLOOKUP(Table1[[#This Row],[Name]],MountsByName[],7,FALSE)</f>
        <v>0</v>
      </c>
      <c r="I10" s="1">
        <f>VLOOKUP(Table1[[#This Row],[Name]],MountsByName[],8,FALSE)</f>
        <v>44224</v>
      </c>
      <c r="J10" s="1" t="str">
        <f>VLOOKUP(Table1[[#This Row],[Name]],MountsByName[],9,FALSE)</f>
        <v>Achievment</v>
      </c>
      <c r="K10" s="1">
        <f>VLOOKUP(Table1[[#This Row],[Name]],MountsByName[],10,FALSE)</f>
        <v>0</v>
      </c>
      <c r="L10" s="1">
        <f>VLOOKUP(Table1[[#This Row],[Name]],MountsByName[],11,FALSE)</f>
        <v>1</v>
      </c>
      <c r="M10" s="1">
        <f>VLOOKUP(Table1[[#This Row],[Name]],MountsByName[],12,FALSE)</f>
        <v>1</v>
      </c>
      <c r="N1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[60118] ={"Black War Bear", 60118, 44224, 1, 1, 0, "Bear", "Achievment", 1, 0},</v>
      </c>
    </row>
    <row r="11" spans="1:14" x14ac:dyDescent="0.35">
      <c r="A11" s="2">
        <v>60119</v>
      </c>
      <c r="B11" t="s">
        <v>96</v>
      </c>
      <c r="C11" s="1" t="str">
        <f>VLOOKUP(Table1[[#This Row],[Name]],MountsByName[],2,FALSE)</f>
        <v>Bear</v>
      </c>
      <c r="D11" s="1">
        <f>VLOOKUP(Table1[[#This Row],[Name]],MountsByName[],3,FALSE)</f>
        <v>1</v>
      </c>
      <c r="E11" s="1">
        <f>VLOOKUP(Table1[[#This Row],[Name]],MountsByName[],4,FALSE)</f>
        <v>1</v>
      </c>
      <c r="F11" s="1">
        <f>VLOOKUP(Table1[[#This Row],[Name]],MountsByName[],5,FALSE)</f>
        <v>0</v>
      </c>
      <c r="G11" s="1">
        <f>VLOOKUP(Table1[[#This Row],[Name]],MountsByName[],6,FALSE)</f>
        <v>1</v>
      </c>
      <c r="H11" s="1">
        <f>VLOOKUP(Table1[[#This Row],[Name]],MountsByName[],7,FALSE)</f>
        <v>0</v>
      </c>
      <c r="I11" s="1">
        <f>VLOOKUP(Table1[[#This Row],[Name]],MountsByName[],8,FALSE)</f>
        <v>44224</v>
      </c>
      <c r="J11" s="1" t="str">
        <f>VLOOKUP(Table1[[#This Row],[Name]],MountsByName[],9,FALSE)</f>
        <v>Achievment</v>
      </c>
      <c r="K11" s="1">
        <f>VLOOKUP(Table1[[#This Row],[Name]],MountsByName[],10,FALSE)</f>
        <v>0</v>
      </c>
      <c r="L11" s="1">
        <f>VLOOKUP(Table1[[#This Row],[Name]],MountsByName[],11,FALSE)</f>
        <v>1</v>
      </c>
      <c r="M11" s="1">
        <f>VLOOKUP(Table1[[#This Row],[Name]],MountsByName[],12,FALSE)</f>
        <v>1</v>
      </c>
      <c r="N11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[60119] ={"Black War Bear", 60119, 44224, 1, 1, 0, "Bear", "Achievment", 1, 0},</v>
      </c>
    </row>
    <row r="12" spans="1:14" x14ac:dyDescent="0.35">
      <c r="A12" s="2">
        <v>98204</v>
      </c>
      <c r="B12" t="s">
        <v>505</v>
      </c>
      <c r="C12" s="1" t="str">
        <f>VLOOKUP(Table1[[#This Row],[Name]],MountsByName[],2,FALSE)</f>
        <v>Bear</v>
      </c>
      <c r="D12" s="1">
        <f>VLOOKUP(Table1[[#This Row],[Name]],MountsByName[],3,FALSE)</f>
        <v>1</v>
      </c>
      <c r="E12" s="1">
        <f>VLOOKUP(Table1[[#This Row],[Name]],MountsByName[],4,FALSE)</f>
        <v>1</v>
      </c>
      <c r="F12" s="1">
        <f>VLOOKUP(Table1[[#This Row],[Name]],MountsByName[],5,FALSE)</f>
        <v>0</v>
      </c>
      <c r="G12" s="1">
        <f>VLOOKUP(Table1[[#This Row],[Name]],MountsByName[],6,FALSE)</f>
        <v>1</v>
      </c>
      <c r="H12" s="1">
        <f>VLOOKUP(Table1[[#This Row],[Name]],MountsByName[],7,FALSE)</f>
        <v>0</v>
      </c>
      <c r="I12" s="1">
        <f>VLOOKUP(Table1[[#This Row],[Name]],MountsByName[],8,FALSE)</f>
        <v>0</v>
      </c>
      <c r="J12" s="1">
        <f>VLOOKUP(Table1[[#This Row],[Name]],MountsByName[],9,FALSE)</f>
        <v>0</v>
      </c>
      <c r="K12" s="1">
        <f>VLOOKUP(Table1[[#This Row],[Name]],MountsByName[],10,FALSE)</f>
        <v>0</v>
      </c>
      <c r="L12" s="1">
        <f>VLOOKUP(Table1[[#This Row],[Name]],MountsByName[],11,FALSE)</f>
        <v>0</v>
      </c>
      <c r="M12" s="1">
        <f>VLOOKUP(Table1[[#This Row],[Name]],MountsByName[],12,FALSE)</f>
        <v>1</v>
      </c>
      <c r="N1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[98204] ={"Amani Battle Bear", 98204, 0, 1, 1, 0, "Bear", "0", 1, 0},</v>
      </c>
    </row>
    <row r="13" spans="1:14" x14ac:dyDescent="0.35">
      <c r="A13" s="2">
        <v>103081</v>
      </c>
      <c r="B13" t="s">
        <v>508</v>
      </c>
      <c r="C13" s="1" t="str">
        <f>VLOOKUP(Table1[[#This Row],[Name]],MountsByName[],2,FALSE)</f>
        <v>Bear</v>
      </c>
      <c r="D13" s="1">
        <f>VLOOKUP(Table1[[#This Row],[Name]],MountsByName[],3,FALSE)</f>
        <v>1</v>
      </c>
      <c r="E13" s="1">
        <f>VLOOKUP(Table1[[#This Row],[Name]],MountsByName[],4,FALSE)</f>
        <v>1</v>
      </c>
      <c r="F13" s="1">
        <f>VLOOKUP(Table1[[#This Row],[Name]],MountsByName[],5,FALSE)</f>
        <v>0</v>
      </c>
      <c r="G13" s="1">
        <f>VLOOKUP(Table1[[#This Row],[Name]],MountsByName[],6,FALSE)</f>
        <v>1</v>
      </c>
      <c r="H13" s="1">
        <f>VLOOKUP(Table1[[#This Row],[Name]],MountsByName[],7,FALSE)</f>
        <v>0</v>
      </c>
      <c r="I13" s="1">
        <f>VLOOKUP(Table1[[#This Row],[Name]],MountsByName[],8,FALSE)</f>
        <v>0</v>
      </c>
      <c r="J13" s="1">
        <f>VLOOKUP(Table1[[#This Row],[Name]],MountsByName[],9,FALSE)</f>
        <v>0</v>
      </c>
      <c r="K13" s="1">
        <f>VLOOKUP(Table1[[#This Row],[Name]],MountsByName[],10,FALSE)</f>
        <v>0</v>
      </c>
      <c r="L13" s="1">
        <f>VLOOKUP(Table1[[#This Row],[Name]],MountsByName[],11,FALSE)</f>
        <v>0</v>
      </c>
      <c r="M13" s="1">
        <f>VLOOKUP(Table1[[#This Row],[Name]],MountsByName[],12,FALSE)</f>
        <v>1</v>
      </c>
      <c r="N1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[103081] ={"Darkmoon Dancing Bear", 103081, 0, 1, 1, 0, "Bear", "0", 1, 0},</v>
      </c>
    </row>
    <row r="14" spans="1:14" x14ac:dyDescent="0.35">
      <c r="A14" s="2">
        <v>387319</v>
      </c>
      <c r="B14" t="s">
        <v>87</v>
      </c>
      <c r="C14" s="1" t="str">
        <f>VLOOKUP(Table1[[#This Row],[Name]],MountsByName[],2,FALSE)</f>
        <v>Bear</v>
      </c>
      <c r="D14" s="1">
        <f>VLOOKUP(Table1[[#This Row],[Name]],MountsByName[],3,FALSE)</f>
        <v>1</v>
      </c>
      <c r="E14" s="1">
        <f>VLOOKUP(Table1[[#This Row],[Name]],MountsByName[],4,FALSE)</f>
        <v>1</v>
      </c>
      <c r="F14" s="1">
        <f>VLOOKUP(Table1[[#This Row],[Name]],MountsByName[],5,FALSE)</f>
        <v>0</v>
      </c>
      <c r="G14" s="1">
        <f>VLOOKUP(Table1[[#This Row],[Name]],MountsByName[],6,FALSE)</f>
        <v>1</v>
      </c>
      <c r="H14" s="1">
        <f>VLOOKUP(Table1[[#This Row],[Name]],MountsByName[],7,FALSE)</f>
        <v>0</v>
      </c>
      <c r="I14" s="1">
        <f>VLOOKUP(Table1[[#This Row],[Name]],MountsByName[],8,FALSE)</f>
        <v>0</v>
      </c>
      <c r="J14" s="1" t="str">
        <f>VLOOKUP(Table1[[#This Row],[Name]],MountsByName[],9,FALSE)</f>
        <v>Event Blizcon</v>
      </c>
      <c r="K14" s="1">
        <f>VLOOKUP(Table1[[#This Row],[Name]],MountsByName[],10,FALSE)</f>
        <v>1</v>
      </c>
      <c r="L14" s="1">
        <f>VLOOKUP(Table1[[#This Row],[Name]],MountsByName[],11,FALSE)</f>
        <v>1</v>
      </c>
      <c r="M14" s="1">
        <f>VLOOKUP(Table1[[#This Row],[Name]],MountsByName[],12,FALSE)</f>
        <v>1</v>
      </c>
      <c r="N1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[387319] ={"Big Battle Bear", 387319, 0, 1, 1, 0, "Bear", "Event Blizcon", 1, 0},</v>
      </c>
    </row>
    <row r="15" spans="1:14" x14ac:dyDescent="0.35">
      <c r="A15" s="2">
        <v>25863</v>
      </c>
      <c r="B15" t="s">
        <v>92</v>
      </c>
      <c r="C15" s="1" t="str">
        <f>VLOOKUP(Table1[[#This Row],[Name]],MountsByName[],2,FALSE)</f>
        <v>Bug</v>
      </c>
      <c r="D15" s="1">
        <f>VLOOKUP(Table1[[#This Row],[Name]],MountsByName[],3,FALSE)</f>
        <v>1</v>
      </c>
      <c r="E15" s="1">
        <f>VLOOKUP(Table1[[#This Row],[Name]],MountsByName[],4,FALSE)</f>
        <v>1</v>
      </c>
      <c r="F15" s="1">
        <f>VLOOKUP(Table1[[#This Row],[Name]],MountsByName[],5,FALSE)</f>
        <v>0</v>
      </c>
      <c r="G15" s="1">
        <f>VLOOKUP(Table1[[#This Row],[Name]],MountsByName[],6,FALSE)</f>
        <v>1</v>
      </c>
      <c r="H15" s="1">
        <f>VLOOKUP(Table1[[#This Row],[Name]],MountsByName[],7,FALSE)</f>
        <v>1</v>
      </c>
      <c r="I15" s="1">
        <f>VLOOKUP(Table1[[#This Row],[Name]],MountsByName[],8,FALSE)</f>
        <v>21176</v>
      </c>
      <c r="J15" s="1" t="str">
        <f>VLOOKUP(Table1[[#This Row],[Name]],MountsByName[],9,FALSE)</f>
        <v>Removed</v>
      </c>
      <c r="K15" s="1">
        <f>VLOOKUP(Table1[[#This Row],[Name]],MountsByName[],10,FALSE)</f>
        <v>1</v>
      </c>
      <c r="L15" s="1">
        <f>VLOOKUP(Table1[[#This Row],[Name]],MountsByName[],11,FALSE)</f>
        <v>1</v>
      </c>
      <c r="M15" s="1">
        <f>VLOOKUP(Table1[[#This Row],[Name]],MountsByName[],12,FALSE)</f>
        <v>1</v>
      </c>
      <c r="N1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[25863] ={"Black Qiraji Battle Tank", 25863, 21176, 1, 1, 0, "Bug", "Removed", 1, 1},</v>
      </c>
    </row>
    <row r="16" spans="1:14" x14ac:dyDescent="0.35">
      <c r="A16" s="2">
        <v>25953</v>
      </c>
      <c r="B16" t="s">
        <v>108</v>
      </c>
      <c r="C16" s="1" t="str">
        <f>VLOOKUP(Table1[[#This Row],[Name]],MountsByName[],2,FALSE)</f>
        <v>Bug</v>
      </c>
      <c r="D16" s="1">
        <f>VLOOKUP(Table1[[#This Row],[Name]],MountsByName[],3,FALSE)</f>
        <v>1</v>
      </c>
      <c r="E16" s="1">
        <f>VLOOKUP(Table1[[#This Row],[Name]],MountsByName[],4,FALSE)</f>
        <v>1</v>
      </c>
      <c r="F16" s="1">
        <f>VLOOKUP(Table1[[#This Row],[Name]],MountsByName[],5,FALSE)</f>
        <v>0</v>
      </c>
      <c r="G16" s="1">
        <f>VLOOKUP(Table1[[#This Row],[Name]],MountsByName[],6,FALSE)</f>
        <v>0</v>
      </c>
      <c r="H16" s="1">
        <f>VLOOKUP(Table1[[#This Row],[Name]],MountsByName[],7,FALSE)</f>
        <v>1</v>
      </c>
      <c r="I16" s="1">
        <f>VLOOKUP(Table1[[#This Row],[Name]],MountsByName[],8,FALSE)</f>
        <v>21218</v>
      </c>
      <c r="J16" s="1" t="str">
        <f>VLOOKUP(Table1[[#This Row],[Name]],MountsByName[],9,FALSE)</f>
        <v>Drop, AQ40</v>
      </c>
      <c r="K16" s="1">
        <f>VLOOKUP(Table1[[#This Row],[Name]],MountsByName[],10,FALSE)</f>
        <v>1</v>
      </c>
      <c r="L16" s="1">
        <f>VLOOKUP(Table1[[#This Row],[Name]],MountsByName[],11,FALSE)</f>
        <v>1</v>
      </c>
      <c r="M16" s="1">
        <f>VLOOKUP(Table1[[#This Row],[Name]],MountsByName[],12,FALSE)</f>
        <v>1</v>
      </c>
      <c r="N1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[25953] ={"Blue Qiraji Battle Tank", 25953, 21218, 1, 1, 0, "Bug", "Drop, AQ40", 0, 1},</v>
      </c>
    </row>
    <row r="17" spans="1:14" x14ac:dyDescent="0.35">
      <c r="A17" s="2">
        <v>26054</v>
      </c>
      <c r="B17" t="s">
        <v>191</v>
      </c>
      <c r="C17" s="1" t="str">
        <f>VLOOKUP(Table1[[#This Row],[Name]],MountsByName[],2,FALSE)</f>
        <v>Bug</v>
      </c>
      <c r="D17" s="1">
        <f>VLOOKUP(Table1[[#This Row],[Name]],MountsByName[],3,FALSE)</f>
        <v>1</v>
      </c>
      <c r="E17" s="1">
        <f>VLOOKUP(Table1[[#This Row],[Name]],MountsByName[],4,FALSE)</f>
        <v>1</v>
      </c>
      <c r="F17" s="1">
        <f>VLOOKUP(Table1[[#This Row],[Name]],MountsByName[],5,FALSE)</f>
        <v>0</v>
      </c>
      <c r="G17" s="1">
        <f>VLOOKUP(Table1[[#This Row],[Name]],MountsByName[],6,FALSE)</f>
        <v>0</v>
      </c>
      <c r="H17" s="1">
        <f>VLOOKUP(Table1[[#This Row],[Name]],MountsByName[],7,FALSE)</f>
        <v>1</v>
      </c>
      <c r="I17" s="1">
        <f>VLOOKUP(Table1[[#This Row],[Name]],MountsByName[],8,FALSE)</f>
        <v>21321</v>
      </c>
      <c r="J17" s="1" t="str">
        <f>VLOOKUP(Table1[[#This Row],[Name]],MountsByName[],9,FALSE)</f>
        <v>Drop AQ40</v>
      </c>
      <c r="K17" s="1">
        <f>VLOOKUP(Table1[[#This Row],[Name]],MountsByName[],10,FALSE)</f>
        <v>1</v>
      </c>
      <c r="L17" s="1">
        <f>VLOOKUP(Table1[[#This Row],[Name]],MountsByName[],11,FALSE)</f>
        <v>1</v>
      </c>
      <c r="M17" s="1">
        <f>VLOOKUP(Table1[[#This Row],[Name]],MountsByName[],12,FALSE)</f>
        <v>1</v>
      </c>
      <c r="N1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[26054] ={"Red Qiraji Battle Tank", 26054, 21321, 1, 1, 0, "Bug", "Drop AQ40", 0, 1},</v>
      </c>
    </row>
    <row r="18" spans="1:14" x14ac:dyDescent="0.35">
      <c r="A18" s="2">
        <v>26055</v>
      </c>
      <c r="B18" t="s">
        <v>275</v>
      </c>
      <c r="C18" s="1" t="str">
        <f>VLOOKUP(Table1[[#This Row],[Name]],MountsByName[],2,FALSE)</f>
        <v>Bug</v>
      </c>
      <c r="D18" s="1">
        <f>VLOOKUP(Table1[[#This Row],[Name]],MountsByName[],3,FALSE)</f>
        <v>1</v>
      </c>
      <c r="E18" s="1">
        <f>VLOOKUP(Table1[[#This Row],[Name]],MountsByName[],4,FALSE)</f>
        <v>1</v>
      </c>
      <c r="F18" s="1">
        <f>VLOOKUP(Table1[[#This Row],[Name]],MountsByName[],5,FALSE)</f>
        <v>0</v>
      </c>
      <c r="G18" s="1">
        <f>VLOOKUP(Table1[[#This Row],[Name]],MountsByName[],6,FALSE)</f>
        <v>0</v>
      </c>
      <c r="H18" s="1">
        <f>VLOOKUP(Table1[[#This Row],[Name]],MountsByName[],7,FALSE)</f>
        <v>1</v>
      </c>
      <c r="I18" s="1">
        <f>VLOOKUP(Table1[[#This Row],[Name]],MountsByName[],8,FALSE)</f>
        <v>21324</v>
      </c>
      <c r="J18" s="1" t="str">
        <f>VLOOKUP(Table1[[#This Row],[Name]],MountsByName[],9,FALSE)</f>
        <v>Drop AQ40</v>
      </c>
      <c r="K18" s="1">
        <f>VLOOKUP(Table1[[#This Row],[Name]],MountsByName[],10,FALSE)</f>
        <v>1</v>
      </c>
      <c r="L18" s="1">
        <f>VLOOKUP(Table1[[#This Row],[Name]],MountsByName[],11,FALSE)</f>
        <v>1</v>
      </c>
      <c r="M18" s="1">
        <f>VLOOKUP(Table1[[#This Row],[Name]],MountsByName[],12,FALSE)</f>
        <v>1</v>
      </c>
      <c r="N1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[26055] ={"Yellow Qiraji Battle Tank", 26055, 21324, 1, 1, 0, "Bug", "Drop AQ40", 0, 1},</v>
      </c>
    </row>
    <row r="19" spans="1:14" x14ac:dyDescent="0.35">
      <c r="A19" s="2">
        <v>26056</v>
      </c>
      <c r="B19" t="s">
        <v>164</v>
      </c>
      <c r="C19" s="1" t="str">
        <f>VLOOKUP(Table1[[#This Row],[Name]],MountsByName[],2,FALSE)</f>
        <v>Bug</v>
      </c>
      <c r="D19" s="1">
        <f>VLOOKUP(Table1[[#This Row],[Name]],MountsByName[],3,FALSE)</f>
        <v>1</v>
      </c>
      <c r="E19" s="1">
        <f>VLOOKUP(Table1[[#This Row],[Name]],MountsByName[],4,FALSE)</f>
        <v>1</v>
      </c>
      <c r="F19" s="1">
        <f>VLOOKUP(Table1[[#This Row],[Name]],MountsByName[],5,FALSE)</f>
        <v>0</v>
      </c>
      <c r="G19" s="1">
        <f>VLOOKUP(Table1[[#This Row],[Name]],MountsByName[],6,FALSE)</f>
        <v>0</v>
      </c>
      <c r="H19" s="1">
        <f>VLOOKUP(Table1[[#This Row],[Name]],MountsByName[],7,FALSE)</f>
        <v>1</v>
      </c>
      <c r="I19" s="1">
        <f>VLOOKUP(Table1[[#This Row],[Name]],MountsByName[],8,FALSE)</f>
        <v>21323</v>
      </c>
      <c r="J19" s="1" t="str">
        <f>VLOOKUP(Table1[[#This Row],[Name]],MountsByName[],9,FALSE)</f>
        <v>Drop AQ40</v>
      </c>
      <c r="K19" s="1">
        <f>VLOOKUP(Table1[[#This Row],[Name]],MountsByName[],10,FALSE)</f>
        <v>1</v>
      </c>
      <c r="L19" s="1">
        <f>VLOOKUP(Table1[[#This Row],[Name]],MountsByName[],11,FALSE)</f>
        <v>1</v>
      </c>
      <c r="M19" s="1">
        <f>VLOOKUP(Table1[[#This Row],[Name]],MountsByName[],12,FALSE)</f>
        <v>1</v>
      </c>
      <c r="N1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[26056] ={"Green Qiraji Battle Tank", 26056, 21323, 1, 1, 0, "Bug", "Drop AQ40", 0, 1},</v>
      </c>
    </row>
    <row r="20" spans="1:14" x14ac:dyDescent="0.35">
      <c r="A20" s="2">
        <v>26655</v>
      </c>
      <c r="B20" t="s">
        <v>92</v>
      </c>
      <c r="C20" s="1" t="str">
        <f>VLOOKUP(Table1[[#This Row],[Name]],MountsByName[],2,FALSE)</f>
        <v>Bug</v>
      </c>
      <c r="D20" s="1">
        <f>VLOOKUP(Table1[[#This Row],[Name]],MountsByName[],3,FALSE)</f>
        <v>1</v>
      </c>
      <c r="E20" s="1">
        <f>VLOOKUP(Table1[[#This Row],[Name]],MountsByName[],4,FALSE)</f>
        <v>1</v>
      </c>
      <c r="F20" s="1">
        <f>VLOOKUP(Table1[[#This Row],[Name]],MountsByName[],5,FALSE)</f>
        <v>0</v>
      </c>
      <c r="G20" s="1">
        <f>VLOOKUP(Table1[[#This Row],[Name]],MountsByName[],6,FALSE)</f>
        <v>1</v>
      </c>
      <c r="H20" s="1">
        <f>VLOOKUP(Table1[[#This Row],[Name]],MountsByName[],7,FALSE)</f>
        <v>1</v>
      </c>
      <c r="I20" s="1">
        <f>VLOOKUP(Table1[[#This Row],[Name]],MountsByName[],8,FALSE)</f>
        <v>21176</v>
      </c>
      <c r="J20" s="1" t="str">
        <f>VLOOKUP(Table1[[#This Row],[Name]],MountsByName[],9,FALSE)</f>
        <v>Removed</v>
      </c>
      <c r="K20" s="1">
        <f>VLOOKUP(Table1[[#This Row],[Name]],MountsByName[],10,FALSE)</f>
        <v>1</v>
      </c>
      <c r="L20" s="1">
        <f>VLOOKUP(Table1[[#This Row],[Name]],MountsByName[],11,FALSE)</f>
        <v>1</v>
      </c>
      <c r="M20" s="1">
        <f>VLOOKUP(Table1[[#This Row],[Name]],MountsByName[],12,FALSE)</f>
        <v>1</v>
      </c>
      <c r="N2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[26655] ={"Black Qiraji Battle Tank", 26655, 21176, 1, 1, 0, "Bug", "Removed", 1, 1},</v>
      </c>
    </row>
    <row r="21" spans="1:14" x14ac:dyDescent="0.35">
      <c r="A21" s="2">
        <v>26656</v>
      </c>
      <c r="B21" t="s">
        <v>92</v>
      </c>
      <c r="C21" s="1" t="str">
        <f>VLOOKUP(Table1[[#This Row],[Name]],MountsByName[],2,FALSE)</f>
        <v>Bug</v>
      </c>
      <c r="D21" s="1">
        <f>VLOOKUP(Table1[[#This Row],[Name]],MountsByName[],3,FALSE)</f>
        <v>1</v>
      </c>
      <c r="E21" s="1">
        <f>VLOOKUP(Table1[[#This Row],[Name]],MountsByName[],4,FALSE)</f>
        <v>1</v>
      </c>
      <c r="F21" s="1">
        <f>VLOOKUP(Table1[[#This Row],[Name]],MountsByName[],5,FALSE)</f>
        <v>0</v>
      </c>
      <c r="G21" s="1">
        <f>VLOOKUP(Table1[[#This Row],[Name]],MountsByName[],6,FALSE)</f>
        <v>1</v>
      </c>
      <c r="H21" s="1">
        <f>VLOOKUP(Table1[[#This Row],[Name]],MountsByName[],7,FALSE)</f>
        <v>1</v>
      </c>
      <c r="I21" s="1">
        <f>VLOOKUP(Table1[[#This Row],[Name]],MountsByName[],8,FALSE)</f>
        <v>21176</v>
      </c>
      <c r="J21" s="1" t="str">
        <f>VLOOKUP(Table1[[#This Row],[Name]],MountsByName[],9,FALSE)</f>
        <v>Removed</v>
      </c>
      <c r="K21" s="1">
        <f>VLOOKUP(Table1[[#This Row],[Name]],MountsByName[],10,FALSE)</f>
        <v>1</v>
      </c>
      <c r="L21" s="1">
        <f>VLOOKUP(Table1[[#This Row],[Name]],MountsByName[],11,FALSE)</f>
        <v>1</v>
      </c>
      <c r="M21" s="1">
        <f>VLOOKUP(Table1[[#This Row],[Name]],MountsByName[],12,FALSE)</f>
        <v>1</v>
      </c>
      <c r="N21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[26656] ={"Black Qiraji Battle Tank", 26656, 21176, 1, 1, 0, "Bug", "Removed", 1, 1},</v>
      </c>
    </row>
    <row r="22" spans="1:14" x14ac:dyDescent="0.35">
      <c r="A22" s="2">
        <v>92155</v>
      </c>
      <c r="B22" t="s">
        <v>526</v>
      </c>
      <c r="C22" s="1" t="str">
        <f>VLOOKUP(Table1[[#This Row],[Name]],MountsByName[],2,FALSE)</f>
        <v>Bug</v>
      </c>
      <c r="D22" s="1">
        <f>VLOOKUP(Table1[[#This Row],[Name]],MountsByName[],3,FALSE)</f>
        <v>1</v>
      </c>
      <c r="E22" s="1">
        <f>VLOOKUP(Table1[[#This Row],[Name]],MountsByName[],4,FALSE)</f>
        <v>1</v>
      </c>
      <c r="F22" s="1">
        <f>VLOOKUP(Table1[[#This Row],[Name]],MountsByName[],5,FALSE)</f>
        <v>0</v>
      </c>
      <c r="G22" s="1">
        <f>VLOOKUP(Table1[[#This Row],[Name]],MountsByName[],6,FALSE)</f>
        <v>1</v>
      </c>
      <c r="H22" s="1">
        <f>VLOOKUP(Table1[[#This Row],[Name]],MountsByName[],7,FALSE)</f>
        <v>1</v>
      </c>
      <c r="I22" s="1">
        <f>VLOOKUP(Table1[[#This Row],[Name]],MountsByName[],8,FALSE)</f>
        <v>0</v>
      </c>
      <c r="J22" s="1">
        <f>VLOOKUP(Table1[[#This Row],[Name]],MountsByName[],9,FALSE)</f>
        <v>0</v>
      </c>
      <c r="K22" s="1">
        <f>VLOOKUP(Table1[[#This Row],[Name]],MountsByName[],10,FALSE)</f>
        <v>0</v>
      </c>
      <c r="L22" s="1">
        <f>VLOOKUP(Table1[[#This Row],[Name]],MountsByName[],11,FALSE)</f>
        <v>0</v>
      </c>
      <c r="M22" s="1">
        <f>VLOOKUP(Table1[[#This Row],[Name]],MountsByName[],12,FALSE)</f>
        <v>1</v>
      </c>
      <c r="N2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[92155] ={"Ultramarine Qiraji Battle Tank", 92155, 0, 1, 1, 0, "Bug", "0", 1, 1},</v>
      </c>
    </row>
    <row r="23" spans="1:14" x14ac:dyDescent="0.35">
      <c r="A23" s="2">
        <v>163025</v>
      </c>
      <c r="B23" t="s">
        <v>1103</v>
      </c>
      <c r="C23" s="1" t="str">
        <f>VLOOKUP(Table1[[#This Row],[Name]],MountsByName[],2,FALSE)</f>
        <v>Bug</v>
      </c>
      <c r="D23" s="1">
        <f>VLOOKUP(Table1[[#This Row],[Name]],MountsByName[],3,FALSE)</f>
        <v>1</v>
      </c>
      <c r="E23" s="1">
        <f>VLOOKUP(Table1[[#This Row],[Name]],MountsByName[],4,FALSE)</f>
        <v>1</v>
      </c>
      <c r="F23" s="1">
        <f>VLOOKUP(Table1[[#This Row],[Name]],MountsByName[],5,FALSE)</f>
        <v>0</v>
      </c>
      <c r="G23" s="1">
        <f>VLOOKUP(Table1[[#This Row],[Name]],MountsByName[],6,FALSE)</f>
        <v>1</v>
      </c>
      <c r="H23" s="1">
        <f>VLOOKUP(Table1[[#This Row],[Name]],MountsByName[],7,FALSE)</f>
        <v>1</v>
      </c>
      <c r="I23" s="1">
        <f>VLOOKUP(Table1[[#This Row],[Name]],MountsByName[],8,FALSE)</f>
        <v>0</v>
      </c>
      <c r="J23" s="1">
        <f>VLOOKUP(Table1[[#This Row],[Name]],MountsByName[],9,FALSE)</f>
        <v>0</v>
      </c>
      <c r="K23" s="1">
        <f>VLOOKUP(Table1[[#This Row],[Name]],MountsByName[],10,FALSE)</f>
        <v>0</v>
      </c>
      <c r="L23" s="1">
        <f>VLOOKUP(Table1[[#This Row],[Name]],MountsByName[],11,FALSE)</f>
        <v>0</v>
      </c>
      <c r="M23" s="1">
        <f>VLOOKUP(Table1[[#This Row],[Name]],MountsByName[],12,FALSE)</f>
        <v>1</v>
      </c>
      <c r="N2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[163025] ={"Grinning Reaver", 163025, 0, 1, 1, 0, "Bug", "0", 1, 1},</v>
      </c>
    </row>
    <row r="24" spans="1:14" x14ac:dyDescent="0.35">
      <c r="A24" s="2">
        <v>88748</v>
      </c>
      <c r="B24" t="s">
        <v>531</v>
      </c>
      <c r="C24" s="1" t="str">
        <f>VLOOKUP(Table1[[#This Row],[Name]],MountsByName[],2,FALSE)</f>
        <v>Camel</v>
      </c>
      <c r="D24" s="1">
        <f>VLOOKUP(Table1[[#This Row],[Name]],MountsByName[],3,FALSE)</f>
        <v>1</v>
      </c>
      <c r="E24" s="1">
        <f>VLOOKUP(Table1[[#This Row],[Name]],MountsByName[],4,FALSE)</f>
        <v>1</v>
      </c>
      <c r="F24" s="1">
        <f>VLOOKUP(Table1[[#This Row],[Name]],MountsByName[],5,FALSE)</f>
        <v>0</v>
      </c>
      <c r="G24" s="1">
        <f>VLOOKUP(Table1[[#This Row],[Name]],MountsByName[],6,FALSE)</f>
        <v>1</v>
      </c>
      <c r="H24" s="1">
        <f>VLOOKUP(Table1[[#This Row],[Name]],MountsByName[],7,FALSE)</f>
        <v>0</v>
      </c>
      <c r="I24" s="1">
        <f>VLOOKUP(Table1[[#This Row],[Name]],MountsByName[],8,FALSE)</f>
        <v>0</v>
      </c>
      <c r="J24" s="1">
        <f>VLOOKUP(Table1[[#This Row],[Name]],MountsByName[],9,FALSE)</f>
        <v>0</v>
      </c>
      <c r="K24" s="1">
        <f>VLOOKUP(Table1[[#This Row],[Name]],MountsByName[],10,FALSE)</f>
        <v>0</v>
      </c>
      <c r="L24" s="1">
        <f>VLOOKUP(Table1[[#This Row],[Name]],MountsByName[],11,FALSE)</f>
        <v>0</v>
      </c>
      <c r="M24" s="1">
        <f>VLOOKUP(Table1[[#This Row],[Name]],MountsByName[],12,FALSE)</f>
        <v>1</v>
      </c>
      <c r="N2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[88748] ={"Brown Riding Camel", 88748, 0, 1, 1, 0, "Camel", "0", 1, 0},</v>
      </c>
    </row>
    <row r="25" spans="1:14" x14ac:dyDescent="0.35">
      <c r="A25" s="2">
        <v>88749</v>
      </c>
      <c r="B25" t="s">
        <v>529</v>
      </c>
      <c r="C25" s="1" t="str">
        <f>VLOOKUP(Table1[[#This Row],[Name]],MountsByName[],2,FALSE)</f>
        <v>Camel</v>
      </c>
      <c r="D25" s="1">
        <f>VLOOKUP(Table1[[#This Row],[Name]],MountsByName[],3,FALSE)</f>
        <v>1</v>
      </c>
      <c r="E25" s="1">
        <f>VLOOKUP(Table1[[#This Row],[Name]],MountsByName[],4,FALSE)</f>
        <v>1</v>
      </c>
      <c r="F25" s="1">
        <f>VLOOKUP(Table1[[#This Row],[Name]],MountsByName[],5,FALSE)</f>
        <v>0</v>
      </c>
      <c r="G25" s="1">
        <f>VLOOKUP(Table1[[#This Row],[Name]],MountsByName[],6,FALSE)</f>
        <v>1</v>
      </c>
      <c r="H25" s="1">
        <f>VLOOKUP(Table1[[#This Row],[Name]],MountsByName[],7,FALSE)</f>
        <v>0</v>
      </c>
      <c r="I25" s="1">
        <f>VLOOKUP(Table1[[#This Row],[Name]],MountsByName[],8,FALSE)</f>
        <v>0</v>
      </c>
      <c r="J25" s="1">
        <f>VLOOKUP(Table1[[#This Row],[Name]],MountsByName[],9,FALSE)</f>
        <v>0</v>
      </c>
      <c r="K25" s="1">
        <f>VLOOKUP(Table1[[#This Row],[Name]],MountsByName[],10,FALSE)</f>
        <v>0</v>
      </c>
      <c r="L25" s="1">
        <f>VLOOKUP(Table1[[#This Row],[Name]],MountsByName[],11,FALSE)</f>
        <v>0</v>
      </c>
      <c r="M25" s="1">
        <f>VLOOKUP(Table1[[#This Row],[Name]],MountsByName[],12,FALSE)</f>
        <v>1</v>
      </c>
      <c r="N2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[88749] ={"Tan Riding Camel", 88749, 0, 1, 1, 0, "Camel", "0", 1, 0},</v>
      </c>
    </row>
    <row r="26" spans="1:14" x14ac:dyDescent="0.35">
      <c r="A26" s="2">
        <v>88750</v>
      </c>
      <c r="B26" t="s">
        <v>457</v>
      </c>
      <c r="C26" s="1" t="str">
        <f>VLOOKUP(Table1[[#This Row],[Name]],MountsByName[],2,FALSE)</f>
        <v>Camel</v>
      </c>
      <c r="D26" s="1">
        <f>VLOOKUP(Table1[[#This Row],[Name]],MountsByName[],3,FALSE)</f>
        <v>1</v>
      </c>
      <c r="E26" s="1">
        <f>VLOOKUP(Table1[[#This Row],[Name]],MountsByName[],4,FALSE)</f>
        <v>1</v>
      </c>
      <c r="F26" s="1">
        <f>VLOOKUP(Table1[[#This Row],[Name]],MountsByName[],5,FALSE)</f>
        <v>0</v>
      </c>
      <c r="G26" s="1">
        <f>VLOOKUP(Table1[[#This Row],[Name]],MountsByName[],6,FALSE)</f>
        <v>1</v>
      </c>
      <c r="H26" s="1">
        <f>VLOOKUP(Table1[[#This Row],[Name]],MountsByName[],7,FALSE)</f>
        <v>0</v>
      </c>
      <c r="I26" s="1">
        <f>VLOOKUP(Table1[[#This Row],[Name]],MountsByName[],8,FALSE)</f>
        <v>0</v>
      </c>
      <c r="J26" s="1">
        <f>VLOOKUP(Table1[[#This Row],[Name]],MountsByName[],9,FALSE)</f>
        <v>0</v>
      </c>
      <c r="K26" s="1">
        <f>VLOOKUP(Table1[[#This Row],[Name]],MountsByName[],10,FALSE)</f>
        <v>0</v>
      </c>
      <c r="L26" s="1">
        <f>VLOOKUP(Table1[[#This Row],[Name]],MountsByName[],11,FALSE)</f>
        <v>0</v>
      </c>
      <c r="M26" s="1">
        <f>VLOOKUP(Table1[[#This Row],[Name]],MountsByName[],12,FALSE)</f>
        <v>1</v>
      </c>
      <c r="N2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[88750] ={"Grey Riding Camel", 88750, 0, 1, 1, 0, "Camel", "0", 1, 0},</v>
      </c>
    </row>
    <row r="27" spans="1:14" x14ac:dyDescent="0.35">
      <c r="A27" s="2">
        <v>102488</v>
      </c>
      <c r="B27" t="s">
        <v>517</v>
      </c>
      <c r="C27" s="1" t="str">
        <f>VLOOKUP(Table1[[#This Row],[Name]],MountsByName[],2,FALSE)</f>
        <v>Camel</v>
      </c>
      <c r="D27" s="1">
        <f>VLOOKUP(Table1[[#This Row],[Name]],MountsByName[],3,FALSE)</f>
        <v>1</v>
      </c>
      <c r="E27" s="1">
        <f>VLOOKUP(Table1[[#This Row],[Name]],MountsByName[],4,FALSE)</f>
        <v>1</v>
      </c>
      <c r="F27" s="1">
        <f>VLOOKUP(Table1[[#This Row],[Name]],MountsByName[],5,FALSE)</f>
        <v>0</v>
      </c>
      <c r="G27" s="1">
        <f>VLOOKUP(Table1[[#This Row],[Name]],MountsByName[],6,FALSE)</f>
        <v>1</v>
      </c>
      <c r="H27" s="1">
        <f>VLOOKUP(Table1[[#This Row],[Name]],MountsByName[],7,FALSE)</f>
        <v>0</v>
      </c>
      <c r="I27" s="1">
        <f>VLOOKUP(Table1[[#This Row],[Name]],MountsByName[],8,FALSE)</f>
        <v>0</v>
      </c>
      <c r="J27" s="1">
        <f>VLOOKUP(Table1[[#This Row],[Name]],MountsByName[],9,FALSE)</f>
        <v>0</v>
      </c>
      <c r="K27" s="1">
        <f>VLOOKUP(Table1[[#This Row],[Name]],MountsByName[],10,FALSE)</f>
        <v>0</v>
      </c>
      <c r="L27" s="1">
        <f>VLOOKUP(Table1[[#This Row],[Name]],MountsByName[],11,FALSE)</f>
        <v>0</v>
      </c>
      <c r="M27" s="1">
        <f>VLOOKUP(Table1[[#This Row],[Name]],MountsByName[],12,FALSE)</f>
        <v>1</v>
      </c>
      <c r="N2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[102488] ={"White Riding Camel", 102488, 0, 1, 1, 0, "Camel", "0", 1, 0},</v>
      </c>
    </row>
    <row r="28" spans="1:14" x14ac:dyDescent="0.35">
      <c r="A28" s="2">
        <v>61309</v>
      </c>
      <c r="B28" t="s">
        <v>38</v>
      </c>
      <c r="C28" s="1" t="str">
        <f>VLOOKUP(Table1[[#This Row],[Name]],MountsByName[],2,FALSE)</f>
        <v>Carpet</v>
      </c>
      <c r="D28" s="1">
        <f>VLOOKUP(Table1[[#This Row],[Name]],MountsByName[],3,FALSE)</f>
        <v>2.8</v>
      </c>
      <c r="E28" s="1">
        <f>VLOOKUP(Table1[[#This Row],[Name]],MountsByName[],4,FALSE)</f>
        <v>2.8</v>
      </c>
      <c r="F28" s="1">
        <f>VLOOKUP(Table1[[#This Row],[Name]],MountsByName[],5,FALSE)</f>
        <v>0</v>
      </c>
      <c r="G28" s="1">
        <f>VLOOKUP(Table1[[#This Row],[Name]],MountsByName[],6,FALSE)</f>
        <v>1</v>
      </c>
      <c r="H28" s="1">
        <f>VLOOKUP(Table1[[#This Row],[Name]],MountsByName[],7,FALSE)</f>
        <v>0</v>
      </c>
      <c r="I28" s="1">
        <f>VLOOKUP(Table1[[#This Row],[Name]],MountsByName[],8,FALSE)</f>
        <v>44558</v>
      </c>
      <c r="J28" s="1" t="str">
        <f>VLOOKUP(Table1[[#This Row],[Name]],MountsByName[],9,FALSE)</f>
        <v>Tailoring</v>
      </c>
      <c r="K28" s="1">
        <f>VLOOKUP(Table1[[#This Row],[Name]],MountsByName[],10,FALSE)</f>
        <v>1</v>
      </c>
      <c r="L28" s="1">
        <f>VLOOKUP(Table1[[#This Row],[Name]],MountsByName[],11,FALSE)</f>
        <v>1</v>
      </c>
      <c r="M28" s="1">
        <f>VLOOKUP(Table1[[#This Row],[Name]],MountsByName[],12,FALSE)</f>
        <v>1</v>
      </c>
      <c r="N2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[61309] ={"Magnificent Flying Carpet", 61309, 44558, 2.8, 2.8, 0, "Carpet", "Tailoring", 1, 0},</v>
      </c>
    </row>
    <row r="29" spans="1:14" x14ac:dyDescent="0.35">
      <c r="A29" s="2">
        <v>61451</v>
      </c>
      <c r="B29" t="s">
        <v>26</v>
      </c>
      <c r="C29" s="1" t="str">
        <f>VLOOKUP(Table1[[#This Row],[Name]],MountsByName[],2,FALSE)</f>
        <v>Carpet</v>
      </c>
      <c r="D29" s="1">
        <f>VLOOKUP(Table1[[#This Row],[Name]],MountsByName[],3,FALSE)</f>
        <v>1.5</v>
      </c>
      <c r="E29" s="1">
        <f>VLOOKUP(Table1[[#This Row],[Name]],MountsByName[],4,FALSE)</f>
        <v>1.5</v>
      </c>
      <c r="F29" s="1">
        <f>VLOOKUP(Table1[[#This Row],[Name]],MountsByName[],5,FALSE)</f>
        <v>0</v>
      </c>
      <c r="G29" s="1">
        <f>VLOOKUP(Table1[[#This Row],[Name]],MountsByName[],6,FALSE)</f>
        <v>1</v>
      </c>
      <c r="H29" s="1">
        <f>VLOOKUP(Table1[[#This Row],[Name]],MountsByName[],7,FALSE)</f>
        <v>0</v>
      </c>
      <c r="I29" s="1">
        <f>VLOOKUP(Table1[[#This Row],[Name]],MountsByName[],8,FALSE)</f>
        <v>44554</v>
      </c>
      <c r="J29" s="1" t="str">
        <f>VLOOKUP(Table1[[#This Row],[Name]],MountsByName[],9,FALSE)</f>
        <v>Tailoring</v>
      </c>
      <c r="K29" s="1">
        <f>VLOOKUP(Table1[[#This Row],[Name]],MountsByName[],10,FALSE)</f>
        <v>1</v>
      </c>
      <c r="L29" s="1">
        <f>VLOOKUP(Table1[[#This Row],[Name]],MountsByName[],11,FALSE)</f>
        <v>1</v>
      </c>
      <c r="M29" s="1">
        <f>VLOOKUP(Table1[[#This Row],[Name]],MountsByName[],12,FALSE)</f>
        <v>1</v>
      </c>
      <c r="N2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[61451] ={"Flying Carpet", 61451, 44554, 1.5, 1.5, 0, "Carpet", "Tailoring", 1, 0},</v>
      </c>
    </row>
    <row r="30" spans="1:14" x14ac:dyDescent="0.35">
      <c r="A30" s="2">
        <v>75596</v>
      </c>
      <c r="B30" t="s">
        <v>30</v>
      </c>
      <c r="C30" s="1" t="str">
        <f>VLOOKUP(Table1[[#This Row],[Name]],MountsByName[],2,FALSE)</f>
        <v>Carpet</v>
      </c>
      <c r="D30" s="1">
        <f>VLOOKUP(Table1[[#This Row],[Name]],MountsByName[],3,FALSE)</f>
        <v>2.8</v>
      </c>
      <c r="E30" s="1">
        <f>VLOOKUP(Table1[[#This Row],[Name]],MountsByName[],4,FALSE)</f>
        <v>2.8</v>
      </c>
      <c r="F30" s="1">
        <f>VLOOKUP(Table1[[#This Row],[Name]],MountsByName[],5,FALSE)</f>
        <v>0</v>
      </c>
      <c r="G30" s="1">
        <f>VLOOKUP(Table1[[#This Row],[Name]],MountsByName[],6,FALSE)</f>
        <v>1</v>
      </c>
      <c r="H30" s="1">
        <f>VLOOKUP(Table1[[#This Row],[Name]],MountsByName[],7,FALSE)</f>
        <v>0</v>
      </c>
      <c r="I30" s="1">
        <f>VLOOKUP(Table1[[#This Row],[Name]],MountsByName[],8,FALSE)</f>
        <v>54797</v>
      </c>
      <c r="J30" s="1" t="str">
        <f>VLOOKUP(Table1[[#This Row],[Name]],MountsByName[],9,FALSE)</f>
        <v>Tailoring</v>
      </c>
      <c r="K30" s="1">
        <f>VLOOKUP(Table1[[#This Row],[Name]],MountsByName[],10,FALSE)</f>
        <v>1</v>
      </c>
      <c r="L30" s="1">
        <f>VLOOKUP(Table1[[#This Row],[Name]],MountsByName[],11,FALSE)</f>
        <v>1</v>
      </c>
      <c r="M30" s="1">
        <f>VLOOKUP(Table1[[#This Row],[Name]],MountsByName[],12,FALSE)</f>
        <v>1</v>
      </c>
      <c r="N3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[75596] ={"Frosty Flying Carpet", 75596, 54797, 2.8, 2.8, 0, "Carpet", "Tailoring", 1, 0},</v>
      </c>
    </row>
    <row r="31" spans="1:14" x14ac:dyDescent="0.35">
      <c r="A31" s="2">
        <v>136505</v>
      </c>
      <c r="B31" t="s">
        <v>1118</v>
      </c>
      <c r="C31" s="1" t="str">
        <f>VLOOKUP(Table1[[#This Row],[Name]],MountsByName[],2,FALSE)</f>
        <v>Celestial</v>
      </c>
      <c r="D31" s="1">
        <f>VLOOKUP(Table1[[#This Row],[Name]],MountsByName[],3,FALSE)</f>
        <v>1</v>
      </c>
      <c r="E31" s="1">
        <f>VLOOKUP(Table1[[#This Row],[Name]],MountsByName[],4,FALSE)</f>
        <v>1</v>
      </c>
      <c r="F31" s="1">
        <f>VLOOKUP(Table1[[#This Row],[Name]],MountsByName[],5,FALSE)</f>
        <v>0</v>
      </c>
      <c r="G31" s="1">
        <f>VLOOKUP(Table1[[#This Row],[Name]],MountsByName[],6,FALSE)</f>
        <v>1</v>
      </c>
      <c r="H31" s="1">
        <f>VLOOKUP(Table1[[#This Row],[Name]],MountsByName[],7,FALSE)</f>
        <v>0</v>
      </c>
      <c r="I31" s="1">
        <f>VLOOKUP(Table1[[#This Row],[Name]],MountsByName[],8,FALSE)</f>
        <v>0</v>
      </c>
      <c r="J31" s="1">
        <f>VLOOKUP(Table1[[#This Row],[Name]],MountsByName[],9,FALSE)</f>
        <v>0</v>
      </c>
      <c r="K31" s="1">
        <f>VLOOKUP(Table1[[#This Row],[Name]],MountsByName[],10,FALSE)</f>
        <v>0</v>
      </c>
      <c r="L31" s="1">
        <f>VLOOKUP(Table1[[#This Row],[Name]],MountsByName[],11,FALSE)</f>
        <v>0</v>
      </c>
      <c r="M31" s="1">
        <f>VLOOKUP(Table1[[#This Row],[Name]],MountsByName[],12,FALSE)</f>
        <v>1</v>
      </c>
      <c r="N31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[136505] ={"Ghastly Charger", 136505, 0, 1, 1, 0, "Celestial", "0", 1, 0},</v>
      </c>
    </row>
    <row r="32" spans="1:14" x14ac:dyDescent="0.35">
      <c r="A32" s="2">
        <v>1247597</v>
      </c>
      <c r="B32" t="s">
        <v>1086</v>
      </c>
      <c r="C32" s="1" t="str">
        <f>VLOOKUP(Table1[[#This Row],[Name]],MountsByName[],2,FALSE)</f>
        <v>Celestial</v>
      </c>
      <c r="D32" s="1">
        <f>VLOOKUP(Table1[[#This Row],[Name]],MountsByName[],3,FALSE)</f>
        <v>1</v>
      </c>
      <c r="E32" s="1">
        <f>VLOOKUP(Table1[[#This Row],[Name]],MountsByName[],4,FALSE)</f>
        <v>1</v>
      </c>
      <c r="F32" s="1">
        <f>VLOOKUP(Table1[[#This Row],[Name]],MountsByName[],5,FALSE)</f>
        <v>0</v>
      </c>
      <c r="G32" s="1">
        <f>VLOOKUP(Table1[[#This Row],[Name]],MountsByName[],6,FALSE)</f>
        <v>1</v>
      </c>
      <c r="H32" s="1">
        <f>VLOOKUP(Table1[[#This Row],[Name]],MountsByName[],7,FALSE)</f>
        <v>0</v>
      </c>
      <c r="I32" s="1">
        <f>VLOOKUP(Table1[[#This Row],[Name]],MountsByName[],8,FALSE)</f>
        <v>0</v>
      </c>
      <c r="J32" s="1">
        <f>VLOOKUP(Table1[[#This Row],[Name]],MountsByName[],9,FALSE)</f>
        <v>0</v>
      </c>
      <c r="K32" s="1">
        <f>VLOOKUP(Table1[[#This Row],[Name]],MountsByName[],10,FALSE)</f>
        <v>0</v>
      </c>
      <c r="L32" s="1">
        <f>VLOOKUP(Table1[[#This Row],[Name]],MountsByName[],11,FALSE)</f>
        <v>0</v>
      </c>
      <c r="M32" s="1">
        <f>VLOOKUP(Table1[[#This Row],[Name]],MountsByName[],12,FALSE)</f>
        <v>1</v>
      </c>
      <c r="N3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[1247597] ={"Celestial Riding Ox", 1247597, 0, 1, 1, 0, "Celestial", "0", 1, 0},</v>
      </c>
    </row>
    <row r="33" spans="1:14" x14ac:dyDescent="0.35">
      <c r="A33" s="2">
        <v>1247598</v>
      </c>
      <c r="B33" t="s">
        <v>1085</v>
      </c>
      <c r="C33" s="1" t="str">
        <f>VLOOKUP(Table1[[#This Row],[Name]],MountsByName[],2,FALSE)</f>
        <v>Celestial</v>
      </c>
      <c r="D33" s="1">
        <f>VLOOKUP(Table1[[#This Row],[Name]],MountsByName[],3,FALSE)</f>
        <v>1</v>
      </c>
      <c r="E33" s="1">
        <f>VLOOKUP(Table1[[#This Row],[Name]],MountsByName[],4,FALSE)</f>
        <v>1</v>
      </c>
      <c r="F33" s="1">
        <f>VLOOKUP(Table1[[#This Row],[Name]],MountsByName[],5,FALSE)</f>
        <v>0</v>
      </c>
      <c r="G33" s="1">
        <f>VLOOKUP(Table1[[#This Row],[Name]],MountsByName[],6,FALSE)</f>
        <v>1</v>
      </c>
      <c r="H33" s="1">
        <f>VLOOKUP(Table1[[#This Row],[Name]],MountsByName[],7,FALSE)</f>
        <v>0</v>
      </c>
      <c r="I33" s="1">
        <f>VLOOKUP(Table1[[#This Row],[Name]],MountsByName[],8,FALSE)</f>
        <v>0</v>
      </c>
      <c r="J33" s="1">
        <f>VLOOKUP(Table1[[#This Row],[Name]],MountsByName[],9,FALSE)</f>
        <v>0</v>
      </c>
      <c r="K33" s="1">
        <f>VLOOKUP(Table1[[#This Row],[Name]],MountsByName[],10,FALSE)</f>
        <v>0</v>
      </c>
      <c r="L33" s="1">
        <f>VLOOKUP(Table1[[#This Row],[Name]],MountsByName[],11,FALSE)</f>
        <v>0</v>
      </c>
      <c r="M33" s="1">
        <f>VLOOKUP(Table1[[#This Row],[Name]],MountsByName[],12,FALSE)</f>
        <v>1</v>
      </c>
      <c r="N3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[1247598] ={"Celestial Riding Tiger", 1247598, 0, 1, 1, 0, "Celestial", "0", 1, 0},</v>
      </c>
    </row>
    <row r="34" spans="1:14" x14ac:dyDescent="0.35">
      <c r="A34" s="2">
        <v>153489</v>
      </c>
      <c r="B34" t="s">
        <v>1029</v>
      </c>
      <c r="C34" s="1" t="str">
        <f>VLOOKUP(Table1[[#This Row],[Name]],MountsByName[],2,FALSE)</f>
        <v>Chimera</v>
      </c>
      <c r="D34" s="1">
        <f>VLOOKUP(Table1[[#This Row],[Name]],MountsByName[],3,FALSE)</f>
        <v>2.8</v>
      </c>
      <c r="E34" s="1">
        <f>VLOOKUP(Table1[[#This Row],[Name]],MountsByName[],4,FALSE)</f>
        <v>2.8</v>
      </c>
      <c r="F34" s="1">
        <f>VLOOKUP(Table1[[#This Row],[Name]],MountsByName[],5,FALSE)</f>
        <v>0</v>
      </c>
      <c r="G34" s="1">
        <f>VLOOKUP(Table1[[#This Row],[Name]],MountsByName[],6,FALSE)</f>
        <v>1</v>
      </c>
      <c r="H34" s="1">
        <f>VLOOKUP(Table1[[#This Row],[Name]],MountsByName[],7,FALSE)</f>
        <v>0</v>
      </c>
      <c r="I34" s="1">
        <f>VLOOKUP(Table1[[#This Row],[Name]],MountsByName[],8,FALSE)</f>
        <v>0</v>
      </c>
      <c r="J34" s="1">
        <f>VLOOKUP(Table1[[#This Row],[Name]],MountsByName[],9,FALSE)</f>
        <v>0</v>
      </c>
      <c r="K34" s="1">
        <f>VLOOKUP(Table1[[#This Row],[Name]],MountsByName[],10,FALSE)</f>
        <v>0</v>
      </c>
      <c r="L34" s="1">
        <f>VLOOKUP(Table1[[#This Row],[Name]],MountsByName[],11,FALSE)</f>
        <v>0</v>
      </c>
      <c r="M34" s="1">
        <f>VLOOKUP(Table1[[#This Row],[Name]],MountsByName[],12,FALSE)</f>
        <v>1</v>
      </c>
      <c r="N3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[153489] ={"Iron Skyreaver", 153489, 0, 2.8, 2.8, 0, "Chimera", "0", 1, 0},</v>
      </c>
    </row>
    <row r="35" spans="1:14" x14ac:dyDescent="0.35">
      <c r="A35" s="2">
        <v>113199</v>
      </c>
      <c r="B35" t="s">
        <v>1077</v>
      </c>
      <c r="C35" s="1" t="str">
        <f>VLOOKUP(Table1[[#This Row],[Name]],MountsByName[],2,FALSE)</f>
        <v>Cloud Serpent</v>
      </c>
      <c r="D35" s="1">
        <f>VLOOKUP(Table1[[#This Row],[Name]],MountsByName[],3,FALSE)</f>
        <v>2.8</v>
      </c>
      <c r="E35" s="1">
        <f>VLOOKUP(Table1[[#This Row],[Name]],MountsByName[],4,FALSE)</f>
        <v>2.8</v>
      </c>
      <c r="F35" s="1">
        <f>VLOOKUP(Table1[[#This Row],[Name]],MountsByName[],5,FALSE)</f>
        <v>0</v>
      </c>
      <c r="G35" s="1">
        <f>VLOOKUP(Table1[[#This Row],[Name]],MountsByName[],6,FALSE)</f>
        <v>1</v>
      </c>
      <c r="H35" s="1">
        <f>VLOOKUP(Table1[[#This Row],[Name]],MountsByName[],7,FALSE)</f>
        <v>0</v>
      </c>
      <c r="I35" s="1">
        <f>VLOOKUP(Table1[[#This Row],[Name]],MountsByName[],8,FALSE)</f>
        <v>0</v>
      </c>
      <c r="J35" s="1">
        <f>VLOOKUP(Table1[[#This Row],[Name]],MountsByName[],9,FALSE)</f>
        <v>0</v>
      </c>
      <c r="K35" s="1">
        <f>VLOOKUP(Table1[[#This Row],[Name]],MountsByName[],10,FALSE)</f>
        <v>0</v>
      </c>
      <c r="L35" s="1">
        <f>VLOOKUP(Table1[[#This Row],[Name]],MountsByName[],11,FALSE)</f>
        <v>0</v>
      </c>
      <c r="M35" s="1">
        <f>VLOOKUP(Table1[[#This Row],[Name]],MountsByName[],12,FALSE)</f>
        <v>1</v>
      </c>
      <c r="N3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[113199] ={"Jade Cloud Serpent", 113199, 0, 2.8, 2.8, 0, "Cloud Serpent", "0", 1, 0},</v>
      </c>
    </row>
    <row r="36" spans="1:14" x14ac:dyDescent="0.35">
      <c r="A36" s="2">
        <v>123992</v>
      </c>
      <c r="B36" t="s">
        <v>1073</v>
      </c>
      <c r="C36" s="1" t="str">
        <f>VLOOKUP(Table1[[#This Row],[Name]],MountsByName[],2,FALSE)</f>
        <v>Cloud Serpent</v>
      </c>
      <c r="D36" s="1">
        <f>VLOOKUP(Table1[[#This Row],[Name]],MountsByName[],3,FALSE)</f>
        <v>2.8</v>
      </c>
      <c r="E36" s="1">
        <f>VLOOKUP(Table1[[#This Row],[Name]],MountsByName[],4,FALSE)</f>
        <v>2.8</v>
      </c>
      <c r="F36" s="1">
        <f>VLOOKUP(Table1[[#This Row],[Name]],MountsByName[],5,FALSE)</f>
        <v>0</v>
      </c>
      <c r="G36" s="1">
        <f>VLOOKUP(Table1[[#This Row],[Name]],MountsByName[],6,FALSE)</f>
        <v>1</v>
      </c>
      <c r="H36" s="1">
        <f>VLOOKUP(Table1[[#This Row],[Name]],MountsByName[],7,FALSE)</f>
        <v>0</v>
      </c>
      <c r="I36" s="1">
        <f>VLOOKUP(Table1[[#This Row],[Name]],MountsByName[],8,FALSE)</f>
        <v>0</v>
      </c>
      <c r="J36" s="1">
        <f>VLOOKUP(Table1[[#This Row],[Name]],MountsByName[],9,FALSE)</f>
        <v>0</v>
      </c>
      <c r="K36" s="1">
        <f>VLOOKUP(Table1[[#This Row],[Name]],MountsByName[],10,FALSE)</f>
        <v>0</v>
      </c>
      <c r="L36" s="1">
        <f>VLOOKUP(Table1[[#This Row],[Name]],MountsByName[],11,FALSE)</f>
        <v>0</v>
      </c>
      <c r="M36" s="1">
        <f>VLOOKUP(Table1[[#This Row],[Name]],MountsByName[],12,FALSE)</f>
        <v>1</v>
      </c>
      <c r="N3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[123992] ={"Azure Cloud Serpent", 123992, 0, 2.8, 2.8, 0, "Cloud Serpent", "0", 1, 0},</v>
      </c>
    </row>
    <row r="37" spans="1:14" x14ac:dyDescent="0.35">
      <c r="A37" s="2">
        <v>123993</v>
      </c>
      <c r="B37" t="s">
        <v>1072</v>
      </c>
      <c r="C37" s="1" t="str">
        <f>VLOOKUP(Table1[[#This Row],[Name]],MountsByName[],2,FALSE)</f>
        <v>Cloud Serpent</v>
      </c>
      <c r="D37" s="1">
        <f>VLOOKUP(Table1[[#This Row],[Name]],MountsByName[],3,FALSE)</f>
        <v>2.8</v>
      </c>
      <c r="E37" s="1">
        <f>VLOOKUP(Table1[[#This Row],[Name]],MountsByName[],4,FALSE)</f>
        <v>2.8</v>
      </c>
      <c r="F37" s="1">
        <f>VLOOKUP(Table1[[#This Row],[Name]],MountsByName[],5,FALSE)</f>
        <v>0</v>
      </c>
      <c r="G37" s="1">
        <f>VLOOKUP(Table1[[#This Row],[Name]],MountsByName[],6,FALSE)</f>
        <v>1</v>
      </c>
      <c r="H37" s="1">
        <f>VLOOKUP(Table1[[#This Row],[Name]],MountsByName[],7,FALSE)</f>
        <v>0</v>
      </c>
      <c r="I37" s="1">
        <f>VLOOKUP(Table1[[#This Row],[Name]],MountsByName[],8,FALSE)</f>
        <v>0</v>
      </c>
      <c r="J37" s="1">
        <f>VLOOKUP(Table1[[#This Row],[Name]],MountsByName[],9,FALSE)</f>
        <v>0</v>
      </c>
      <c r="K37" s="1">
        <f>VLOOKUP(Table1[[#This Row],[Name]],MountsByName[],10,FALSE)</f>
        <v>0</v>
      </c>
      <c r="L37" s="1">
        <f>VLOOKUP(Table1[[#This Row],[Name]],MountsByName[],11,FALSE)</f>
        <v>0</v>
      </c>
      <c r="M37" s="1">
        <f>VLOOKUP(Table1[[#This Row],[Name]],MountsByName[],12,FALSE)</f>
        <v>1</v>
      </c>
      <c r="N3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[123993] ={"Golden Cloud Serpent", 123993, 0, 2.8, 2.8, 0, "Cloud Serpent", "0", 1, 0},</v>
      </c>
    </row>
    <row r="38" spans="1:14" x14ac:dyDescent="0.35">
      <c r="A38" s="2">
        <v>124408</v>
      </c>
      <c r="B38" t="s">
        <v>1071</v>
      </c>
      <c r="C38" s="1" t="str">
        <f>VLOOKUP(Table1[[#This Row],[Name]],MountsByName[],2,FALSE)</f>
        <v>Cloud Serpent</v>
      </c>
      <c r="D38" s="1">
        <f>VLOOKUP(Table1[[#This Row],[Name]],MountsByName[],3,FALSE)</f>
        <v>2.8</v>
      </c>
      <c r="E38" s="1">
        <f>VLOOKUP(Table1[[#This Row],[Name]],MountsByName[],4,FALSE)</f>
        <v>2.8</v>
      </c>
      <c r="F38" s="1">
        <f>VLOOKUP(Table1[[#This Row],[Name]],MountsByName[],5,FALSE)</f>
        <v>0</v>
      </c>
      <c r="G38" s="1">
        <f>VLOOKUP(Table1[[#This Row],[Name]],MountsByName[],6,FALSE)</f>
        <v>1</v>
      </c>
      <c r="H38" s="1">
        <f>VLOOKUP(Table1[[#This Row],[Name]],MountsByName[],7,FALSE)</f>
        <v>0</v>
      </c>
      <c r="I38" s="1">
        <f>VLOOKUP(Table1[[#This Row],[Name]],MountsByName[],8,FALSE)</f>
        <v>0</v>
      </c>
      <c r="J38" s="1">
        <f>VLOOKUP(Table1[[#This Row],[Name]],MountsByName[],9,FALSE)</f>
        <v>0</v>
      </c>
      <c r="K38" s="1">
        <f>VLOOKUP(Table1[[#This Row],[Name]],MountsByName[],10,FALSE)</f>
        <v>0</v>
      </c>
      <c r="L38" s="1">
        <f>VLOOKUP(Table1[[#This Row],[Name]],MountsByName[],11,FALSE)</f>
        <v>0</v>
      </c>
      <c r="M38" s="1">
        <f>VLOOKUP(Table1[[#This Row],[Name]],MountsByName[],12,FALSE)</f>
        <v>1</v>
      </c>
      <c r="N3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[124408] ={"Thundering Jade Cloud Serpent", 124408, 0, 2.8, 2.8, 0, "Cloud Serpent", "0", 1, 0},</v>
      </c>
    </row>
    <row r="39" spans="1:14" x14ac:dyDescent="0.35">
      <c r="A39" s="2">
        <v>127154</v>
      </c>
      <c r="B39" t="s">
        <v>1066</v>
      </c>
      <c r="C39" s="1" t="str">
        <f>VLOOKUP(Table1[[#This Row],[Name]],MountsByName[],2,FALSE)</f>
        <v>Cloud Serpent</v>
      </c>
      <c r="D39" s="1">
        <f>VLOOKUP(Table1[[#This Row],[Name]],MountsByName[],3,FALSE)</f>
        <v>2.8</v>
      </c>
      <c r="E39" s="1">
        <f>VLOOKUP(Table1[[#This Row],[Name]],MountsByName[],4,FALSE)</f>
        <v>2.8</v>
      </c>
      <c r="F39" s="1">
        <f>VLOOKUP(Table1[[#This Row],[Name]],MountsByName[],5,FALSE)</f>
        <v>0</v>
      </c>
      <c r="G39" s="1">
        <f>VLOOKUP(Table1[[#This Row],[Name]],MountsByName[],6,FALSE)</f>
        <v>1</v>
      </c>
      <c r="H39" s="1">
        <f>VLOOKUP(Table1[[#This Row],[Name]],MountsByName[],7,FALSE)</f>
        <v>0</v>
      </c>
      <c r="I39" s="1">
        <f>VLOOKUP(Table1[[#This Row],[Name]],MountsByName[],8,FALSE)</f>
        <v>0</v>
      </c>
      <c r="J39" s="1">
        <f>VLOOKUP(Table1[[#This Row],[Name]],MountsByName[],9,FALSE)</f>
        <v>0</v>
      </c>
      <c r="K39" s="1">
        <f>VLOOKUP(Table1[[#This Row],[Name]],MountsByName[],10,FALSE)</f>
        <v>0</v>
      </c>
      <c r="L39" s="1">
        <f>VLOOKUP(Table1[[#This Row],[Name]],MountsByName[],11,FALSE)</f>
        <v>0</v>
      </c>
      <c r="M39" s="1">
        <f>VLOOKUP(Table1[[#This Row],[Name]],MountsByName[],12,FALSE)</f>
        <v>1</v>
      </c>
      <c r="N3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[127154] ={"Onyx Cloud Serpent", 127154, 0, 2.8, 2.8, 0, "Cloud Serpent", "0", 1, 0},</v>
      </c>
    </row>
    <row r="40" spans="1:14" x14ac:dyDescent="0.35">
      <c r="A40" s="2">
        <v>127156</v>
      </c>
      <c r="B40" t="s">
        <v>1065</v>
      </c>
      <c r="C40" s="1" t="str">
        <f>VLOOKUP(Table1[[#This Row],[Name]],MountsByName[],2,FALSE)</f>
        <v>Cloud Serpent</v>
      </c>
      <c r="D40" s="1">
        <f>VLOOKUP(Table1[[#This Row],[Name]],MountsByName[],3,FALSE)</f>
        <v>2.8</v>
      </c>
      <c r="E40" s="1">
        <f>VLOOKUP(Table1[[#This Row],[Name]],MountsByName[],4,FALSE)</f>
        <v>2.8</v>
      </c>
      <c r="F40" s="1">
        <f>VLOOKUP(Table1[[#This Row],[Name]],MountsByName[],5,FALSE)</f>
        <v>0</v>
      </c>
      <c r="G40" s="1">
        <f>VLOOKUP(Table1[[#This Row],[Name]],MountsByName[],6,FALSE)</f>
        <v>1</v>
      </c>
      <c r="H40" s="1">
        <f>VLOOKUP(Table1[[#This Row],[Name]],MountsByName[],7,FALSE)</f>
        <v>0</v>
      </c>
      <c r="I40" s="1">
        <f>VLOOKUP(Table1[[#This Row],[Name]],MountsByName[],8,FALSE)</f>
        <v>0</v>
      </c>
      <c r="J40" s="1">
        <f>VLOOKUP(Table1[[#This Row],[Name]],MountsByName[],9,FALSE)</f>
        <v>0</v>
      </c>
      <c r="K40" s="1">
        <f>VLOOKUP(Table1[[#This Row],[Name]],MountsByName[],10,FALSE)</f>
        <v>0</v>
      </c>
      <c r="L40" s="1">
        <f>VLOOKUP(Table1[[#This Row],[Name]],MountsByName[],11,FALSE)</f>
        <v>0</v>
      </c>
      <c r="M40" s="1">
        <f>VLOOKUP(Table1[[#This Row],[Name]],MountsByName[],12,FALSE)</f>
        <v>1</v>
      </c>
      <c r="N4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[127156] ={"Crimson Cloud Serpent", 127156, 0, 2.8, 2.8, 0, "Cloud Serpent", "0", 1, 0},</v>
      </c>
    </row>
    <row r="41" spans="1:14" x14ac:dyDescent="0.35">
      <c r="A41" s="2">
        <v>127158</v>
      </c>
      <c r="B41" t="s">
        <v>1063</v>
      </c>
      <c r="C41" s="1" t="str">
        <f>VLOOKUP(Table1[[#This Row],[Name]],MountsByName[],2,FALSE)</f>
        <v>Cloud Serpent</v>
      </c>
      <c r="D41" s="1">
        <f>VLOOKUP(Table1[[#This Row],[Name]],MountsByName[],3,FALSE)</f>
        <v>2.8</v>
      </c>
      <c r="E41" s="1">
        <f>VLOOKUP(Table1[[#This Row],[Name]],MountsByName[],4,FALSE)</f>
        <v>2.8</v>
      </c>
      <c r="F41" s="1">
        <f>VLOOKUP(Table1[[#This Row],[Name]],MountsByName[],5,FALSE)</f>
        <v>0</v>
      </c>
      <c r="G41" s="1">
        <f>VLOOKUP(Table1[[#This Row],[Name]],MountsByName[],6,FALSE)</f>
        <v>1</v>
      </c>
      <c r="H41" s="1">
        <f>VLOOKUP(Table1[[#This Row],[Name]],MountsByName[],7,FALSE)</f>
        <v>0</v>
      </c>
      <c r="I41" s="1">
        <f>VLOOKUP(Table1[[#This Row],[Name]],MountsByName[],8,FALSE)</f>
        <v>0</v>
      </c>
      <c r="J41" s="1">
        <f>VLOOKUP(Table1[[#This Row],[Name]],MountsByName[],9,FALSE)</f>
        <v>0</v>
      </c>
      <c r="K41" s="1">
        <f>VLOOKUP(Table1[[#This Row],[Name]],MountsByName[],10,FALSE)</f>
        <v>0</v>
      </c>
      <c r="L41" s="1">
        <f>VLOOKUP(Table1[[#This Row],[Name]],MountsByName[],11,FALSE)</f>
        <v>0</v>
      </c>
      <c r="M41" s="1">
        <f>VLOOKUP(Table1[[#This Row],[Name]],MountsByName[],12,FALSE)</f>
        <v>1</v>
      </c>
      <c r="N41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[127158] ={"Heavenly Onyx Cloud Serpent", 127158, 0, 2.8, 2.8, 0, "Cloud Serpent", "0", 1, 0},</v>
      </c>
    </row>
    <row r="42" spans="1:14" x14ac:dyDescent="0.35">
      <c r="A42" s="2">
        <v>127161</v>
      </c>
      <c r="B42" t="s">
        <v>1131</v>
      </c>
      <c r="C42" s="1" t="str">
        <f>VLOOKUP(Table1[[#This Row],[Name]],MountsByName[],2,FALSE)</f>
        <v>Cloud Serpent</v>
      </c>
      <c r="D42" s="1">
        <f>VLOOKUP(Table1[[#This Row],[Name]],MountsByName[],3,FALSE)</f>
        <v>2.8</v>
      </c>
      <c r="E42" s="1">
        <f>VLOOKUP(Table1[[#This Row],[Name]],MountsByName[],4,FALSE)</f>
        <v>2.8</v>
      </c>
      <c r="F42" s="1">
        <f>VLOOKUP(Table1[[#This Row],[Name]],MountsByName[],5,FALSE)</f>
        <v>0</v>
      </c>
      <c r="G42" s="1">
        <f>VLOOKUP(Table1[[#This Row],[Name]],MountsByName[],6,FALSE)</f>
        <v>1</v>
      </c>
      <c r="H42" s="1">
        <f>VLOOKUP(Table1[[#This Row],[Name]],MountsByName[],7,FALSE)</f>
        <v>0</v>
      </c>
      <c r="I42" s="1">
        <f>VLOOKUP(Table1[[#This Row],[Name]],MountsByName[],8,FALSE)</f>
        <v>0</v>
      </c>
      <c r="J42" s="1">
        <f>VLOOKUP(Table1[[#This Row],[Name]],MountsByName[],9,FALSE)</f>
        <v>0</v>
      </c>
      <c r="K42" s="1">
        <f>VLOOKUP(Table1[[#This Row],[Name]],MountsByName[],10,FALSE)</f>
        <v>0</v>
      </c>
      <c r="L42" s="1">
        <f>VLOOKUP(Table1[[#This Row],[Name]],MountsByName[],11,FALSE)</f>
        <v>0</v>
      </c>
      <c r="M42" s="1">
        <f>VLOOKUP(Table1[[#This Row],[Name]],MountsByName[],12,FALSE)</f>
        <v>1</v>
      </c>
      <c r="N4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[127161] ={"Heavenly Crimson Cloud Serpent", 127161, 0, 2.8, 2.8, 0, "Cloud Serpent", "0", 1, 0},</v>
      </c>
    </row>
    <row r="43" spans="1:14" x14ac:dyDescent="0.35">
      <c r="A43" s="2">
        <v>127164</v>
      </c>
      <c r="B43" t="s">
        <v>1061</v>
      </c>
      <c r="C43" s="1" t="str">
        <f>VLOOKUP(Table1[[#This Row],[Name]],MountsByName[],2,FALSE)</f>
        <v>Cloud Serpent</v>
      </c>
      <c r="D43" s="1">
        <f>VLOOKUP(Table1[[#This Row],[Name]],MountsByName[],3,FALSE)</f>
        <v>2.8</v>
      </c>
      <c r="E43" s="1">
        <f>VLOOKUP(Table1[[#This Row],[Name]],MountsByName[],4,FALSE)</f>
        <v>2.8</v>
      </c>
      <c r="F43" s="1">
        <f>VLOOKUP(Table1[[#This Row],[Name]],MountsByName[],5,FALSE)</f>
        <v>0</v>
      </c>
      <c r="G43" s="1">
        <f>VLOOKUP(Table1[[#This Row],[Name]],MountsByName[],6,FALSE)</f>
        <v>1</v>
      </c>
      <c r="H43" s="1">
        <f>VLOOKUP(Table1[[#This Row],[Name]],MountsByName[],7,FALSE)</f>
        <v>0</v>
      </c>
      <c r="I43" s="1">
        <f>VLOOKUP(Table1[[#This Row],[Name]],MountsByName[],8,FALSE)</f>
        <v>0</v>
      </c>
      <c r="J43" s="1">
        <f>VLOOKUP(Table1[[#This Row],[Name]],MountsByName[],9,FALSE)</f>
        <v>0</v>
      </c>
      <c r="K43" s="1">
        <f>VLOOKUP(Table1[[#This Row],[Name]],MountsByName[],10,FALSE)</f>
        <v>0</v>
      </c>
      <c r="L43" s="1">
        <f>VLOOKUP(Table1[[#This Row],[Name]],MountsByName[],11,FALSE)</f>
        <v>0</v>
      </c>
      <c r="M43" s="1">
        <f>VLOOKUP(Table1[[#This Row],[Name]],MountsByName[],12,FALSE)</f>
        <v>1</v>
      </c>
      <c r="N4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[127164] ={"Heavenly Golden Cloud Serpent", 127164, 0, 2.8, 2.8, 0, "Cloud Serpent", "0", 1, 0},</v>
      </c>
    </row>
    <row r="44" spans="1:14" x14ac:dyDescent="0.35">
      <c r="A44" s="2">
        <v>127165</v>
      </c>
      <c r="B44" t="s">
        <v>1140</v>
      </c>
      <c r="C44" s="1" t="str">
        <f>VLOOKUP(Table1[[#This Row],[Name]],MountsByName[],2,FALSE)</f>
        <v>Cloud Serpent</v>
      </c>
      <c r="D44" s="1">
        <f>VLOOKUP(Table1[[#This Row],[Name]],MountsByName[],3,FALSE)</f>
        <v>2.8</v>
      </c>
      <c r="E44" s="1">
        <f>VLOOKUP(Table1[[#This Row],[Name]],MountsByName[],4,FALSE)</f>
        <v>2.8</v>
      </c>
      <c r="F44" s="1">
        <f>VLOOKUP(Table1[[#This Row],[Name]],MountsByName[],5,FALSE)</f>
        <v>0</v>
      </c>
      <c r="G44" s="1">
        <f>VLOOKUP(Table1[[#This Row],[Name]],MountsByName[],6,FALSE)</f>
        <v>1</v>
      </c>
      <c r="H44" s="1">
        <f>VLOOKUP(Table1[[#This Row],[Name]],MountsByName[],7,FALSE)</f>
        <v>0</v>
      </c>
      <c r="I44" s="1">
        <f>VLOOKUP(Table1[[#This Row],[Name]],MountsByName[],8,FALSE)</f>
        <v>0</v>
      </c>
      <c r="J44" s="1">
        <f>VLOOKUP(Table1[[#This Row],[Name]],MountsByName[],9,FALSE)</f>
        <v>0</v>
      </c>
      <c r="K44" s="1">
        <f>VLOOKUP(Table1[[#This Row],[Name]],MountsByName[],10,FALSE)</f>
        <v>0</v>
      </c>
      <c r="L44" s="1">
        <f>VLOOKUP(Table1[[#This Row],[Name]],MountsByName[],11,FALSE)</f>
        <v>0</v>
      </c>
      <c r="M44" s="1">
        <f>VLOOKUP(Table1[[#This Row],[Name]],MountsByName[],12,FALSE)</f>
        <v>1</v>
      </c>
      <c r="N4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[127165] ={"Heavenly Jade Cloud Serpent", 127165, 0, 2.8, 2.8, 0, "Cloud Serpent", "0", 1, 0},</v>
      </c>
    </row>
    <row r="45" spans="1:14" x14ac:dyDescent="0.35">
      <c r="A45" s="2">
        <v>127169</v>
      </c>
      <c r="B45" t="s">
        <v>1150</v>
      </c>
      <c r="C45" s="1" t="str">
        <f>VLOOKUP(Table1[[#This Row],[Name]],MountsByName[],2,FALSE)</f>
        <v>Cloud Serpent</v>
      </c>
      <c r="D45" s="1">
        <f>VLOOKUP(Table1[[#This Row],[Name]],MountsByName[],3,FALSE)</f>
        <v>2.8</v>
      </c>
      <c r="E45" s="1">
        <f>VLOOKUP(Table1[[#This Row],[Name]],MountsByName[],4,FALSE)</f>
        <v>2.8</v>
      </c>
      <c r="F45" s="1">
        <f>VLOOKUP(Table1[[#This Row],[Name]],MountsByName[],5,FALSE)</f>
        <v>0</v>
      </c>
      <c r="G45" s="1">
        <f>VLOOKUP(Table1[[#This Row],[Name]],MountsByName[],6,FALSE)</f>
        <v>1</v>
      </c>
      <c r="H45" s="1">
        <f>VLOOKUP(Table1[[#This Row],[Name]],MountsByName[],7,FALSE)</f>
        <v>0</v>
      </c>
      <c r="I45" s="1">
        <f>VLOOKUP(Table1[[#This Row],[Name]],MountsByName[],8,FALSE)</f>
        <v>0</v>
      </c>
      <c r="J45" s="1">
        <f>VLOOKUP(Table1[[#This Row],[Name]],MountsByName[],9,FALSE)</f>
        <v>0</v>
      </c>
      <c r="K45" s="1">
        <f>VLOOKUP(Table1[[#This Row],[Name]],MountsByName[],10,FALSE)</f>
        <v>0</v>
      </c>
      <c r="L45" s="1">
        <f>VLOOKUP(Table1[[#This Row],[Name]],MountsByName[],11,FALSE)</f>
        <v>0</v>
      </c>
      <c r="M45" s="1">
        <f>VLOOKUP(Table1[[#This Row],[Name]],MountsByName[],12,FALSE)</f>
        <v>1</v>
      </c>
      <c r="N4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[127169] ={"Heavenly Azure Cloud Serpent", 127169, 0, 2.8, 2.8, 0, "Cloud Serpent", "0", 1, 0},</v>
      </c>
    </row>
    <row r="46" spans="1:14" x14ac:dyDescent="0.35">
      <c r="A46" s="2">
        <v>127170</v>
      </c>
      <c r="B46" t="s">
        <v>1152</v>
      </c>
      <c r="C46" s="1" t="str">
        <f>VLOOKUP(Table1[[#This Row],[Name]],MountsByName[],2,FALSE)</f>
        <v>Cloud Serpent</v>
      </c>
      <c r="D46" s="1">
        <f>VLOOKUP(Table1[[#This Row],[Name]],MountsByName[],3,FALSE)</f>
        <v>2.8</v>
      </c>
      <c r="E46" s="1">
        <f>VLOOKUP(Table1[[#This Row],[Name]],MountsByName[],4,FALSE)</f>
        <v>2.8</v>
      </c>
      <c r="F46" s="1">
        <f>VLOOKUP(Table1[[#This Row],[Name]],MountsByName[],5,FALSE)</f>
        <v>0</v>
      </c>
      <c r="G46" s="1">
        <f>VLOOKUP(Table1[[#This Row],[Name]],MountsByName[],6,FALSE)</f>
        <v>1</v>
      </c>
      <c r="H46" s="1">
        <f>VLOOKUP(Table1[[#This Row],[Name]],MountsByName[],7,FALSE)</f>
        <v>0</v>
      </c>
      <c r="I46" s="1">
        <f>VLOOKUP(Table1[[#This Row],[Name]],MountsByName[],8,FALSE)</f>
        <v>0</v>
      </c>
      <c r="J46" s="1">
        <f>VLOOKUP(Table1[[#This Row],[Name]],MountsByName[],9,FALSE)</f>
        <v>0</v>
      </c>
      <c r="K46" s="1">
        <f>VLOOKUP(Table1[[#This Row],[Name]],MountsByName[],10,FALSE)</f>
        <v>0</v>
      </c>
      <c r="L46" s="1">
        <f>VLOOKUP(Table1[[#This Row],[Name]],MountsByName[],11,FALSE)</f>
        <v>0</v>
      </c>
      <c r="M46" s="1">
        <f>VLOOKUP(Table1[[#This Row],[Name]],MountsByName[],12,FALSE)</f>
        <v>1</v>
      </c>
      <c r="N4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[127170] ={"Astral Cloud Serpent", 127170, 0, 2.8, 2.8, 0, "Cloud Serpent", "0", 1, 0},</v>
      </c>
    </row>
    <row r="47" spans="1:14" x14ac:dyDescent="0.35">
      <c r="A47" s="2">
        <v>129918</v>
      </c>
      <c r="B47" t="s">
        <v>1055</v>
      </c>
      <c r="C47" s="1" t="str">
        <f>VLOOKUP(Table1[[#This Row],[Name]],MountsByName[],2,FALSE)</f>
        <v>Cloud Serpent</v>
      </c>
      <c r="D47" s="1">
        <f>VLOOKUP(Table1[[#This Row],[Name]],MountsByName[],3,FALSE)</f>
        <v>2.8</v>
      </c>
      <c r="E47" s="1">
        <f>VLOOKUP(Table1[[#This Row],[Name]],MountsByName[],4,FALSE)</f>
        <v>2.8</v>
      </c>
      <c r="F47" s="1">
        <f>VLOOKUP(Table1[[#This Row],[Name]],MountsByName[],5,FALSE)</f>
        <v>0</v>
      </c>
      <c r="G47" s="1">
        <f>VLOOKUP(Table1[[#This Row],[Name]],MountsByName[],6,FALSE)</f>
        <v>1</v>
      </c>
      <c r="H47" s="1">
        <f>VLOOKUP(Table1[[#This Row],[Name]],MountsByName[],7,FALSE)</f>
        <v>0</v>
      </c>
      <c r="I47" s="1">
        <f>VLOOKUP(Table1[[#This Row],[Name]],MountsByName[],8,FALSE)</f>
        <v>0</v>
      </c>
      <c r="J47" s="1">
        <f>VLOOKUP(Table1[[#This Row],[Name]],MountsByName[],9,FALSE)</f>
        <v>0</v>
      </c>
      <c r="K47" s="1">
        <f>VLOOKUP(Table1[[#This Row],[Name]],MountsByName[],10,FALSE)</f>
        <v>0</v>
      </c>
      <c r="L47" s="1">
        <f>VLOOKUP(Table1[[#This Row],[Name]],MountsByName[],11,FALSE)</f>
        <v>0</v>
      </c>
      <c r="M47" s="1">
        <f>VLOOKUP(Table1[[#This Row],[Name]],MountsByName[],12,FALSE)</f>
        <v>1</v>
      </c>
      <c r="N4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[129918] ={"Thundering August Cloud Serpent", 129918, 0, 2.8, 2.8, 0, "Cloud Serpent", "0", 1, 0},</v>
      </c>
    </row>
    <row r="48" spans="1:14" x14ac:dyDescent="0.35">
      <c r="A48" s="2">
        <v>132036</v>
      </c>
      <c r="B48" t="s">
        <v>1042</v>
      </c>
      <c r="C48" s="1" t="str">
        <f>VLOOKUP(Table1[[#This Row],[Name]],MountsByName[],2,FALSE)</f>
        <v>Cloud Serpent</v>
      </c>
      <c r="D48" s="1">
        <f>VLOOKUP(Table1[[#This Row],[Name]],MountsByName[],3,FALSE)</f>
        <v>2.8</v>
      </c>
      <c r="E48" s="1">
        <f>VLOOKUP(Table1[[#This Row],[Name]],MountsByName[],4,FALSE)</f>
        <v>2.8</v>
      </c>
      <c r="F48" s="1">
        <f>VLOOKUP(Table1[[#This Row],[Name]],MountsByName[],5,FALSE)</f>
        <v>0</v>
      </c>
      <c r="G48" s="1">
        <f>VLOOKUP(Table1[[#This Row],[Name]],MountsByName[],6,FALSE)</f>
        <v>1</v>
      </c>
      <c r="H48" s="1">
        <f>VLOOKUP(Table1[[#This Row],[Name]],MountsByName[],7,FALSE)</f>
        <v>0</v>
      </c>
      <c r="I48" s="1">
        <f>VLOOKUP(Table1[[#This Row],[Name]],MountsByName[],8,FALSE)</f>
        <v>0</v>
      </c>
      <c r="J48" s="1">
        <f>VLOOKUP(Table1[[#This Row],[Name]],MountsByName[],9,FALSE)</f>
        <v>0</v>
      </c>
      <c r="K48" s="1">
        <f>VLOOKUP(Table1[[#This Row],[Name]],MountsByName[],10,FALSE)</f>
        <v>0</v>
      </c>
      <c r="L48" s="1">
        <f>VLOOKUP(Table1[[#This Row],[Name]],MountsByName[],11,FALSE)</f>
        <v>0</v>
      </c>
      <c r="M48" s="1">
        <f>VLOOKUP(Table1[[#This Row],[Name]],MountsByName[],12,FALSE)</f>
        <v>1</v>
      </c>
      <c r="N4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[132036] ={"Thundering Ruby Cloud Serpent", 132036, 0, 2.8, 2.8, 0, "Cloud Serpent", "0", 1, 0},</v>
      </c>
    </row>
    <row r="49" spans="1:14" x14ac:dyDescent="0.35">
      <c r="A49" s="2">
        <v>139407</v>
      </c>
      <c r="B49" t="s">
        <v>1043</v>
      </c>
      <c r="C49" s="1" t="str">
        <f>VLOOKUP(Table1[[#This Row],[Name]],MountsByName[],2,FALSE)</f>
        <v>Cloud Serpent</v>
      </c>
      <c r="D49" s="1">
        <f>VLOOKUP(Table1[[#This Row],[Name]],MountsByName[],3,FALSE)</f>
        <v>2.8</v>
      </c>
      <c r="E49" s="1">
        <f>VLOOKUP(Table1[[#This Row],[Name]],MountsByName[],4,FALSE)</f>
        <v>2.8</v>
      </c>
      <c r="F49" s="1">
        <f>VLOOKUP(Table1[[#This Row],[Name]],MountsByName[],5,FALSE)</f>
        <v>0</v>
      </c>
      <c r="G49" s="1">
        <f>VLOOKUP(Table1[[#This Row],[Name]],MountsByName[],6,FALSE)</f>
        <v>1</v>
      </c>
      <c r="H49" s="1">
        <f>VLOOKUP(Table1[[#This Row],[Name]],MountsByName[],7,FALSE)</f>
        <v>0</v>
      </c>
      <c r="I49" s="1">
        <f>VLOOKUP(Table1[[#This Row],[Name]],MountsByName[],8,FALSE)</f>
        <v>0</v>
      </c>
      <c r="J49" s="1">
        <f>VLOOKUP(Table1[[#This Row],[Name]],MountsByName[],9,FALSE)</f>
        <v>0</v>
      </c>
      <c r="K49" s="1">
        <f>VLOOKUP(Table1[[#This Row],[Name]],MountsByName[],10,FALSE)</f>
        <v>0</v>
      </c>
      <c r="L49" s="1">
        <f>VLOOKUP(Table1[[#This Row],[Name]],MountsByName[],11,FALSE)</f>
        <v>0</v>
      </c>
      <c r="M49" s="1">
        <f>VLOOKUP(Table1[[#This Row],[Name]],MountsByName[],12,FALSE)</f>
        <v>1</v>
      </c>
      <c r="N4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[139407] ={"Malevolent Gladiator's Cloud Serpent", 139407, 0, 2.8, 2.8, 0, "Cloud Serpent", "0", 1, 0},</v>
      </c>
    </row>
    <row r="50" spans="1:14" x14ac:dyDescent="0.35">
      <c r="A50" s="2">
        <v>139442</v>
      </c>
      <c r="B50" t="s">
        <v>1051</v>
      </c>
      <c r="C50" s="1" t="str">
        <f>VLOOKUP(Table1[[#This Row],[Name]],MountsByName[],2,FALSE)</f>
        <v>Cloud Serpent</v>
      </c>
      <c r="D50" s="1">
        <f>VLOOKUP(Table1[[#This Row],[Name]],MountsByName[],3,FALSE)</f>
        <v>2.8</v>
      </c>
      <c r="E50" s="1">
        <f>VLOOKUP(Table1[[#This Row],[Name]],MountsByName[],4,FALSE)</f>
        <v>2.8</v>
      </c>
      <c r="F50" s="1">
        <f>VLOOKUP(Table1[[#This Row],[Name]],MountsByName[],5,FALSE)</f>
        <v>0</v>
      </c>
      <c r="G50" s="1">
        <f>VLOOKUP(Table1[[#This Row],[Name]],MountsByName[],6,FALSE)</f>
        <v>1</v>
      </c>
      <c r="H50" s="1">
        <f>VLOOKUP(Table1[[#This Row],[Name]],MountsByName[],7,FALSE)</f>
        <v>0</v>
      </c>
      <c r="I50" s="1">
        <f>VLOOKUP(Table1[[#This Row],[Name]],MountsByName[],8,FALSE)</f>
        <v>0</v>
      </c>
      <c r="J50" s="1">
        <f>VLOOKUP(Table1[[#This Row],[Name]],MountsByName[],9,FALSE)</f>
        <v>0</v>
      </c>
      <c r="K50" s="1">
        <f>VLOOKUP(Table1[[#This Row],[Name]],MountsByName[],10,FALSE)</f>
        <v>0</v>
      </c>
      <c r="L50" s="1">
        <f>VLOOKUP(Table1[[#This Row],[Name]],MountsByName[],11,FALSE)</f>
        <v>0</v>
      </c>
      <c r="M50" s="1">
        <f>VLOOKUP(Table1[[#This Row],[Name]],MountsByName[],12,FALSE)</f>
        <v>1</v>
      </c>
      <c r="N5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[139442] ={"Thundering Cobalt Cloud Serpent", 139442, 0, 2.8, 2.8, 0, "Cloud Serpent", "0", 1, 0},</v>
      </c>
    </row>
    <row r="51" spans="1:14" x14ac:dyDescent="0.35">
      <c r="A51" s="2">
        <v>148476</v>
      </c>
      <c r="B51" t="s">
        <v>1036</v>
      </c>
      <c r="C51" s="1" t="str">
        <f>VLOOKUP(Table1[[#This Row],[Name]],MountsByName[],2,FALSE)</f>
        <v>Cloud Serpent</v>
      </c>
      <c r="D51" s="1">
        <f>VLOOKUP(Table1[[#This Row],[Name]],MountsByName[],3,FALSE)</f>
        <v>2.8</v>
      </c>
      <c r="E51" s="1">
        <f>VLOOKUP(Table1[[#This Row],[Name]],MountsByName[],4,FALSE)</f>
        <v>2.8</v>
      </c>
      <c r="F51" s="1">
        <f>VLOOKUP(Table1[[#This Row],[Name]],MountsByName[],5,FALSE)</f>
        <v>0</v>
      </c>
      <c r="G51" s="1">
        <f>VLOOKUP(Table1[[#This Row],[Name]],MountsByName[],6,FALSE)</f>
        <v>1</v>
      </c>
      <c r="H51" s="1">
        <f>VLOOKUP(Table1[[#This Row],[Name]],MountsByName[],7,FALSE)</f>
        <v>0</v>
      </c>
      <c r="I51" s="1">
        <f>VLOOKUP(Table1[[#This Row],[Name]],MountsByName[],8,FALSE)</f>
        <v>0</v>
      </c>
      <c r="J51" s="1">
        <f>VLOOKUP(Table1[[#This Row],[Name]],MountsByName[],9,FALSE)</f>
        <v>0</v>
      </c>
      <c r="K51" s="1">
        <f>VLOOKUP(Table1[[#This Row],[Name]],MountsByName[],10,FALSE)</f>
        <v>0</v>
      </c>
      <c r="L51" s="1">
        <f>VLOOKUP(Table1[[#This Row],[Name]],MountsByName[],11,FALSE)</f>
        <v>0</v>
      </c>
      <c r="M51" s="1">
        <f>VLOOKUP(Table1[[#This Row],[Name]],MountsByName[],12,FALSE)</f>
        <v>1</v>
      </c>
      <c r="N51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[148476] ={"Thundering Onyx Cloud Serpent", 148476, 0, 2.8, 2.8, 0, "Cloud Serpent", "0", 1, 0},</v>
      </c>
    </row>
    <row r="52" spans="1:14" x14ac:dyDescent="0.35">
      <c r="A52" s="2">
        <v>148618</v>
      </c>
      <c r="B52" t="s">
        <v>1145</v>
      </c>
      <c r="C52" s="1" t="str">
        <f>VLOOKUP(Table1[[#This Row],[Name]],MountsByName[],2,FALSE)</f>
        <v>Cloud Serpent</v>
      </c>
      <c r="D52" s="1">
        <f>VLOOKUP(Table1[[#This Row],[Name]],MountsByName[],3,FALSE)</f>
        <v>2.8</v>
      </c>
      <c r="E52" s="1">
        <f>VLOOKUP(Table1[[#This Row],[Name]],MountsByName[],4,FALSE)</f>
        <v>2.8</v>
      </c>
      <c r="F52" s="1">
        <f>VLOOKUP(Table1[[#This Row],[Name]],MountsByName[],5,FALSE)</f>
        <v>0</v>
      </c>
      <c r="G52" s="1">
        <f>VLOOKUP(Table1[[#This Row],[Name]],MountsByName[],6,FALSE)</f>
        <v>1</v>
      </c>
      <c r="H52" s="1">
        <f>VLOOKUP(Table1[[#This Row],[Name]],MountsByName[],7,FALSE)</f>
        <v>0</v>
      </c>
      <c r="I52" s="1">
        <f>VLOOKUP(Table1[[#This Row],[Name]],MountsByName[],8,FALSE)</f>
        <v>0</v>
      </c>
      <c r="J52" s="1">
        <f>VLOOKUP(Table1[[#This Row],[Name]],MountsByName[],9,FALSE)</f>
        <v>0</v>
      </c>
      <c r="K52" s="1">
        <f>VLOOKUP(Table1[[#This Row],[Name]],MountsByName[],10,FALSE)</f>
        <v>0</v>
      </c>
      <c r="L52" s="1">
        <f>VLOOKUP(Table1[[#This Row],[Name]],MountsByName[],11,FALSE)</f>
        <v>0</v>
      </c>
      <c r="M52" s="1">
        <f>VLOOKUP(Table1[[#This Row],[Name]],MountsByName[],12,FALSE)</f>
        <v>1</v>
      </c>
      <c r="N5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[148618] ={"Tyrannical Gladiator's Cloud Serpent", 148618, 0, 2.8, 2.8, 0, "Cloud Serpent", "0", 1, 0},</v>
      </c>
    </row>
    <row r="53" spans="1:14" x14ac:dyDescent="0.35">
      <c r="A53" s="2">
        <v>148619</v>
      </c>
      <c r="B53" t="s">
        <v>1035</v>
      </c>
      <c r="C53" s="1" t="str">
        <f>VLOOKUP(Table1[[#This Row],[Name]],MountsByName[],2,FALSE)</f>
        <v>Cloud Serpent</v>
      </c>
      <c r="D53" s="1">
        <f>VLOOKUP(Table1[[#This Row],[Name]],MountsByName[],3,FALSE)</f>
        <v>2.8</v>
      </c>
      <c r="E53" s="1">
        <f>VLOOKUP(Table1[[#This Row],[Name]],MountsByName[],4,FALSE)</f>
        <v>2.8</v>
      </c>
      <c r="F53" s="1">
        <f>VLOOKUP(Table1[[#This Row],[Name]],MountsByName[],5,FALSE)</f>
        <v>0</v>
      </c>
      <c r="G53" s="1">
        <f>VLOOKUP(Table1[[#This Row],[Name]],MountsByName[],6,FALSE)</f>
        <v>1</v>
      </c>
      <c r="H53" s="1">
        <f>VLOOKUP(Table1[[#This Row],[Name]],MountsByName[],7,FALSE)</f>
        <v>0</v>
      </c>
      <c r="I53" s="1">
        <f>VLOOKUP(Table1[[#This Row],[Name]],MountsByName[],8,FALSE)</f>
        <v>0</v>
      </c>
      <c r="J53" s="1">
        <f>VLOOKUP(Table1[[#This Row],[Name]],MountsByName[],9,FALSE)</f>
        <v>0</v>
      </c>
      <c r="K53" s="1">
        <f>VLOOKUP(Table1[[#This Row],[Name]],MountsByName[],10,FALSE)</f>
        <v>0</v>
      </c>
      <c r="L53" s="1">
        <f>VLOOKUP(Table1[[#This Row],[Name]],MountsByName[],11,FALSE)</f>
        <v>0</v>
      </c>
      <c r="M53" s="1">
        <f>VLOOKUP(Table1[[#This Row],[Name]],MountsByName[],12,FALSE)</f>
        <v>1</v>
      </c>
      <c r="N5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[148619] ={"Grievous Gladiator's Cloud Serpent", 148619, 0, 2.8, 2.8, 0, "Cloud Serpent", "0", 1, 0},</v>
      </c>
    </row>
    <row r="54" spans="1:14" x14ac:dyDescent="0.35">
      <c r="A54" s="2">
        <v>148620</v>
      </c>
      <c r="B54" t="s">
        <v>1034</v>
      </c>
      <c r="C54" s="1" t="str">
        <f>VLOOKUP(Table1[[#This Row],[Name]],MountsByName[],2,FALSE)</f>
        <v>Cloud Serpent</v>
      </c>
      <c r="D54" s="1">
        <f>VLOOKUP(Table1[[#This Row],[Name]],MountsByName[],3,FALSE)</f>
        <v>2.8</v>
      </c>
      <c r="E54" s="1">
        <f>VLOOKUP(Table1[[#This Row],[Name]],MountsByName[],4,FALSE)</f>
        <v>2.8</v>
      </c>
      <c r="F54" s="1">
        <f>VLOOKUP(Table1[[#This Row],[Name]],MountsByName[],5,FALSE)</f>
        <v>0</v>
      </c>
      <c r="G54" s="1">
        <f>VLOOKUP(Table1[[#This Row],[Name]],MountsByName[],6,FALSE)</f>
        <v>1</v>
      </c>
      <c r="H54" s="1">
        <f>VLOOKUP(Table1[[#This Row],[Name]],MountsByName[],7,FALSE)</f>
        <v>0</v>
      </c>
      <c r="I54" s="1">
        <f>VLOOKUP(Table1[[#This Row],[Name]],MountsByName[],8,FALSE)</f>
        <v>0</v>
      </c>
      <c r="J54" s="1">
        <f>VLOOKUP(Table1[[#This Row],[Name]],MountsByName[],9,FALSE)</f>
        <v>0</v>
      </c>
      <c r="K54" s="1">
        <f>VLOOKUP(Table1[[#This Row],[Name]],MountsByName[],10,FALSE)</f>
        <v>0</v>
      </c>
      <c r="L54" s="1">
        <f>VLOOKUP(Table1[[#This Row],[Name]],MountsByName[],11,FALSE)</f>
        <v>0</v>
      </c>
      <c r="M54" s="1">
        <f>VLOOKUP(Table1[[#This Row],[Name]],MountsByName[],12,FALSE)</f>
        <v>1</v>
      </c>
      <c r="N5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[148620] ={"Prideful Gladiator's Cloud Serpent", 148620, 0, 2.8, 2.8, 0, "Cloud Serpent", "0", 1, 0},</v>
      </c>
    </row>
    <row r="55" spans="1:14" x14ac:dyDescent="0.35">
      <c r="A55" s="2">
        <v>473487</v>
      </c>
      <c r="B55" t="s">
        <v>483</v>
      </c>
      <c r="C55" s="1" t="str">
        <f>VLOOKUP(Table1[[#This Row],[Name]],MountsByName[],2,FALSE)</f>
        <v>Cloud Serpent</v>
      </c>
      <c r="D55" s="1">
        <f>VLOOKUP(Table1[[#This Row],[Name]],MountsByName[],3,FALSE)</f>
        <v>2.8</v>
      </c>
      <c r="E55" s="1">
        <f>VLOOKUP(Table1[[#This Row],[Name]],MountsByName[],4,FALSE)</f>
        <v>2.8</v>
      </c>
      <c r="F55" s="1">
        <f>VLOOKUP(Table1[[#This Row],[Name]],MountsByName[],5,FALSE)</f>
        <v>0</v>
      </c>
      <c r="G55" s="1">
        <f>VLOOKUP(Table1[[#This Row],[Name]],MountsByName[],6,FALSE)</f>
        <v>1</v>
      </c>
      <c r="H55" s="1">
        <f>VLOOKUP(Table1[[#This Row],[Name]],MountsByName[],7,FALSE)</f>
        <v>0</v>
      </c>
      <c r="I55" s="1">
        <f>VLOOKUP(Table1[[#This Row],[Name]],MountsByName[],8,FALSE)</f>
        <v>0</v>
      </c>
      <c r="J55" s="1">
        <f>VLOOKUP(Table1[[#This Row],[Name]],MountsByName[],9,FALSE)</f>
        <v>0</v>
      </c>
      <c r="K55" s="1">
        <f>VLOOKUP(Table1[[#This Row],[Name]],MountsByName[],10,FALSE)</f>
        <v>0</v>
      </c>
      <c r="L55" s="1">
        <f>VLOOKUP(Table1[[#This Row],[Name]],MountsByName[],11,FALSE)</f>
        <v>0</v>
      </c>
      <c r="M55" s="1">
        <f>VLOOKUP(Table1[[#This Row],[Name]],MountsByName[],12,FALSE)</f>
        <v>1</v>
      </c>
      <c r="N5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[473487] ={"Sha-Touched Cloud Serpent", 473487, 0, 2.8, 2.8, 0, "Cloud Serpent", "0", 1, 0},</v>
      </c>
    </row>
    <row r="56" spans="1:14" x14ac:dyDescent="0.35">
      <c r="A56" s="2">
        <v>1247596</v>
      </c>
      <c r="B56" t="s">
        <v>1032</v>
      </c>
      <c r="C56" s="1" t="str">
        <f>VLOOKUP(Table1[[#This Row],[Name]],MountsByName[],2,FALSE)</f>
        <v>Cloud Serpent</v>
      </c>
      <c r="D56" s="1">
        <f>VLOOKUP(Table1[[#This Row],[Name]],MountsByName[],3,FALSE)</f>
        <v>2.8</v>
      </c>
      <c r="E56" s="1">
        <f>VLOOKUP(Table1[[#This Row],[Name]],MountsByName[],4,FALSE)</f>
        <v>2.8</v>
      </c>
      <c r="F56" s="1">
        <f>VLOOKUP(Table1[[#This Row],[Name]],MountsByName[],5,FALSE)</f>
        <v>0</v>
      </c>
      <c r="G56" s="1">
        <f>VLOOKUP(Table1[[#This Row],[Name]],MountsByName[],6,FALSE)</f>
        <v>1</v>
      </c>
      <c r="H56" s="1">
        <f>VLOOKUP(Table1[[#This Row],[Name]],MountsByName[],7,FALSE)</f>
        <v>0</v>
      </c>
      <c r="I56" s="1">
        <f>VLOOKUP(Table1[[#This Row],[Name]],MountsByName[],8,FALSE)</f>
        <v>0</v>
      </c>
      <c r="J56" s="1">
        <f>VLOOKUP(Table1[[#This Row],[Name]],MountsByName[],9,FALSE)</f>
        <v>0</v>
      </c>
      <c r="K56" s="1">
        <f>VLOOKUP(Table1[[#This Row],[Name]],MountsByName[],10,FALSE)</f>
        <v>0</v>
      </c>
      <c r="L56" s="1">
        <f>VLOOKUP(Table1[[#This Row],[Name]],MountsByName[],11,FALSE)</f>
        <v>0</v>
      </c>
      <c r="M56" s="1">
        <f>VLOOKUP(Table1[[#This Row],[Name]],MountsByName[],12,FALSE)</f>
        <v>1</v>
      </c>
      <c r="N5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[1247596] ={"Celestial Riding Serpent", 1247596, 0, 2.8, 2.8, 0, "Cloud Serpent", "0", 1, 0},</v>
      </c>
    </row>
    <row r="57" spans="1:14" x14ac:dyDescent="0.35">
      <c r="A57" s="2">
        <v>127174</v>
      </c>
      <c r="B57" t="s">
        <v>1134</v>
      </c>
      <c r="C57" s="1" t="str">
        <f>VLOOKUP(Table1[[#This Row],[Name]],MountsByName[],2,FALSE)</f>
        <v>Crane</v>
      </c>
      <c r="D57" s="1">
        <f>VLOOKUP(Table1[[#This Row],[Name]],MountsByName[],3,FALSE)</f>
        <v>1</v>
      </c>
      <c r="E57" s="1">
        <f>VLOOKUP(Table1[[#This Row],[Name]],MountsByName[],4,FALSE)</f>
        <v>1</v>
      </c>
      <c r="F57" s="1">
        <f>VLOOKUP(Table1[[#This Row],[Name]],MountsByName[],5,FALSE)</f>
        <v>0</v>
      </c>
      <c r="G57" s="1">
        <f>VLOOKUP(Table1[[#This Row],[Name]],MountsByName[],6,FALSE)</f>
        <v>1</v>
      </c>
      <c r="H57" s="1">
        <f>VLOOKUP(Table1[[#This Row],[Name]],MountsByName[],7,FALSE)</f>
        <v>0</v>
      </c>
      <c r="I57" s="1">
        <f>VLOOKUP(Table1[[#This Row],[Name]],MountsByName[],8,FALSE)</f>
        <v>0</v>
      </c>
      <c r="J57" s="1">
        <f>VLOOKUP(Table1[[#This Row],[Name]],MountsByName[],9,FALSE)</f>
        <v>0</v>
      </c>
      <c r="K57" s="1">
        <f>VLOOKUP(Table1[[#This Row],[Name]],MountsByName[],10,FALSE)</f>
        <v>0</v>
      </c>
      <c r="L57" s="1">
        <f>VLOOKUP(Table1[[#This Row],[Name]],MountsByName[],11,FALSE)</f>
        <v>0</v>
      </c>
      <c r="M57" s="1">
        <f>VLOOKUP(Table1[[#This Row],[Name]],MountsByName[],12,FALSE)</f>
        <v>1</v>
      </c>
      <c r="N5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[127174] ={"Azure Riding Crane", 127174, 0, 1, 1, 0, "Crane", "0", 1, 0},</v>
      </c>
    </row>
    <row r="58" spans="1:14" x14ac:dyDescent="0.35">
      <c r="A58" s="2">
        <v>127176</v>
      </c>
      <c r="B58" t="s">
        <v>1045</v>
      </c>
      <c r="C58" s="1" t="str">
        <f>VLOOKUP(Table1[[#This Row],[Name]],MountsByName[],2,FALSE)</f>
        <v>Crane</v>
      </c>
      <c r="D58" s="1">
        <f>VLOOKUP(Table1[[#This Row],[Name]],MountsByName[],3,FALSE)</f>
        <v>1</v>
      </c>
      <c r="E58" s="1">
        <f>VLOOKUP(Table1[[#This Row],[Name]],MountsByName[],4,FALSE)</f>
        <v>1</v>
      </c>
      <c r="F58" s="1">
        <f>VLOOKUP(Table1[[#This Row],[Name]],MountsByName[],5,FALSE)</f>
        <v>0</v>
      </c>
      <c r="G58" s="1">
        <f>VLOOKUP(Table1[[#This Row],[Name]],MountsByName[],6,FALSE)</f>
        <v>1</v>
      </c>
      <c r="H58" s="1">
        <f>VLOOKUP(Table1[[#This Row],[Name]],MountsByName[],7,FALSE)</f>
        <v>0</v>
      </c>
      <c r="I58" s="1">
        <f>VLOOKUP(Table1[[#This Row],[Name]],MountsByName[],8,FALSE)</f>
        <v>0</v>
      </c>
      <c r="J58" s="1">
        <f>VLOOKUP(Table1[[#This Row],[Name]],MountsByName[],9,FALSE)</f>
        <v>0</v>
      </c>
      <c r="K58" s="1">
        <f>VLOOKUP(Table1[[#This Row],[Name]],MountsByName[],10,FALSE)</f>
        <v>0</v>
      </c>
      <c r="L58" s="1">
        <f>VLOOKUP(Table1[[#This Row],[Name]],MountsByName[],11,FALSE)</f>
        <v>0</v>
      </c>
      <c r="M58" s="1">
        <f>VLOOKUP(Table1[[#This Row],[Name]],MountsByName[],12,FALSE)</f>
        <v>1</v>
      </c>
      <c r="N5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[127176] ={"Golden Riding Crane", 127176, 0, 1, 1, 0, "Crane", "0", 1, 0},</v>
      </c>
    </row>
    <row r="59" spans="1:14" x14ac:dyDescent="0.35">
      <c r="A59" s="2">
        <v>127177</v>
      </c>
      <c r="B59" t="s">
        <v>1052</v>
      </c>
      <c r="C59" s="1" t="str">
        <f>VLOOKUP(Table1[[#This Row],[Name]],MountsByName[],2,FALSE)</f>
        <v>Crane</v>
      </c>
      <c r="D59" s="1">
        <f>VLOOKUP(Table1[[#This Row],[Name]],MountsByName[],3,FALSE)</f>
        <v>1</v>
      </c>
      <c r="E59" s="1">
        <f>VLOOKUP(Table1[[#This Row],[Name]],MountsByName[],4,FALSE)</f>
        <v>1</v>
      </c>
      <c r="F59" s="1">
        <f>VLOOKUP(Table1[[#This Row],[Name]],MountsByName[],5,FALSE)</f>
        <v>0</v>
      </c>
      <c r="G59" s="1">
        <f>VLOOKUP(Table1[[#This Row],[Name]],MountsByName[],6,FALSE)</f>
        <v>1</v>
      </c>
      <c r="H59" s="1">
        <f>VLOOKUP(Table1[[#This Row],[Name]],MountsByName[],7,FALSE)</f>
        <v>0</v>
      </c>
      <c r="I59" s="1">
        <f>VLOOKUP(Table1[[#This Row],[Name]],MountsByName[],8,FALSE)</f>
        <v>0</v>
      </c>
      <c r="J59" s="1">
        <f>VLOOKUP(Table1[[#This Row],[Name]],MountsByName[],9,FALSE)</f>
        <v>0</v>
      </c>
      <c r="K59" s="1">
        <f>VLOOKUP(Table1[[#This Row],[Name]],MountsByName[],10,FALSE)</f>
        <v>0</v>
      </c>
      <c r="L59" s="1">
        <f>VLOOKUP(Table1[[#This Row],[Name]],MountsByName[],11,FALSE)</f>
        <v>0</v>
      </c>
      <c r="M59" s="1">
        <f>VLOOKUP(Table1[[#This Row],[Name]],MountsByName[],12,FALSE)</f>
        <v>1</v>
      </c>
      <c r="N5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[127177] ={"Regal Riding Crane", 127177, 0, 1, 1, 0, "Crane", "0", 1, 0},</v>
      </c>
    </row>
    <row r="60" spans="1:14" x14ac:dyDescent="0.35">
      <c r="A60" s="2">
        <v>127178</v>
      </c>
      <c r="B60" t="s">
        <v>1059</v>
      </c>
      <c r="C60" s="1" t="str">
        <f>VLOOKUP(Table1[[#This Row],[Name]],MountsByName[],2,FALSE)</f>
        <v>Crane</v>
      </c>
      <c r="D60" s="1">
        <f>VLOOKUP(Table1[[#This Row],[Name]],MountsByName[],3,FALSE)</f>
        <v>1</v>
      </c>
      <c r="E60" s="1">
        <f>VLOOKUP(Table1[[#This Row],[Name]],MountsByName[],4,FALSE)</f>
        <v>1</v>
      </c>
      <c r="F60" s="1">
        <f>VLOOKUP(Table1[[#This Row],[Name]],MountsByName[],5,FALSE)</f>
        <v>0</v>
      </c>
      <c r="G60" s="1">
        <f>VLOOKUP(Table1[[#This Row],[Name]],MountsByName[],6,FALSE)</f>
        <v>1</v>
      </c>
      <c r="H60" s="1">
        <f>VLOOKUP(Table1[[#This Row],[Name]],MountsByName[],7,FALSE)</f>
        <v>0</v>
      </c>
      <c r="I60" s="1">
        <f>VLOOKUP(Table1[[#This Row],[Name]],MountsByName[],8,FALSE)</f>
        <v>0</v>
      </c>
      <c r="J60" s="1">
        <f>VLOOKUP(Table1[[#This Row],[Name]],MountsByName[],9,FALSE)</f>
        <v>0</v>
      </c>
      <c r="K60" s="1">
        <f>VLOOKUP(Table1[[#This Row],[Name]],MountsByName[],10,FALSE)</f>
        <v>0</v>
      </c>
      <c r="L60" s="1">
        <f>VLOOKUP(Table1[[#This Row],[Name]],MountsByName[],11,FALSE)</f>
        <v>0</v>
      </c>
      <c r="M60" s="1">
        <f>VLOOKUP(Table1[[#This Row],[Name]],MountsByName[],12,FALSE)</f>
        <v>1</v>
      </c>
      <c r="N6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[127178] ={"Jungle Riding Crane", 127178, 0, 1, 1, 0, "Crane", "0", 1, 0},</v>
      </c>
    </row>
    <row r="61" spans="1:14" x14ac:dyDescent="0.35">
      <c r="A61" s="2">
        <v>1247591</v>
      </c>
      <c r="B61" t="s">
        <v>1033</v>
      </c>
      <c r="C61" s="1" t="str">
        <f>VLOOKUP(Table1[[#This Row],[Name]],MountsByName[],2,FALSE)</f>
        <v>Crane</v>
      </c>
      <c r="D61" s="1">
        <f>VLOOKUP(Table1[[#This Row],[Name]],MountsByName[],3,FALSE)</f>
        <v>1</v>
      </c>
      <c r="E61" s="1">
        <f>VLOOKUP(Table1[[#This Row],[Name]],MountsByName[],4,FALSE)</f>
        <v>1</v>
      </c>
      <c r="F61" s="1">
        <f>VLOOKUP(Table1[[#This Row],[Name]],MountsByName[],5,FALSE)</f>
        <v>0</v>
      </c>
      <c r="G61" s="1">
        <f>VLOOKUP(Table1[[#This Row],[Name]],MountsByName[],6,FALSE)</f>
        <v>1</v>
      </c>
      <c r="H61" s="1">
        <f>VLOOKUP(Table1[[#This Row],[Name]],MountsByName[],7,FALSE)</f>
        <v>0</v>
      </c>
      <c r="I61" s="1">
        <f>VLOOKUP(Table1[[#This Row],[Name]],MountsByName[],8,FALSE)</f>
        <v>0</v>
      </c>
      <c r="J61" s="1">
        <f>VLOOKUP(Table1[[#This Row],[Name]],MountsByName[],9,FALSE)</f>
        <v>0</v>
      </c>
      <c r="K61" s="1">
        <f>VLOOKUP(Table1[[#This Row],[Name]],MountsByName[],10,FALSE)</f>
        <v>0</v>
      </c>
      <c r="L61" s="1">
        <f>VLOOKUP(Table1[[#This Row],[Name]],MountsByName[],11,FALSE)</f>
        <v>0</v>
      </c>
      <c r="M61" s="1">
        <f>VLOOKUP(Table1[[#This Row],[Name]],MountsByName[],12,FALSE)</f>
        <v>1</v>
      </c>
      <c r="N61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[1247591] ={"Celestial Riding Crane", 1247591, 0, 1, 1, 0, "Crane", "0", 1, 0},</v>
      </c>
    </row>
    <row r="62" spans="1:14" x14ac:dyDescent="0.35">
      <c r="A62" s="2">
        <v>17463</v>
      </c>
      <c r="B62" t="s">
        <v>110</v>
      </c>
      <c r="C62" s="1" t="str">
        <f>VLOOKUP(Table1[[#This Row],[Name]],MountsByName[],2,FALSE)</f>
        <v>DeadHorse</v>
      </c>
      <c r="D62" s="1">
        <f>VLOOKUP(Table1[[#This Row],[Name]],MountsByName[],3,FALSE)</f>
        <v>0.6</v>
      </c>
      <c r="E62" s="1">
        <f>VLOOKUP(Table1[[#This Row],[Name]],MountsByName[],4,FALSE)</f>
        <v>0.6</v>
      </c>
      <c r="F62" s="1">
        <f>VLOOKUP(Table1[[#This Row],[Name]],MountsByName[],5,FALSE)</f>
        <v>0</v>
      </c>
      <c r="G62" s="1">
        <f>VLOOKUP(Table1[[#This Row],[Name]],MountsByName[],6,FALSE)</f>
        <v>1</v>
      </c>
      <c r="H62" s="1">
        <f>VLOOKUP(Table1[[#This Row],[Name]],MountsByName[],7,FALSE)</f>
        <v>0</v>
      </c>
      <c r="I62" s="1">
        <f>VLOOKUP(Table1[[#This Row],[Name]],MountsByName[],8,FALSE)</f>
        <v>46308</v>
      </c>
      <c r="J62" s="1" t="str">
        <f>VLOOKUP(Table1[[#This Row],[Name]],MountsByName[],9,FALSE)</f>
        <v>Duplicate</v>
      </c>
      <c r="K62" s="1">
        <f>VLOOKUP(Table1[[#This Row],[Name]],MountsByName[],10,FALSE)</f>
        <v>0</v>
      </c>
      <c r="L62" s="1">
        <f>VLOOKUP(Table1[[#This Row],[Name]],MountsByName[],11,FALSE)</f>
        <v>1</v>
      </c>
      <c r="M62" s="1">
        <f>VLOOKUP(Table1[[#This Row],[Name]],MountsByName[],12,FALSE)</f>
        <v>1</v>
      </c>
      <c r="N6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[17463] ={"Blue Skeletal Horse", 17463, 46308, 0.6, 0.6, 0, "DeadHorse", "Duplicate", 1, 0},</v>
      </c>
    </row>
    <row r="63" spans="1:14" x14ac:dyDescent="0.35">
      <c r="A63" s="2">
        <v>17465</v>
      </c>
      <c r="B63" t="s">
        <v>165</v>
      </c>
      <c r="C63" s="1" t="str">
        <f>VLOOKUP(Table1[[#This Row],[Name]],MountsByName[],2,FALSE)</f>
        <v>DeadHorse</v>
      </c>
      <c r="D63" s="1">
        <f>VLOOKUP(Table1[[#This Row],[Name]],MountsByName[],3,FALSE)</f>
        <v>1</v>
      </c>
      <c r="E63" s="1">
        <f>VLOOKUP(Table1[[#This Row],[Name]],MountsByName[],4,FALSE)</f>
        <v>1</v>
      </c>
      <c r="F63" s="1">
        <f>VLOOKUP(Table1[[#This Row],[Name]],MountsByName[],5,FALSE)</f>
        <v>0</v>
      </c>
      <c r="G63" s="1">
        <f>VLOOKUP(Table1[[#This Row],[Name]],MountsByName[],6,FALSE)</f>
        <v>1</v>
      </c>
      <c r="H63" s="1">
        <f>VLOOKUP(Table1[[#This Row],[Name]],MountsByName[],7,FALSE)</f>
        <v>0</v>
      </c>
      <c r="I63" s="1">
        <f>VLOOKUP(Table1[[#This Row],[Name]],MountsByName[],8,FALSE)</f>
        <v>13334</v>
      </c>
      <c r="J63" s="1" t="str">
        <f>VLOOKUP(Table1[[#This Row],[Name]],MountsByName[],9,FALSE)</f>
        <v>Gold</v>
      </c>
      <c r="K63" s="1">
        <f>VLOOKUP(Table1[[#This Row],[Name]],MountsByName[],10,FALSE)</f>
        <v>0</v>
      </c>
      <c r="L63" s="1">
        <f>VLOOKUP(Table1[[#This Row],[Name]],MountsByName[],11,FALSE)</f>
        <v>1</v>
      </c>
      <c r="M63" s="1">
        <f>VLOOKUP(Table1[[#This Row],[Name]],MountsByName[],12,FALSE)</f>
        <v>1</v>
      </c>
      <c r="N6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[17465] ={"Green Skeletal Warhorse", 17465, 13334, 1, 1, 0, "DeadHorse", "Gold", 1, 0},</v>
      </c>
    </row>
    <row r="64" spans="1:14" x14ac:dyDescent="0.35">
      <c r="A64" s="2">
        <v>17481</v>
      </c>
      <c r="B64" t="s">
        <v>196</v>
      </c>
      <c r="C64" s="1" t="str">
        <f>VLOOKUP(Table1[[#This Row],[Name]],MountsByName[],2,FALSE)</f>
        <v>DeadHorse</v>
      </c>
      <c r="D64" s="1">
        <f>VLOOKUP(Table1[[#This Row],[Name]],MountsByName[],3,FALSE)</f>
        <v>1</v>
      </c>
      <c r="E64" s="1">
        <f>VLOOKUP(Table1[[#This Row],[Name]],MountsByName[],4,FALSE)</f>
        <v>1</v>
      </c>
      <c r="F64" s="1">
        <f>VLOOKUP(Table1[[#This Row],[Name]],MountsByName[],5,FALSE)</f>
        <v>0</v>
      </c>
      <c r="G64" s="1">
        <f>VLOOKUP(Table1[[#This Row],[Name]],MountsByName[],6,FALSE)</f>
        <v>1</v>
      </c>
      <c r="H64" s="1">
        <f>VLOOKUP(Table1[[#This Row],[Name]],MountsByName[],7,FALSE)</f>
        <v>0</v>
      </c>
      <c r="I64" s="1">
        <f>VLOOKUP(Table1[[#This Row],[Name]],MountsByName[],8,FALSE)</f>
        <v>13335</v>
      </c>
      <c r="J64" s="1" t="str">
        <f>VLOOKUP(Table1[[#This Row],[Name]],MountsByName[],9,FALSE)</f>
        <v>Drop Stratholme</v>
      </c>
      <c r="K64" s="1">
        <f>VLOOKUP(Table1[[#This Row],[Name]],MountsByName[],10,FALSE)</f>
        <v>1</v>
      </c>
      <c r="L64" s="1">
        <f>VLOOKUP(Table1[[#This Row],[Name]],MountsByName[],11,FALSE)</f>
        <v>1</v>
      </c>
      <c r="M64" s="1">
        <f>VLOOKUP(Table1[[#This Row],[Name]],MountsByName[],12,FALSE)</f>
        <v>1</v>
      </c>
      <c r="N6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[17481] ={"Rivendare's Deathcharger", 17481, 13335, 1, 1, 0, "DeadHorse", "Drop Stratholme", 1, 0},</v>
      </c>
    </row>
    <row r="65" spans="1:14" x14ac:dyDescent="0.35">
      <c r="A65" s="2">
        <v>22722</v>
      </c>
      <c r="B65" t="s">
        <v>193</v>
      </c>
      <c r="C65" s="1" t="str">
        <f>VLOOKUP(Table1[[#This Row],[Name]],MountsByName[],2,FALSE)</f>
        <v>DeadHorse</v>
      </c>
      <c r="D65" s="1">
        <f>VLOOKUP(Table1[[#This Row],[Name]],MountsByName[],3,FALSE)</f>
        <v>1</v>
      </c>
      <c r="E65" s="1">
        <f>VLOOKUP(Table1[[#This Row],[Name]],MountsByName[],4,FALSE)</f>
        <v>1</v>
      </c>
      <c r="F65" s="1">
        <f>VLOOKUP(Table1[[#This Row],[Name]],MountsByName[],5,FALSE)</f>
        <v>0</v>
      </c>
      <c r="G65" s="1">
        <f>VLOOKUP(Table1[[#This Row],[Name]],MountsByName[],6,FALSE)</f>
        <v>1</v>
      </c>
      <c r="H65" s="1">
        <f>VLOOKUP(Table1[[#This Row],[Name]],MountsByName[],7,FALSE)</f>
        <v>0</v>
      </c>
      <c r="I65" s="1">
        <f>VLOOKUP(Table1[[#This Row],[Name]],MountsByName[],8,FALSE)</f>
        <v>29470</v>
      </c>
      <c r="J65" s="1" t="str">
        <f>VLOOKUP(Table1[[#This Row],[Name]],MountsByName[],9,FALSE)</f>
        <v>Honor</v>
      </c>
      <c r="K65" s="1">
        <f>VLOOKUP(Table1[[#This Row],[Name]],MountsByName[],10,FALSE)</f>
        <v>0</v>
      </c>
      <c r="L65" s="1">
        <f>VLOOKUP(Table1[[#This Row],[Name]],MountsByName[],11,FALSE)</f>
        <v>1</v>
      </c>
      <c r="M65" s="1">
        <f>VLOOKUP(Table1[[#This Row],[Name]],MountsByName[],12,FALSE)</f>
        <v>1</v>
      </c>
      <c r="N6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[22722] ={"Red Skeletal Warhorse", 22722, 29470, 1, 1, 0, "DeadHorse", "Honor", 1, 0},</v>
      </c>
    </row>
    <row r="66" spans="1:14" x14ac:dyDescent="0.35">
      <c r="A66" s="2">
        <v>23246</v>
      </c>
      <c r="B66" t="s">
        <v>185</v>
      </c>
      <c r="C66" s="1" t="str">
        <f>VLOOKUP(Table1[[#This Row],[Name]],MountsByName[],2,FALSE)</f>
        <v>DeadHorse</v>
      </c>
      <c r="D66" s="1">
        <f>VLOOKUP(Table1[[#This Row],[Name]],MountsByName[],3,FALSE)</f>
        <v>1</v>
      </c>
      <c r="E66" s="1">
        <f>VLOOKUP(Table1[[#This Row],[Name]],MountsByName[],4,FALSE)</f>
        <v>1</v>
      </c>
      <c r="F66" s="1">
        <f>VLOOKUP(Table1[[#This Row],[Name]],MountsByName[],5,FALSE)</f>
        <v>0</v>
      </c>
      <c r="G66" s="1">
        <f>VLOOKUP(Table1[[#This Row],[Name]],MountsByName[],6,FALSE)</f>
        <v>1</v>
      </c>
      <c r="H66" s="1">
        <f>VLOOKUP(Table1[[#This Row],[Name]],MountsByName[],7,FALSE)</f>
        <v>0</v>
      </c>
      <c r="I66" s="1">
        <f>VLOOKUP(Table1[[#This Row],[Name]],MountsByName[],8,FALSE)</f>
        <v>18791</v>
      </c>
      <c r="J66" s="1" t="str">
        <f>VLOOKUP(Table1[[#This Row],[Name]],MountsByName[],9,FALSE)</f>
        <v>Gold</v>
      </c>
      <c r="K66" s="1">
        <f>VLOOKUP(Table1[[#This Row],[Name]],MountsByName[],10,FALSE)</f>
        <v>0</v>
      </c>
      <c r="L66" s="1">
        <f>VLOOKUP(Table1[[#This Row],[Name]],MountsByName[],11,FALSE)</f>
        <v>1</v>
      </c>
      <c r="M66" s="1">
        <f>VLOOKUP(Table1[[#This Row],[Name]],MountsByName[],12,FALSE)</f>
        <v>1</v>
      </c>
      <c r="N6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[23246] ={"Purple Skeletal Warhorse", 23246, 18791, 1, 1, 0, "DeadHorse", "Gold", 1, 0},</v>
      </c>
    </row>
    <row r="67" spans="1:14" x14ac:dyDescent="0.35">
      <c r="A67" s="2">
        <v>64656</v>
      </c>
      <c r="B67" t="s">
        <v>111</v>
      </c>
      <c r="C67" s="1" t="str">
        <f>VLOOKUP(Table1[[#This Row],[Name]],MountsByName[],2,FALSE)</f>
        <v>DeadHorse</v>
      </c>
      <c r="D67" s="1">
        <f>VLOOKUP(Table1[[#This Row],[Name]],MountsByName[],3,FALSE)</f>
        <v>1</v>
      </c>
      <c r="E67" s="1">
        <f>VLOOKUP(Table1[[#This Row],[Name]],MountsByName[],4,FALSE)</f>
        <v>1</v>
      </c>
      <c r="F67" s="1">
        <f>VLOOKUP(Table1[[#This Row],[Name]],MountsByName[],5,FALSE)</f>
        <v>0</v>
      </c>
      <c r="G67" s="1">
        <f>VLOOKUP(Table1[[#This Row],[Name]],MountsByName[],6,FALSE)</f>
        <v>1</v>
      </c>
      <c r="H67" s="1">
        <f>VLOOKUP(Table1[[#This Row],[Name]],MountsByName[],7,FALSE)</f>
        <v>0</v>
      </c>
      <c r="I67" s="1">
        <f>VLOOKUP(Table1[[#This Row],[Name]],MountsByName[],8,FALSE)</f>
        <v>46101</v>
      </c>
      <c r="J67" s="1" t="str">
        <f>VLOOKUP(Table1[[#This Row],[Name]],MountsByName[],9,FALSE)</f>
        <v>Removed</v>
      </c>
      <c r="K67" s="1">
        <f>VLOOKUP(Table1[[#This Row],[Name]],MountsByName[],10,FALSE)</f>
        <v>0</v>
      </c>
      <c r="L67" s="1">
        <f>VLOOKUP(Table1[[#This Row],[Name]],MountsByName[],11,FALSE)</f>
        <v>1</v>
      </c>
      <c r="M67" s="1">
        <f>VLOOKUP(Table1[[#This Row],[Name]],MountsByName[],12,FALSE)</f>
        <v>1</v>
      </c>
      <c r="N6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[64656] ={"Blue Skeletal Warhorse", 64656, 46101, 1, 1, 0, "DeadHorse", "Removed", 1, 0},</v>
      </c>
    </row>
    <row r="68" spans="1:14" x14ac:dyDescent="0.35">
      <c r="A68" s="2">
        <v>64977</v>
      </c>
      <c r="B68" t="s">
        <v>94</v>
      </c>
      <c r="C68" s="1" t="str">
        <f>VLOOKUP(Table1[[#This Row],[Name]],MountsByName[],2,FALSE)</f>
        <v>DeadHorse</v>
      </c>
      <c r="D68" s="1">
        <f>VLOOKUP(Table1[[#This Row],[Name]],MountsByName[],3,FALSE)</f>
        <v>0.6</v>
      </c>
      <c r="E68" s="1">
        <f>VLOOKUP(Table1[[#This Row],[Name]],MountsByName[],4,FALSE)</f>
        <v>0.6</v>
      </c>
      <c r="F68" s="1">
        <f>VLOOKUP(Table1[[#This Row],[Name]],MountsByName[],5,FALSE)</f>
        <v>0</v>
      </c>
      <c r="G68" s="1">
        <f>VLOOKUP(Table1[[#This Row],[Name]],MountsByName[],6,FALSE)</f>
        <v>1</v>
      </c>
      <c r="H68" s="1">
        <f>VLOOKUP(Table1[[#This Row],[Name]],MountsByName[],7,FALSE)</f>
        <v>0</v>
      </c>
      <c r="I68" s="1">
        <f>VLOOKUP(Table1[[#This Row],[Name]],MountsByName[],8,FALSE)</f>
        <v>46308</v>
      </c>
      <c r="J68" s="1" t="str">
        <f>VLOOKUP(Table1[[#This Row],[Name]],MountsByName[],9,FALSE)</f>
        <v>Gold</v>
      </c>
      <c r="K68" s="1">
        <f>VLOOKUP(Table1[[#This Row],[Name]],MountsByName[],10,FALSE)</f>
        <v>0</v>
      </c>
      <c r="L68" s="1">
        <f>VLOOKUP(Table1[[#This Row],[Name]],MountsByName[],11,FALSE)</f>
        <v>1</v>
      </c>
      <c r="M68" s="1">
        <f>VLOOKUP(Table1[[#This Row],[Name]],MountsByName[],12,FALSE)</f>
        <v>1</v>
      </c>
      <c r="N6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[64977] ={"Black Skeletal Horse", 64977, 46308, 0.6, 0.6, 0, "DeadHorse", "Gold", 1, 0},</v>
      </c>
    </row>
    <row r="69" spans="1:14" x14ac:dyDescent="0.35">
      <c r="A69" s="2">
        <v>65645</v>
      </c>
      <c r="B69" t="s">
        <v>268</v>
      </c>
      <c r="C69" s="1" t="str">
        <f>VLOOKUP(Table1[[#This Row],[Name]],MountsByName[],2,FALSE)</f>
        <v>DeadHorse</v>
      </c>
      <c r="D69" s="1">
        <f>VLOOKUP(Table1[[#This Row],[Name]],MountsByName[],3,FALSE)</f>
        <v>1</v>
      </c>
      <c r="E69" s="1">
        <f>VLOOKUP(Table1[[#This Row],[Name]],MountsByName[],4,FALSE)</f>
        <v>1</v>
      </c>
      <c r="F69" s="1">
        <f>VLOOKUP(Table1[[#This Row],[Name]],MountsByName[],5,FALSE)</f>
        <v>0</v>
      </c>
      <c r="G69" s="1">
        <f>VLOOKUP(Table1[[#This Row],[Name]],MountsByName[],6,FALSE)</f>
        <v>1</v>
      </c>
      <c r="H69" s="1">
        <f>VLOOKUP(Table1[[#This Row],[Name]],MountsByName[],7,FALSE)</f>
        <v>0</v>
      </c>
      <c r="I69" s="1">
        <f>VLOOKUP(Table1[[#This Row],[Name]],MountsByName[],8,FALSE)</f>
        <v>46764</v>
      </c>
      <c r="J69" s="1" t="str">
        <f>VLOOKUP(Table1[[#This Row],[Name]],MountsByName[],9,FALSE)</f>
        <v>Champion's Seals</v>
      </c>
      <c r="K69" s="1">
        <f>VLOOKUP(Table1[[#This Row],[Name]],MountsByName[],10,FALSE)</f>
        <v>0</v>
      </c>
      <c r="L69" s="1">
        <f>VLOOKUP(Table1[[#This Row],[Name]],MountsByName[],11,FALSE)</f>
        <v>1</v>
      </c>
      <c r="M69" s="1">
        <f>VLOOKUP(Table1[[#This Row],[Name]],MountsByName[],12,FALSE)</f>
        <v>1</v>
      </c>
      <c r="N6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[65645] ={"White Skeletal Warhorse", 65645, 46764, 1, 1, 0, "DeadHorse", "Champion's Seals", 1, 0},</v>
      </c>
    </row>
    <row r="70" spans="1:14" x14ac:dyDescent="0.35">
      <c r="A70" s="2">
        <v>66846</v>
      </c>
      <c r="B70" t="s">
        <v>176</v>
      </c>
      <c r="C70" s="1" t="str">
        <f>VLOOKUP(Table1[[#This Row],[Name]],MountsByName[],2,FALSE)</f>
        <v>DeadHorse</v>
      </c>
      <c r="D70" s="1">
        <f>VLOOKUP(Table1[[#This Row],[Name]],MountsByName[],3,FALSE)</f>
        <v>1</v>
      </c>
      <c r="E70" s="1">
        <f>VLOOKUP(Table1[[#This Row],[Name]],MountsByName[],4,FALSE)</f>
        <v>1</v>
      </c>
      <c r="F70" s="1">
        <f>VLOOKUP(Table1[[#This Row],[Name]],MountsByName[],5,FALSE)</f>
        <v>0</v>
      </c>
      <c r="G70" s="1">
        <f>VLOOKUP(Table1[[#This Row],[Name]],MountsByName[],6,FALSE)</f>
        <v>1</v>
      </c>
      <c r="H70" s="1">
        <f>VLOOKUP(Table1[[#This Row],[Name]],MountsByName[],7,FALSE)</f>
        <v>0</v>
      </c>
      <c r="I70" s="1">
        <f>VLOOKUP(Table1[[#This Row],[Name]],MountsByName[],8,FALSE)</f>
        <v>47101</v>
      </c>
      <c r="J70" s="1" t="str">
        <f>VLOOKUP(Table1[[#This Row],[Name]],MountsByName[],9,FALSE)</f>
        <v>Gold</v>
      </c>
      <c r="K70" s="1">
        <f>VLOOKUP(Table1[[#This Row],[Name]],MountsByName[],10,FALSE)</f>
        <v>0</v>
      </c>
      <c r="L70" s="1">
        <f>VLOOKUP(Table1[[#This Row],[Name]],MountsByName[],11,FALSE)</f>
        <v>1</v>
      </c>
      <c r="M70" s="1">
        <f>VLOOKUP(Table1[[#This Row],[Name]],MountsByName[],12,FALSE)</f>
        <v>1</v>
      </c>
      <c r="N7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[66846] ={"Ochre Skeletal Warhorse", 66846, 47101, 1, 1, 0, "DeadHorse", "Gold", 1, 0},</v>
      </c>
    </row>
    <row r="71" spans="1:14" x14ac:dyDescent="0.35">
      <c r="A71" s="2">
        <v>73313</v>
      </c>
      <c r="B71" t="s">
        <v>126</v>
      </c>
      <c r="C71" s="1" t="str">
        <f>VLOOKUP(Table1[[#This Row],[Name]],MountsByName[],2,FALSE)</f>
        <v>DeadHorse</v>
      </c>
      <c r="D71" s="1">
        <f>VLOOKUP(Table1[[#This Row],[Name]],MountsByName[],3,FALSE)</f>
        <v>1</v>
      </c>
      <c r="E71" s="1">
        <f>VLOOKUP(Table1[[#This Row],[Name]],MountsByName[],4,FALSE)</f>
        <v>1</v>
      </c>
      <c r="F71" s="1">
        <f>VLOOKUP(Table1[[#This Row],[Name]],MountsByName[],5,FALSE)</f>
        <v>0</v>
      </c>
      <c r="G71" s="1">
        <f>VLOOKUP(Table1[[#This Row],[Name]],MountsByName[],6,FALSE)</f>
        <v>1</v>
      </c>
      <c r="H71" s="1">
        <f>VLOOKUP(Table1[[#This Row],[Name]],MountsByName[],7,FALSE)</f>
        <v>0</v>
      </c>
      <c r="I71" s="1">
        <f>VLOOKUP(Table1[[#This Row],[Name]],MountsByName[],8,FALSE)</f>
        <v>52200</v>
      </c>
      <c r="J71" s="1" t="str">
        <f>VLOOKUP(Table1[[#This Row],[Name]],MountsByName[],9,FALSE)</f>
        <v>Shadowmourn Quest</v>
      </c>
      <c r="K71" s="1">
        <f>VLOOKUP(Table1[[#This Row],[Name]],MountsByName[],10,FALSE)</f>
        <v>1</v>
      </c>
      <c r="L71" s="1">
        <f>VLOOKUP(Table1[[#This Row],[Name]],MountsByName[],11,FALSE)</f>
        <v>1</v>
      </c>
      <c r="M71" s="1">
        <f>VLOOKUP(Table1[[#This Row],[Name]],MountsByName[],12,FALSE)</f>
        <v>1</v>
      </c>
      <c r="N71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[73313] ={"Crimson Deathcharger", 73313, 52200, 1, 1, 0, "DeadHorse", "Shadowmourn Quest", 1, 0},</v>
      </c>
    </row>
    <row r="72" spans="1:14" x14ac:dyDescent="0.35">
      <c r="A72" s="2">
        <v>48778</v>
      </c>
      <c r="B72" t="s">
        <v>81</v>
      </c>
      <c r="C72" s="1" t="str">
        <f>VLOOKUP(Table1[[#This Row],[Name]],MountsByName[],2,FALSE)</f>
        <v>DeathKnight</v>
      </c>
      <c r="D72" s="1">
        <f>VLOOKUP(Table1[[#This Row],[Name]],MountsByName[],3,FALSE)</f>
        <v>1</v>
      </c>
      <c r="E72" s="1">
        <f>VLOOKUP(Table1[[#This Row],[Name]],MountsByName[],4,FALSE)</f>
        <v>1</v>
      </c>
      <c r="F72" s="1">
        <f>VLOOKUP(Table1[[#This Row],[Name]],MountsByName[],5,FALSE)</f>
        <v>0</v>
      </c>
      <c r="G72" s="1">
        <f>VLOOKUP(Table1[[#This Row],[Name]],MountsByName[],6,FALSE)</f>
        <v>1</v>
      </c>
      <c r="H72" s="1">
        <f>VLOOKUP(Table1[[#This Row],[Name]],MountsByName[],7,FALSE)</f>
        <v>0</v>
      </c>
      <c r="I72" s="1">
        <f>VLOOKUP(Table1[[#This Row],[Name]],MountsByName[],8,FALSE)</f>
        <v>0</v>
      </c>
      <c r="J72" s="1" t="str">
        <f>VLOOKUP(Table1[[#This Row],[Name]],MountsByName[],9,FALSE)</f>
        <v>DeathKnight</v>
      </c>
      <c r="K72" s="1">
        <f>VLOOKUP(Table1[[#This Row],[Name]],MountsByName[],10,FALSE)</f>
        <v>1</v>
      </c>
      <c r="L72" s="1">
        <f>VLOOKUP(Table1[[#This Row],[Name]],MountsByName[],11,FALSE)</f>
        <v>1</v>
      </c>
      <c r="M72" s="1">
        <f>VLOOKUP(Table1[[#This Row],[Name]],MountsByName[],12,FALSE)</f>
        <v>1</v>
      </c>
      <c r="N7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[48778] ={"Acherus Deathcharger", 48778, 0, 1, 1, 0, "DeathKnight", "DeathKnight", 1, 0},</v>
      </c>
    </row>
    <row r="73" spans="1:14" x14ac:dyDescent="0.35">
      <c r="A73" s="2">
        <v>136471</v>
      </c>
      <c r="B73" t="s">
        <v>1119</v>
      </c>
      <c r="C73" s="1" t="str">
        <f>VLOOKUP(Table1[[#This Row],[Name]],MountsByName[],2,FALSE)</f>
        <v>Direhorn</v>
      </c>
      <c r="D73" s="1">
        <f>VLOOKUP(Table1[[#This Row],[Name]],MountsByName[],3,FALSE)</f>
        <v>1</v>
      </c>
      <c r="E73" s="1">
        <f>VLOOKUP(Table1[[#This Row],[Name]],MountsByName[],4,FALSE)</f>
        <v>1</v>
      </c>
      <c r="F73" s="1">
        <f>VLOOKUP(Table1[[#This Row],[Name]],MountsByName[],5,FALSE)</f>
        <v>0</v>
      </c>
      <c r="G73" s="1">
        <f>VLOOKUP(Table1[[#This Row],[Name]],MountsByName[],6,FALSE)</f>
        <v>1</v>
      </c>
      <c r="H73" s="1">
        <f>VLOOKUP(Table1[[#This Row],[Name]],MountsByName[],7,FALSE)</f>
        <v>0</v>
      </c>
      <c r="I73" s="1">
        <f>VLOOKUP(Table1[[#This Row],[Name]],MountsByName[],8,FALSE)</f>
        <v>0</v>
      </c>
      <c r="J73" s="1">
        <f>VLOOKUP(Table1[[#This Row],[Name]],MountsByName[],9,FALSE)</f>
        <v>0</v>
      </c>
      <c r="K73" s="1">
        <f>VLOOKUP(Table1[[#This Row],[Name]],MountsByName[],10,FALSE)</f>
        <v>0</v>
      </c>
      <c r="L73" s="1">
        <f>VLOOKUP(Table1[[#This Row],[Name]],MountsByName[],11,FALSE)</f>
        <v>0</v>
      </c>
      <c r="M73" s="1">
        <f>VLOOKUP(Table1[[#This Row],[Name]],MountsByName[],12,FALSE)</f>
        <v>1</v>
      </c>
      <c r="N7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[136471] ={"Spawn of Horridon", 136471, 0, 1, 1, 0, "Direhorn", "0", 1, 0},</v>
      </c>
    </row>
    <row r="74" spans="1:14" x14ac:dyDescent="0.35">
      <c r="A74" s="2">
        <v>138423</v>
      </c>
      <c r="B74" t="s">
        <v>1116</v>
      </c>
      <c r="C74" s="1" t="str">
        <f>VLOOKUP(Table1[[#This Row],[Name]],MountsByName[],2,FALSE)</f>
        <v>Direhorn</v>
      </c>
      <c r="D74" s="1">
        <f>VLOOKUP(Table1[[#This Row],[Name]],MountsByName[],3,FALSE)</f>
        <v>1</v>
      </c>
      <c r="E74" s="1">
        <f>VLOOKUP(Table1[[#This Row],[Name]],MountsByName[],4,FALSE)</f>
        <v>1</v>
      </c>
      <c r="F74" s="1">
        <f>VLOOKUP(Table1[[#This Row],[Name]],MountsByName[],5,FALSE)</f>
        <v>0</v>
      </c>
      <c r="G74" s="1">
        <f>VLOOKUP(Table1[[#This Row],[Name]],MountsByName[],6,FALSE)</f>
        <v>1</v>
      </c>
      <c r="H74" s="1">
        <f>VLOOKUP(Table1[[#This Row],[Name]],MountsByName[],7,FALSE)</f>
        <v>0</v>
      </c>
      <c r="I74" s="1">
        <f>VLOOKUP(Table1[[#This Row],[Name]],MountsByName[],8,FALSE)</f>
        <v>0</v>
      </c>
      <c r="J74" s="1">
        <f>VLOOKUP(Table1[[#This Row],[Name]],MountsByName[],9,FALSE)</f>
        <v>0</v>
      </c>
      <c r="K74" s="1">
        <f>VLOOKUP(Table1[[#This Row],[Name]],MountsByName[],10,FALSE)</f>
        <v>0</v>
      </c>
      <c r="L74" s="1">
        <f>VLOOKUP(Table1[[#This Row],[Name]],MountsByName[],11,FALSE)</f>
        <v>0</v>
      </c>
      <c r="M74" s="1">
        <f>VLOOKUP(Table1[[#This Row],[Name]],MountsByName[],12,FALSE)</f>
        <v>1</v>
      </c>
      <c r="N7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[138423] ={"Cobalt Primordial Direhorn", 138423, 0, 1, 1, 0, "Direhorn", "0", 1, 0},</v>
      </c>
    </row>
    <row r="75" spans="1:14" x14ac:dyDescent="0.35">
      <c r="A75" s="2">
        <v>138424</v>
      </c>
      <c r="B75" t="s">
        <v>1064</v>
      </c>
      <c r="C75" s="1" t="str">
        <f>VLOOKUP(Table1[[#This Row],[Name]],MountsByName[],2,FALSE)</f>
        <v>Direhorn</v>
      </c>
      <c r="D75" s="1">
        <f>VLOOKUP(Table1[[#This Row],[Name]],MountsByName[],3,FALSE)</f>
        <v>1</v>
      </c>
      <c r="E75" s="1">
        <f>VLOOKUP(Table1[[#This Row],[Name]],MountsByName[],4,FALSE)</f>
        <v>1</v>
      </c>
      <c r="F75" s="1">
        <f>VLOOKUP(Table1[[#This Row],[Name]],MountsByName[],5,FALSE)</f>
        <v>0</v>
      </c>
      <c r="G75" s="1">
        <f>VLOOKUP(Table1[[#This Row],[Name]],MountsByName[],6,FALSE)</f>
        <v>1</v>
      </c>
      <c r="H75" s="1">
        <f>VLOOKUP(Table1[[#This Row],[Name]],MountsByName[],7,FALSE)</f>
        <v>0</v>
      </c>
      <c r="I75" s="1">
        <f>VLOOKUP(Table1[[#This Row],[Name]],MountsByName[],8,FALSE)</f>
        <v>0</v>
      </c>
      <c r="J75" s="1">
        <f>VLOOKUP(Table1[[#This Row],[Name]],MountsByName[],9,FALSE)</f>
        <v>0</v>
      </c>
      <c r="K75" s="1">
        <f>VLOOKUP(Table1[[#This Row],[Name]],MountsByName[],10,FALSE)</f>
        <v>0</v>
      </c>
      <c r="L75" s="1">
        <f>VLOOKUP(Table1[[#This Row],[Name]],MountsByName[],11,FALSE)</f>
        <v>0</v>
      </c>
      <c r="M75" s="1">
        <f>VLOOKUP(Table1[[#This Row],[Name]],MountsByName[],12,FALSE)</f>
        <v>1</v>
      </c>
      <c r="N7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[138424] ={"Amber Primordial Direhorn", 138424, 0, 1, 1, 0, "Direhorn", "0", 1, 0},</v>
      </c>
    </row>
    <row r="76" spans="1:14" x14ac:dyDescent="0.35">
      <c r="A76" s="2">
        <v>138425</v>
      </c>
      <c r="B76" t="s">
        <v>1115</v>
      </c>
      <c r="C76" s="1" t="str">
        <f>VLOOKUP(Table1[[#This Row],[Name]],MountsByName[],2,FALSE)</f>
        <v>Direhorn</v>
      </c>
      <c r="D76" s="1">
        <f>VLOOKUP(Table1[[#This Row],[Name]],MountsByName[],3,FALSE)</f>
        <v>1</v>
      </c>
      <c r="E76" s="1">
        <f>VLOOKUP(Table1[[#This Row],[Name]],MountsByName[],4,FALSE)</f>
        <v>1</v>
      </c>
      <c r="F76" s="1">
        <f>VLOOKUP(Table1[[#This Row],[Name]],MountsByName[],5,FALSE)</f>
        <v>0</v>
      </c>
      <c r="G76" s="1">
        <f>VLOOKUP(Table1[[#This Row],[Name]],MountsByName[],6,FALSE)</f>
        <v>1</v>
      </c>
      <c r="H76" s="1">
        <f>VLOOKUP(Table1[[#This Row],[Name]],MountsByName[],7,FALSE)</f>
        <v>0</v>
      </c>
      <c r="I76" s="1">
        <f>VLOOKUP(Table1[[#This Row],[Name]],MountsByName[],8,FALSE)</f>
        <v>0</v>
      </c>
      <c r="J76" s="1">
        <f>VLOOKUP(Table1[[#This Row],[Name]],MountsByName[],9,FALSE)</f>
        <v>0</v>
      </c>
      <c r="K76" s="1">
        <f>VLOOKUP(Table1[[#This Row],[Name]],MountsByName[],10,FALSE)</f>
        <v>0</v>
      </c>
      <c r="L76" s="1">
        <f>VLOOKUP(Table1[[#This Row],[Name]],MountsByName[],11,FALSE)</f>
        <v>0</v>
      </c>
      <c r="M76" s="1">
        <f>VLOOKUP(Table1[[#This Row],[Name]],MountsByName[],12,FALSE)</f>
        <v>1</v>
      </c>
      <c r="N7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[138425] ={"Slate Primordial Direhorn", 138425, 0, 1, 1, 0, "Direhorn", "0", 1, 0},</v>
      </c>
    </row>
    <row r="77" spans="1:14" x14ac:dyDescent="0.35">
      <c r="A77" s="2">
        <v>138426</v>
      </c>
      <c r="B77" t="s">
        <v>1075</v>
      </c>
      <c r="C77" s="1" t="str">
        <f>VLOOKUP(Table1[[#This Row],[Name]],MountsByName[],2,FALSE)</f>
        <v>Direhorn</v>
      </c>
      <c r="D77" s="1">
        <f>VLOOKUP(Table1[[#This Row],[Name]],MountsByName[],3,FALSE)</f>
        <v>1</v>
      </c>
      <c r="E77" s="1">
        <f>VLOOKUP(Table1[[#This Row],[Name]],MountsByName[],4,FALSE)</f>
        <v>1</v>
      </c>
      <c r="F77" s="1">
        <f>VLOOKUP(Table1[[#This Row],[Name]],MountsByName[],5,FALSE)</f>
        <v>0</v>
      </c>
      <c r="G77" s="1">
        <f>VLOOKUP(Table1[[#This Row],[Name]],MountsByName[],6,FALSE)</f>
        <v>1</v>
      </c>
      <c r="H77" s="1">
        <f>VLOOKUP(Table1[[#This Row],[Name]],MountsByName[],7,FALSE)</f>
        <v>0</v>
      </c>
      <c r="I77" s="1">
        <f>VLOOKUP(Table1[[#This Row],[Name]],MountsByName[],8,FALSE)</f>
        <v>0</v>
      </c>
      <c r="J77" s="1">
        <f>VLOOKUP(Table1[[#This Row],[Name]],MountsByName[],9,FALSE)</f>
        <v>0</v>
      </c>
      <c r="K77" s="1">
        <f>VLOOKUP(Table1[[#This Row],[Name]],MountsByName[],10,FALSE)</f>
        <v>0</v>
      </c>
      <c r="L77" s="1">
        <f>VLOOKUP(Table1[[#This Row],[Name]],MountsByName[],11,FALSE)</f>
        <v>0</v>
      </c>
      <c r="M77" s="1">
        <f>VLOOKUP(Table1[[#This Row],[Name]],MountsByName[],12,FALSE)</f>
        <v>1</v>
      </c>
      <c r="N7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[138426] ={"Jade Primordial Direhorn", 138426, 0, 1, 1, 0, "Direhorn", "0", 1, 0},</v>
      </c>
    </row>
    <row r="78" spans="1:14" x14ac:dyDescent="0.35">
      <c r="A78" s="2">
        <v>140249</v>
      </c>
      <c r="B78" t="s">
        <v>1142</v>
      </c>
      <c r="C78" s="1" t="str">
        <f>VLOOKUP(Table1[[#This Row],[Name]],MountsByName[],2,FALSE)</f>
        <v>Direhorn</v>
      </c>
      <c r="D78" s="1">
        <f>VLOOKUP(Table1[[#This Row],[Name]],MountsByName[],3,FALSE)</f>
        <v>1</v>
      </c>
      <c r="E78" s="1">
        <f>VLOOKUP(Table1[[#This Row],[Name]],MountsByName[],4,FALSE)</f>
        <v>1</v>
      </c>
      <c r="F78" s="1">
        <f>VLOOKUP(Table1[[#This Row],[Name]],MountsByName[],5,FALSE)</f>
        <v>0</v>
      </c>
      <c r="G78" s="1">
        <f>VLOOKUP(Table1[[#This Row],[Name]],MountsByName[],6,FALSE)</f>
        <v>1</v>
      </c>
      <c r="H78" s="1">
        <f>VLOOKUP(Table1[[#This Row],[Name]],MountsByName[],7,FALSE)</f>
        <v>0</v>
      </c>
      <c r="I78" s="1">
        <f>VLOOKUP(Table1[[#This Row],[Name]],MountsByName[],8,FALSE)</f>
        <v>0</v>
      </c>
      <c r="J78" s="1">
        <f>VLOOKUP(Table1[[#This Row],[Name]],MountsByName[],9,FALSE)</f>
        <v>0</v>
      </c>
      <c r="K78" s="1">
        <f>VLOOKUP(Table1[[#This Row],[Name]],MountsByName[],10,FALSE)</f>
        <v>0</v>
      </c>
      <c r="L78" s="1">
        <f>VLOOKUP(Table1[[#This Row],[Name]],MountsByName[],11,FALSE)</f>
        <v>0</v>
      </c>
      <c r="M78" s="1">
        <f>VLOOKUP(Table1[[#This Row],[Name]],MountsByName[],12,FALSE)</f>
        <v>1</v>
      </c>
      <c r="N7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[140249] ={"Golden Primal Direhorn", 140249, 0, 1, 1, 0, "Direhorn", "0", 1, 0},</v>
      </c>
    </row>
    <row r="79" spans="1:14" x14ac:dyDescent="0.35">
      <c r="A79" s="2">
        <v>140250</v>
      </c>
      <c r="B79" t="s">
        <v>1111</v>
      </c>
      <c r="C79" s="1" t="str">
        <f>VLOOKUP(Table1[[#This Row],[Name]],MountsByName[],2,FALSE)</f>
        <v>Direhorn</v>
      </c>
      <c r="D79" s="1">
        <f>VLOOKUP(Table1[[#This Row],[Name]],MountsByName[],3,FALSE)</f>
        <v>1</v>
      </c>
      <c r="E79" s="1">
        <f>VLOOKUP(Table1[[#This Row],[Name]],MountsByName[],4,FALSE)</f>
        <v>1</v>
      </c>
      <c r="F79" s="1">
        <f>VLOOKUP(Table1[[#This Row],[Name]],MountsByName[],5,FALSE)</f>
        <v>0</v>
      </c>
      <c r="G79" s="1">
        <f>VLOOKUP(Table1[[#This Row],[Name]],MountsByName[],6,FALSE)</f>
        <v>1</v>
      </c>
      <c r="H79" s="1">
        <f>VLOOKUP(Table1[[#This Row],[Name]],MountsByName[],7,FALSE)</f>
        <v>0</v>
      </c>
      <c r="I79" s="1">
        <f>VLOOKUP(Table1[[#This Row],[Name]],MountsByName[],8,FALSE)</f>
        <v>0</v>
      </c>
      <c r="J79" s="1">
        <f>VLOOKUP(Table1[[#This Row],[Name]],MountsByName[],9,FALSE)</f>
        <v>0</v>
      </c>
      <c r="K79" s="1">
        <f>VLOOKUP(Table1[[#This Row],[Name]],MountsByName[],10,FALSE)</f>
        <v>0</v>
      </c>
      <c r="L79" s="1">
        <f>VLOOKUP(Table1[[#This Row],[Name]],MountsByName[],11,FALSE)</f>
        <v>0</v>
      </c>
      <c r="M79" s="1">
        <f>VLOOKUP(Table1[[#This Row],[Name]],MountsByName[],12,FALSE)</f>
        <v>1</v>
      </c>
      <c r="N7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[140250] ={"Crimson Primal Direhorn", 140250, 0, 1, 1, 0, "Direhorn", "0", 1, 0},</v>
      </c>
    </row>
    <row r="80" spans="1:14" x14ac:dyDescent="0.35">
      <c r="A80" s="2">
        <v>130092</v>
      </c>
      <c r="B80" t="s">
        <v>1098</v>
      </c>
      <c r="C80" s="1" t="str">
        <f>VLOOKUP(Table1[[#This Row],[Name]],MountsByName[],2,FALSE)</f>
        <v>Disk</v>
      </c>
      <c r="D80" s="1">
        <f>VLOOKUP(Table1[[#This Row],[Name]],MountsByName[],3,FALSE)</f>
        <v>2.8</v>
      </c>
      <c r="E80" s="1">
        <f>VLOOKUP(Table1[[#This Row],[Name]],MountsByName[],4,FALSE)</f>
        <v>2.8</v>
      </c>
      <c r="F80" s="1">
        <f>VLOOKUP(Table1[[#This Row],[Name]],MountsByName[],5,FALSE)</f>
        <v>0</v>
      </c>
      <c r="G80" s="1">
        <f>VLOOKUP(Table1[[#This Row],[Name]],MountsByName[],6,FALSE)</f>
        <v>1</v>
      </c>
      <c r="H80" s="1">
        <f>VLOOKUP(Table1[[#This Row],[Name]],MountsByName[],7,FALSE)</f>
        <v>0</v>
      </c>
      <c r="I80" s="1">
        <f>VLOOKUP(Table1[[#This Row],[Name]],MountsByName[],8,FALSE)</f>
        <v>0</v>
      </c>
      <c r="J80" s="1">
        <f>VLOOKUP(Table1[[#This Row],[Name]],MountsByName[],9,FALSE)</f>
        <v>0</v>
      </c>
      <c r="K80" s="1">
        <f>VLOOKUP(Table1[[#This Row],[Name]],MountsByName[],10,FALSE)</f>
        <v>0</v>
      </c>
      <c r="L80" s="1">
        <f>VLOOKUP(Table1[[#This Row],[Name]],MountsByName[],11,FALSE)</f>
        <v>0</v>
      </c>
      <c r="M80" s="1">
        <f>VLOOKUP(Table1[[#This Row],[Name]],MountsByName[],12,FALSE)</f>
        <v>1</v>
      </c>
      <c r="N8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[130092] ={"Red Flying Cloud", 130092, 0, 2.8, 2.8, 0, "Disk", "0", 1, 0},</v>
      </c>
    </row>
    <row r="81" spans="1:14" x14ac:dyDescent="0.35">
      <c r="A81" s="2">
        <v>120395</v>
      </c>
      <c r="B81" t="s">
        <v>1144</v>
      </c>
      <c r="C81" s="1" t="str">
        <f>VLOOKUP(Table1[[#This Row],[Name]],MountsByName[],2,FALSE)</f>
        <v>Dragon Turtle</v>
      </c>
      <c r="D81" s="1">
        <f>VLOOKUP(Table1[[#This Row],[Name]],MountsByName[],3,FALSE)</f>
        <v>1</v>
      </c>
      <c r="E81" s="1">
        <f>VLOOKUP(Table1[[#This Row],[Name]],MountsByName[],4,FALSE)</f>
        <v>1</v>
      </c>
      <c r="F81" s="1">
        <f>VLOOKUP(Table1[[#This Row],[Name]],MountsByName[],5,FALSE)</f>
        <v>0</v>
      </c>
      <c r="G81" s="1">
        <f>VLOOKUP(Table1[[#This Row],[Name]],MountsByName[],6,FALSE)</f>
        <v>1</v>
      </c>
      <c r="H81" s="1">
        <f>VLOOKUP(Table1[[#This Row],[Name]],MountsByName[],7,FALSE)</f>
        <v>0</v>
      </c>
      <c r="I81" s="1">
        <f>VLOOKUP(Table1[[#This Row],[Name]],MountsByName[],8,FALSE)</f>
        <v>0</v>
      </c>
      <c r="J81" s="1">
        <f>VLOOKUP(Table1[[#This Row],[Name]],MountsByName[],9,FALSE)</f>
        <v>0</v>
      </c>
      <c r="K81" s="1">
        <f>VLOOKUP(Table1[[#This Row],[Name]],MountsByName[],10,FALSE)</f>
        <v>0</v>
      </c>
      <c r="L81" s="1">
        <f>VLOOKUP(Table1[[#This Row],[Name]],MountsByName[],11,FALSE)</f>
        <v>0</v>
      </c>
      <c r="M81" s="1">
        <f>VLOOKUP(Table1[[#This Row],[Name]],MountsByName[],12,FALSE)</f>
        <v>1</v>
      </c>
      <c r="N81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[120395] ={"Green Dragon Turtle", 120395, 0, 1, 1, 0, "Dragon Turtle", "0", 1, 0},</v>
      </c>
    </row>
    <row r="82" spans="1:14" x14ac:dyDescent="0.35">
      <c r="A82" s="2">
        <v>120822</v>
      </c>
      <c r="B82" t="s">
        <v>1057</v>
      </c>
      <c r="C82" s="1" t="str">
        <f>VLOOKUP(Table1[[#This Row],[Name]],MountsByName[],2,FALSE)</f>
        <v>Dragon Turtle</v>
      </c>
      <c r="D82" s="1">
        <f>VLOOKUP(Table1[[#This Row],[Name]],MountsByName[],3,FALSE)</f>
        <v>1</v>
      </c>
      <c r="E82" s="1">
        <f>VLOOKUP(Table1[[#This Row],[Name]],MountsByName[],4,FALSE)</f>
        <v>1</v>
      </c>
      <c r="F82" s="1">
        <f>VLOOKUP(Table1[[#This Row],[Name]],MountsByName[],5,FALSE)</f>
        <v>0</v>
      </c>
      <c r="G82" s="1">
        <f>VLOOKUP(Table1[[#This Row],[Name]],MountsByName[],6,FALSE)</f>
        <v>1</v>
      </c>
      <c r="H82" s="1">
        <f>VLOOKUP(Table1[[#This Row],[Name]],MountsByName[],7,FALSE)</f>
        <v>0</v>
      </c>
      <c r="I82" s="1">
        <f>VLOOKUP(Table1[[#This Row],[Name]],MountsByName[],8,FALSE)</f>
        <v>0</v>
      </c>
      <c r="J82" s="1">
        <f>VLOOKUP(Table1[[#This Row],[Name]],MountsByName[],9,FALSE)</f>
        <v>0</v>
      </c>
      <c r="K82" s="1">
        <f>VLOOKUP(Table1[[#This Row],[Name]],MountsByName[],10,FALSE)</f>
        <v>0</v>
      </c>
      <c r="L82" s="1">
        <f>VLOOKUP(Table1[[#This Row],[Name]],MountsByName[],11,FALSE)</f>
        <v>0</v>
      </c>
      <c r="M82" s="1">
        <f>VLOOKUP(Table1[[#This Row],[Name]],MountsByName[],12,FALSE)</f>
        <v>1</v>
      </c>
      <c r="N8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[120822] ={"Great Red Dragon Turtle", 120822, 0, 1, 1, 0, "Dragon Turtle", "0", 1, 0},</v>
      </c>
    </row>
    <row r="83" spans="1:14" x14ac:dyDescent="0.35">
      <c r="A83" s="2">
        <v>127286</v>
      </c>
      <c r="B83" t="s">
        <v>1046</v>
      </c>
      <c r="C83" s="1" t="str">
        <f>VLOOKUP(Table1[[#This Row],[Name]],MountsByName[],2,FALSE)</f>
        <v>Dragon Turtle</v>
      </c>
      <c r="D83" s="1">
        <f>VLOOKUP(Table1[[#This Row],[Name]],MountsByName[],3,FALSE)</f>
        <v>1</v>
      </c>
      <c r="E83" s="1">
        <f>VLOOKUP(Table1[[#This Row],[Name]],MountsByName[],4,FALSE)</f>
        <v>1</v>
      </c>
      <c r="F83" s="1">
        <f>VLOOKUP(Table1[[#This Row],[Name]],MountsByName[],5,FALSE)</f>
        <v>0</v>
      </c>
      <c r="G83" s="1">
        <f>VLOOKUP(Table1[[#This Row],[Name]],MountsByName[],6,FALSE)</f>
        <v>1</v>
      </c>
      <c r="H83" s="1">
        <f>VLOOKUP(Table1[[#This Row],[Name]],MountsByName[],7,FALSE)</f>
        <v>0</v>
      </c>
      <c r="I83" s="1">
        <f>VLOOKUP(Table1[[#This Row],[Name]],MountsByName[],8,FALSE)</f>
        <v>0</v>
      </c>
      <c r="J83" s="1">
        <f>VLOOKUP(Table1[[#This Row],[Name]],MountsByName[],9,FALSE)</f>
        <v>0</v>
      </c>
      <c r="K83" s="1">
        <f>VLOOKUP(Table1[[#This Row],[Name]],MountsByName[],10,FALSE)</f>
        <v>0</v>
      </c>
      <c r="L83" s="1">
        <f>VLOOKUP(Table1[[#This Row],[Name]],MountsByName[],11,FALSE)</f>
        <v>0</v>
      </c>
      <c r="M83" s="1">
        <f>VLOOKUP(Table1[[#This Row],[Name]],MountsByName[],12,FALSE)</f>
        <v>1</v>
      </c>
      <c r="N8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[127286] ={"Black Dragon Turtle", 127286, 0, 1, 1, 0, "Dragon Turtle", "0", 1, 0},</v>
      </c>
    </row>
    <row r="84" spans="1:14" x14ac:dyDescent="0.35">
      <c r="A84" s="2">
        <v>127287</v>
      </c>
      <c r="B84" t="s">
        <v>1062</v>
      </c>
      <c r="C84" s="1" t="str">
        <f>VLOOKUP(Table1[[#This Row],[Name]],MountsByName[],2,FALSE)</f>
        <v>Dragon Turtle</v>
      </c>
      <c r="D84" s="1">
        <f>VLOOKUP(Table1[[#This Row],[Name]],MountsByName[],3,FALSE)</f>
        <v>1</v>
      </c>
      <c r="E84" s="1">
        <f>VLOOKUP(Table1[[#This Row],[Name]],MountsByName[],4,FALSE)</f>
        <v>1</v>
      </c>
      <c r="F84" s="1">
        <f>VLOOKUP(Table1[[#This Row],[Name]],MountsByName[],5,FALSE)</f>
        <v>0</v>
      </c>
      <c r="G84" s="1">
        <f>VLOOKUP(Table1[[#This Row],[Name]],MountsByName[],6,FALSE)</f>
        <v>1</v>
      </c>
      <c r="H84" s="1">
        <f>VLOOKUP(Table1[[#This Row],[Name]],MountsByName[],7,FALSE)</f>
        <v>0</v>
      </c>
      <c r="I84" s="1">
        <f>VLOOKUP(Table1[[#This Row],[Name]],MountsByName[],8,FALSE)</f>
        <v>0</v>
      </c>
      <c r="J84" s="1">
        <f>VLOOKUP(Table1[[#This Row],[Name]],MountsByName[],9,FALSE)</f>
        <v>0</v>
      </c>
      <c r="K84" s="1">
        <f>VLOOKUP(Table1[[#This Row],[Name]],MountsByName[],10,FALSE)</f>
        <v>0</v>
      </c>
      <c r="L84" s="1">
        <f>VLOOKUP(Table1[[#This Row],[Name]],MountsByName[],11,FALSE)</f>
        <v>0</v>
      </c>
      <c r="M84" s="1">
        <f>VLOOKUP(Table1[[#This Row],[Name]],MountsByName[],12,FALSE)</f>
        <v>1</v>
      </c>
      <c r="N8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[127287] ={"Blue Dragon Turtle", 127287, 0, 1, 1, 0, "Dragon Turtle", "0", 1, 0},</v>
      </c>
    </row>
    <row r="85" spans="1:14" x14ac:dyDescent="0.35">
      <c r="A85" s="2">
        <v>127288</v>
      </c>
      <c r="B85" t="s">
        <v>1128</v>
      </c>
      <c r="C85" s="1" t="str">
        <f>VLOOKUP(Table1[[#This Row],[Name]],MountsByName[],2,FALSE)</f>
        <v>Dragon Turtle</v>
      </c>
      <c r="D85" s="1">
        <f>VLOOKUP(Table1[[#This Row],[Name]],MountsByName[],3,FALSE)</f>
        <v>1</v>
      </c>
      <c r="E85" s="1">
        <f>VLOOKUP(Table1[[#This Row],[Name]],MountsByName[],4,FALSE)</f>
        <v>1</v>
      </c>
      <c r="F85" s="1">
        <f>VLOOKUP(Table1[[#This Row],[Name]],MountsByName[],5,FALSE)</f>
        <v>0</v>
      </c>
      <c r="G85" s="1">
        <f>VLOOKUP(Table1[[#This Row],[Name]],MountsByName[],6,FALSE)</f>
        <v>1</v>
      </c>
      <c r="H85" s="1">
        <f>VLOOKUP(Table1[[#This Row],[Name]],MountsByName[],7,FALSE)</f>
        <v>0</v>
      </c>
      <c r="I85" s="1">
        <f>VLOOKUP(Table1[[#This Row],[Name]],MountsByName[],8,FALSE)</f>
        <v>0</v>
      </c>
      <c r="J85" s="1">
        <f>VLOOKUP(Table1[[#This Row],[Name]],MountsByName[],9,FALSE)</f>
        <v>0</v>
      </c>
      <c r="K85" s="1">
        <f>VLOOKUP(Table1[[#This Row],[Name]],MountsByName[],10,FALSE)</f>
        <v>0</v>
      </c>
      <c r="L85" s="1">
        <f>VLOOKUP(Table1[[#This Row],[Name]],MountsByName[],11,FALSE)</f>
        <v>0</v>
      </c>
      <c r="M85" s="1">
        <f>VLOOKUP(Table1[[#This Row],[Name]],MountsByName[],12,FALSE)</f>
        <v>1</v>
      </c>
      <c r="N8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[127288] ={"Brown Dragon Turtle", 127288, 0, 1, 1, 0, "Dragon Turtle", "0", 1, 0},</v>
      </c>
    </row>
    <row r="86" spans="1:14" x14ac:dyDescent="0.35">
      <c r="A86" s="2">
        <v>127289</v>
      </c>
      <c r="B86" t="s">
        <v>1135</v>
      </c>
      <c r="C86" s="1" t="str">
        <f>VLOOKUP(Table1[[#This Row],[Name]],MountsByName[],2,FALSE)</f>
        <v>Dragon Turtle</v>
      </c>
      <c r="D86" s="1">
        <f>VLOOKUP(Table1[[#This Row],[Name]],MountsByName[],3,FALSE)</f>
        <v>1</v>
      </c>
      <c r="E86" s="1">
        <f>VLOOKUP(Table1[[#This Row],[Name]],MountsByName[],4,FALSE)</f>
        <v>1</v>
      </c>
      <c r="F86" s="1">
        <f>VLOOKUP(Table1[[#This Row],[Name]],MountsByName[],5,FALSE)</f>
        <v>0</v>
      </c>
      <c r="G86" s="1">
        <f>VLOOKUP(Table1[[#This Row],[Name]],MountsByName[],6,FALSE)</f>
        <v>1</v>
      </c>
      <c r="H86" s="1">
        <f>VLOOKUP(Table1[[#This Row],[Name]],MountsByName[],7,FALSE)</f>
        <v>0</v>
      </c>
      <c r="I86" s="1">
        <f>VLOOKUP(Table1[[#This Row],[Name]],MountsByName[],8,FALSE)</f>
        <v>0</v>
      </c>
      <c r="J86" s="1">
        <f>VLOOKUP(Table1[[#This Row],[Name]],MountsByName[],9,FALSE)</f>
        <v>0</v>
      </c>
      <c r="K86" s="1">
        <f>VLOOKUP(Table1[[#This Row],[Name]],MountsByName[],10,FALSE)</f>
        <v>0</v>
      </c>
      <c r="L86" s="1">
        <f>VLOOKUP(Table1[[#This Row],[Name]],MountsByName[],11,FALSE)</f>
        <v>0</v>
      </c>
      <c r="M86" s="1">
        <f>VLOOKUP(Table1[[#This Row],[Name]],MountsByName[],12,FALSE)</f>
        <v>1</v>
      </c>
      <c r="N8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[127289] ={"Purple Dragon Turtle", 127289, 0, 1, 1, 0, "Dragon Turtle", "0", 1, 0},</v>
      </c>
    </row>
    <row r="87" spans="1:14" x14ac:dyDescent="0.35">
      <c r="A87" s="2">
        <v>127290</v>
      </c>
      <c r="B87" t="s">
        <v>1129</v>
      </c>
      <c r="C87" s="1" t="str">
        <f>VLOOKUP(Table1[[#This Row],[Name]],MountsByName[],2,FALSE)</f>
        <v>Dragon Turtle</v>
      </c>
      <c r="D87" s="1">
        <f>VLOOKUP(Table1[[#This Row],[Name]],MountsByName[],3,FALSE)</f>
        <v>1</v>
      </c>
      <c r="E87" s="1">
        <f>VLOOKUP(Table1[[#This Row],[Name]],MountsByName[],4,FALSE)</f>
        <v>1</v>
      </c>
      <c r="F87" s="1">
        <f>VLOOKUP(Table1[[#This Row],[Name]],MountsByName[],5,FALSE)</f>
        <v>0</v>
      </c>
      <c r="G87" s="1">
        <f>VLOOKUP(Table1[[#This Row],[Name]],MountsByName[],6,FALSE)</f>
        <v>1</v>
      </c>
      <c r="H87" s="1">
        <f>VLOOKUP(Table1[[#This Row],[Name]],MountsByName[],7,FALSE)</f>
        <v>0</v>
      </c>
      <c r="I87" s="1">
        <f>VLOOKUP(Table1[[#This Row],[Name]],MountsByName[],8,FALSE)</f>
        <v>0</v>
      </c>
      <c r="J87" s="1">
        <f>VLOOKUP(Table1[[#This Row],[Name]],MountsByName[],9,FALSE)</f>
        <v>0</v>
      </c>
      <c r="K87" s="1">
        <f>VLOOKUP(Table1[[#This Row],[Name]],MountsByName[],10,FALSE)</f>
        <v>0</v>
      </c>
      <c r="L87" s="1">
        <f>VLOOKUP(Table1[[#This Row],[Name]],MountsByName[],11,FALSE)</f>
        <v>0</v>
      </c>
      <c r="M87" s="1">
        <f>VLOOKUP(Table1[[#This Row],[Name]],MountsByName[],12,FALSE)</f>
        <v>1</v>
      </c>
      <c r="N8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[127290] ={"Red Dragon Turtle", 127290, 0, 1, 1, 0, "Dragon Turtle", "0", 1, 0},</v>
      </c>
    </row>
    <row r="88" spans="1:14" x14ac:dyDescent="0.35">
      <c r="A88" s="2">
        <v>127293</v>
      </c>
      <c r="B88" t="s">
        <v>1143</v>
      </c>
      <c r="C88" s="1" t="str">
        <f>VLOOKUP(Table1[[#This Row],[Name]],MountsByName[],2,FALSE)</f>
        <v>Dragon Turtle</v>
      </c>
      <c r="D88" s="1">
        <f>VLOOKUP(Table1[[#This Row],[Name]],MountsByName[],3,FALSE)</f>
        <v>1</v>
      </c>
      <c r="E88" s="1">
        <f>VLOOKUP(Table1[[#This Row],[Name]],MountsByName[],4,FALSE)</f>
        <v>1</v>
      </c>
      <c r="F88" s="1">
        <f>VLOOKUP(Table1[[#This Row],[Name]],MountsByName[],5,FALSE)</f>
        <v>0</v>
      </c>
      <c r="G88" s="1">
        <f>VLOOKUP(Table1[[#This Row],[Name]],MountsByName[],6,FALSE)</f>
        <v>1</v>
      </c>
      <c r="H88" s="1">
        <f>VLOOKUP(Table1[[#This Row],[Name]],MountsByName[],7,FALSE)</f>
        <v>0</v>
      </c>
      <c r="I88" s="1">
        <f>VLOOKUP(Table1[[#This Row],[Name]],MountsByName[],8,FALSE)</f>
        <v>0</v>
      </c>
      <c r="J88" s="1">
        <f>VLOOKUP(Table1[[#This Row],[Name]],MountsByName[],9,FALSE)</f>
        <v>0</v>
      </c>
      <c r="K88" s="1">
        <f>VLOOKUP(Table1[[#This Row],[Name]],MountsByName[],10,FALSE)</f>
        <v>0</v>
      </c>
      <c r="L88" s="1">
        <f>VLOOKUP(Table1[[#This Row],[Name]],MountsByName[],11,FALSE)</f>
        <v>0</v>
      </c>
      <c r="M88" s="1">
        <f>VLOOKUP(Table1[[#This Row],[Name]],MountsByName[],12,FALSE)</f>
        <v>1</v>
      </c>
      <c r="N8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[127293] ={"Great Green Dragon Turtle", 127293, 0, 1, 1, 0, "Dragon Turtle", "0", 1, 0},</v>
      </c>
    </row>
    <row r="89" spans="1:14" x14ac:dyDescent="0.35">
      <c r="A89" s="2">
        <v>127295</v>
      </c>
      <c r="B89" t="s">
        <v>1148</v>
      </c>
      <c r="C89" s="1" t="str">
        <f>VLOOKUP(Table1[[#This Row],[Name]],MountsByName[],2,FALSE)</f>
        <v>Dragon Turtle</v>
      </c>
      <c r="D89" s="1">
        <f>VLOOKUP(Table1[[#This Row],[Name]],MountsByName[],3,FALSE)</f>
        <v>1</v>
      </c>
      <c r="E89" s="1">
        <f>VLOOKUP(Table1[[#This Row],[Name]],MountsByName[],4,FALSE)</f>
        <v>1</v>
      </c>
      <c r="F89" s="1">
        <f>VLOOKUP(Table1[[#This Row],[Name]],MountsByName[],5,FALSE)</f>
        <v>0</v>
      </c>
      <c r="G89" s="1">
        <f>VLOOKUP(Table1[[#This Row],[Name]],MountsByName[],6,FALSE)</f>
        <v>1</v>
      </c>
      <c r="H89" s="1">
        <f>VLOOKUP(Table1[[#This Row],[Name]],MountsByName[],7,FALSE)</f>
        <v>0</v>
      </c>
      <c r="I89" s="1">
        <f>VLOOKUP(Table1[[#This Row],[Name]],MountsByName[],8,FALSE)</f>
        <v>0</v>
      </c>
      <c r="J89" s="1">
        <f>VLOOKUP(Table1[[#This Row],[Name]],MountsByName[],9,FALSE)</f>
        <v>0</v>
      </c>
      <c r="K89" s="1">
        <f>VLOOKUP(Table1[[#This Row],[Name]],MountsByName[],10,FALSE)</f>
        <v>0</v>
      </c>
      <c r="L89" s="1">
        <f>VLOOKUP(Table1[[#This Row],[Name]],MountsByName[],11,FALSE)</f>
        <v>0</v>
      </c>
      <c r="M89" s="1">
        <f>VLOOKUP(Table1[[#This Row],[Name]],MountsByName[],12,FALSE)</f>
        <v>1</v>
      </c>
      <c r="N8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[127295] ={"Great Black Dragon Turtle", 127295, 0, 1, 1, 0, "Dragon Turtle", "0", 1, 0},</v>
      </c>
    </row>
    <row r="90" spans="1:14" x14ac:dyDescent="0.35">
      <c r="A90" s="2">
        <v>127302</v>
      </c>
      <c r="B90" t="s">
        <v>1031</v>
      </c>
      <c r="C90" s="1" t="str">
        <f>VLOOKUP(Table1[[#This Row],[Name]],MountsByName[],2,FALSE)</f>
        <v>Dragon Turtle</v>
      </c>
      <c r="D90" s="1">
        <f>VLOOKUP(Table1[[#This Row],[Name]],MountsByName[],3,FALSE)</f>
        <v>1</v>
      </c>
      <c r="E90" s="1">
        <f>VLOOKUP(Table1[[#This Row],[Name]],MountsByName[],4,FALSE)</f>
        <v>1</v>
      </c>
      <c r="F90" s="1">
        <f>VLOOKUP(Table1[[#This Row],[Name]],MountsByName[],5,FALSE)</f>
        <v>0</v>
      </c>
      <c r="G90" s="1">
        <f>VLOOKUP(Table1[[#This Row],[Name]],MountsByName[],6,FALSE)</f>
        <v>1</v>
      </c>
      <c r="H90" s="1">
        <f>VLOOKUP(Table1[[#This Row],[Name]],MountsByName[],7,FALSE)</f>
        <v>0</v>
      </c>
      <c r="I90" s="1">
        <f>VLOOKUP(Table1[[#This Row],[Name]],MountsByName[],8,FALSE)</f>
        <v>0</v>
      </c>
      <c r="J90" s="1">
        <f>VLOOKUP(Table1[[#This Row],[Name]],MountsByName[],9,FALSE)</f>
        <v>0</v>
      </c>
      <c r="K90" s="1">
        <f>VLOOKUP(Table1[[#This Row],[Name]],MountsByName[],10,FALSE)</f>
        <v>0</v>
      </c>
      <c r="L90" s="1">
        <f>VLOOKUP(Table1[[#This Row],[Name]],MountsByName[],11,FALSE)</f>
        <v>0</v>
      </c>
      <c r="M90" s="1">
        <f>VLOOKUP(Table1[[#This Row],[Name]],MountsByName[],12,FALSE)</f>
        <v>1</v>
      </c>
      <c r="N9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[127302] ={"Great Blue Dragon Turtle", 127302, 0, 1, 1, 0, "Dragon Turtle", "0", 1, 0},</v>
      </c>
    </row>
    <row r="91" spans="1:14" x14ac:dyDescent="0.35">
      <c r="A91" s="2">
        <v>127308</v>
      </c>
      <c r="B91" t="s">
        <v>1078</v>
      </c>
      <c r="C91" s="1" t="str">
        <f>VLOOKUP(Table1[[#This Row],[Name]],MountsByName[],2,FALSE)</f>
        <v>Dragon Turtle</v>
      </c>
      <c r="D91" s="1">
        <f>VLOOKUP(Table1[[#This Row],[Name]],MountsByName[],3,FALSE)</f>
        <v>1</v>
      </c>
      <c r="E91" s="1">
        <f>VLOOKUP(Table1[[#This Row],[Name]],MountsByName[],4,FALSE)</f>
        <v>1</v>
      </c>
      <c r="F91" s="1">
        <f>VLOOKUP(Table1[[#This Row],[Name]],MountsByName[],5,FALSE)</f>
        <v>0</v>
      </c>
      <c r="G91" s="1">
        <f>VLOOKUP(Table1[[#This Row],[Name]],MountsByName[],6,FALSE)</f>
        <v>1</v>
      </c>
      <c r="H91" s="1">
        <f>VLOOKUP(Table1[[#This Row],[Name]],MountsByName[],7,FALSE)</f>
        <v>0</v>
      </c>
      <c r="I91" s="1">
        <f>VLOOKUP(Table1[[#This Row],[Name]],MountsByName[],8,FALSE)</f>
        <v>0</v>
      </c>
      <c r="J91" s="1">
        <f>VLOOKUP(Table1[[#This Row],[Name]],MountsByName[],9,FALSE)</f>
        <v>0</v>
      </c>
      <c r="K91" s="1">
        <f>VLOOKUP(Table1[[#This Row],[Name]],MountsByName[],10,FALSE)</f>
        <v>0</v>
      </c>
      <c r="L91" s="1">
        <f>VLOOKUP(Table1[[#This Row],[Name]],MountsByName[],11,FALSE)</f>
        <v>0</v>
      </c>
      <c r="M91" s="1">
        <f>VLOOKUP(Table1[[#This Row],[Name]],MountsByName[],12,FALSE)</f>
        <v>1</v>
      </c>
      <c r="N91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[127308] ={"Great Brown Dragon Turtle", 127308, 0, 1, 1, 0, "Dragon Turtle", "0", 1, 0},</v>
      </c>
    </row>
    <row r="92" spans="1:14" x14ac:dyDescent="0.35">
      <c r="A92" s="2">
        <v>127310</v>
      </c>
      <c r="B92" t="s">
        <v>1082</v>
      </c>
      <c r="C92" s="1" t="str">
        <f>VLOOKUP(Table1[[#This Row],[Name]],MountsByName[],2,FALSE)</f>
        <v>Dragon Turtle</v>
      </c>
      <c r="D92" s="1">
        <f>VLOOKUP(Table1[[#This Row],[Name]],MountsByName[],3,FALSE)</f>
        <v>1</v>
      </c>
      <c r="E92" s="1">
        <f>VLOOKUP(Table1[[#This Row],[Name]],MountsByName[],4,FALSE)</f>
        <v>1</v>
      </c>
      <c r="F92" s="1">
        <f>VLOOKUP(Table1[[#This Row],[Name]],MountsByName[],5,FALSE)</f>
        <v>0</v>
      </c>
      <c r="G92" s="1">
        <f>VLOOKUP(Table1[[#This Row],[Name]],MountsByName[],6,FALSE)</f>
        <v>1</v>
      </c>
      <c r="H92" s="1">
        <f>VLOOKUP(Table1[[#This Row],[Name]],MountsByName[],7,FALSE)</f>
        <v>0</v>
      </c>
      <c r="I92" s="1">
        <f>VLOOKUP(Table1[[#This Row],[Name]],MountsByName[],8,FALSE)</f>
        <v>0</v>
      </c>
      <c r="J92" s="1">
        <f>VLOOKUP(Table1[[#This Row],[Name]],MountsByName[],9,FALSE)</f>
        <v>0</v>
      </c>
      <c r="K92" s="1">
        <f>VLOOKUP(Table1[[#This Row],[Name]],MountsByName[],10,FALSE)</f>
        <v>0</v>
      </c>
      <c r="L92" s="1">
        <f>VLOOKUP(Table1[[#This Row],[Name]],MountsByName[],11,FALSE)</f>
        <v>0</v>
      </c>
      <c r="M92" s="1">
        <f>VLOOKUP(Table1[[#This Row],[Name]],MountsByName[],12,FALSE)</f>
        <v>1</v>
      </c>
      <c r="N9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[127310] ={"Great Purple Dragon Turtle", 127310, 0, 1, 1, 0, "Dragon Turtle", "0", 1, 0},</v>
      </c>
    </row>
    <row r="93" spans="1:14" x14ac:dyDescent="0.35">
      <c r="A93" s="2">
        <v>61996</v>
      </c>
      <c r="B93" t="s">
        <v>15</v>
      </c>
      <c r="C93" s="1" t="str">
        <f>VLOOKUP(Table1[[#This Row],[Name]],MountsByName[],2,FALSE)</f>
        <v>DragonHawk</v>
      </c>
      <c r="D93" s="1">
        <f>VLOOKUP(Table1[[#This Row],[Name]],MountsByName[],3,FALSE)</f>
        <v>2.8</v>
      </c>
      <c r="E93" s="1">
        <f>VLOOKUP(Table1[[#This Row],[Name]],MountsByName[],4,FALSE)</f>
        <v>2.8</v>
      </c>
      <c r="F93" s="1">
        <f>VLOOKUP(Table1[[#This Row],[Name]],MountsByName[],5,FALSE)</f>
        <v>0</v>
      </c>
      <c r="G93" s="1">
        <f>VLOOKUP(Table1[[#This Row],[Name]],MountsByName[],6,FALSE)</f>
        <v>1</v>
      </c>
      <c r="H93" s="1">
        <f>VLOOKUP(Table1[[#This Row],[Name]],MountsByName[],7,FALSE)</f>
        <v>0</v>
      </c>
      <c r="I93" s="1">
        <f>VLOOKUP(Table1[[#This Row],[Name]],MountsByName[],8,FALSE)</f>
        <v>44843</v>
      </c>
      <c r="J93" s="1" t="str">
        <f>VLOOKUP(Table1[[#This Row],[Name]],MountsByName[],9,FALSE)</f>
        <v>Achievment</v>
      </c>
      <c r="K93" s="1">
        <f>VLOOKUP(Table1[[#This Row],[Name]],MountsByName[],10,FALSE)</f>
        <v>1</v>
      </c>
      <c r="L93" s="1">
        <f>VLOOKUP(Table1[[#This Row],[Name]],MountsByName[],11,FALSE)</f>
        <v>0</v>
      </c>
      <c r="M93" s="1">
        <f>VLOOKUP(Table1[[#This Row],[Name]],MountsByName[],12,FALSE)</f>
        <v>1</v>
      </c>
      <c r="N9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[61996] ={"Blue Dragonhawk", 61996, 44843, 2.8, 2.8, 0, "DragonHawk", "Achievment", 1, 0},</v>
      </c>
    </row>
    <row r="94" spans="1:14" x14ac:dyDescent="0.35">
      <c r="A94" s="2">
        <v>61997</v>
      </c>
      <c r="B94" t="s">
        <v>48</v>
      </c>
      <c r="C94" s="1" t="str">
        <f>VLOOKUP(Table1[[#This Row],[Name]],MountsByName[],2,FALSE)</f>
        <v>DragonHawk</v>
      </c>
      <c r="D94" s="1">
        <f>VLOOKUP(Table1[[#This Row],[Name]],MountsByName[],3,FALSE)</f>
        <v>2.8</v>
      </c>
      <c r="E94" s="1">
        <f>VLOOKUP(Table1[[#This Row],[Name]],MountsByName[],4,FALSE)</f>
        <v>2.8</v>
      </c>
      <c r="F94" s="1">
        <f>VLOOKUP(Table1[[#This Row],[Name]],MountsByName[],5,FALSE)</f>
        <v>0</v>
      </c>
      <c r="G94" s="1">
        <f>VLOOKUP(Table1[[#This Row],[Name]],MountsByName[],6,FALSE)</f>
        <v>1</v>
      </c>
      <c r="H94" s="1">
        <f>VLOOKUP(Table1[[#This Row],[Name]],MountsByName[],7,FALSE)</f>
        <v>0</v>
      </c>
      <c r="I94" s="1">
        <f>VLOOKUP(Table1[[#This Row],[Name]],MountsByName[],8,FALSE)</f>
        <v>44842</v>
      </c>
      <c r="J94" s="1" t="str">
        <f>VLOOKUP(Table1[[#This Row],[Name]],MountsByName[],9,FALSE)</f>
        <v>Achievment</v>
      </c>
      <c r="K94" s="1">
        <f>VLOOKUP(Table1[[#This Row],[Name]],MountsByName[],10,FALSE)</f>
        <v>0</v>
      </c>
      <c r="L94" s="1">
        <f>VLOOKUP(Table1[[#This Row],[Name]],MountsByName[],11,FALSE)</f>
        <v>1</v>
      </c>
      <c r="M94" s="1">
        <f>VLOOKUP(Table1[[#This Row],[Name]],MountsByName[],12,FALSE)</f>
        <v>1</v>
      </c>
      <c r="N9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[61997] ={"Red Dragonhawk", 61997, 44842, 2.8, 2.8, 0, "DragonHawk", "Achievment", 1, 0},</v>
      </c>
    </row>
    <row r="95" spans="1:14" x14ac:dyDescent="0.35">
      <c r="A95" s="2">
        <v>62048</v>
      </c>
      <c r="B95" t="s">
        <v>11</v>
      </c>
      <c r="C95" s="1" t="str">
        <f>VLOOKUP(Table1[[#This Row],[Name]],MountsByName[],2,FALSE)</f>
        <v>DragonHawk</v>
      </c>
      <c r="D95" s="1">
        <f>VLOOKUP(Table1[[#This Row],[Name]],MountsByName[],3,FALSE)</f>
        <v>2.8</v>
      </c>
      <c r="E95" s="1">
        <f>VLOOKUP(Table1[[#This Row],[Name]],MountsByName[],4,FALSE)</f>
        <v>2.8</v>
      </c>
      <c r="F95" s="1">
        <f>VLOOKUP(Table1[[#This Row],[Name]],MountsByName[],5,FALSE)</f>
        <v>0</v>
      </c>
      <c r="G95" s="1">
        <f>VLOOKUP(Table1[[#This Row],[Name]],MountsByName[],6,FALSE)</f>
        <v>1</v>
      </c>
      <c r="H95" s="1">
        <f>VLOOKUP(Table1[[#This Row],[Name]],MountsByName[],7,FALSE)</f>
        <v>0</v>
      </c>
      <c r="I95" s="1">
        <f>VLOOKUP(Table1[[#This Row],[Name]],MountsByName[],8,FALSE)</f>
        <v>44857</v>
      </c>
      <c r="J95" s="1" t="str">
        <f>VLOOKUP(Table1[[#This Row],[Name]],MountsByName[],9,FALSE)</f>
        <v>Removed</v>
      </c>
      <c r="K95" s="1">
        <f>VLOOKUP(Table1[[#This Row],[Name]],MountsByName[],10,FALSE)</f>
        <v>1</v>
      </c>
      <c r="L95" s="1">
        <f>VLOOKUP(Table1[[#This Row],[Name]],MountsByName[],11,FALSE)</f>
        <v>1</v>
      </c>
      <c r="M95" s="1">
        <f>VLOOKUP(Table1[[#This Row],[Name]],MountsByName[],12,FALSE)</f>
        <v>1</v>
      </c>
      <c r="N9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[62048] ={"Black Dragonhawk Mount", 62048, 44857, 2.8, 2.8, 0, "DragonHawk", "Removed", 1, 0},</v>
      </c>
    </row>
    <row r="96" spans="1:14" x14ac:dyDescent="0.35">
      <c r="A96" s="2">
        <v>66088</v>
      </c>
      <c r="B96" t="s">
        <v>57</v>
      </c>
      <c r="C96" s="1" t="str">
        <f>VLOOKUP(Table1[[#This Row],[Name]],MountsByName[],2,FALSE)</f>
        <v>DragonHawk</v>
      </c>
      <c r="D96" s="1">
        <f>VLOOKUP(Table1[[#This Row],[Name]],MountsByName[],3,FALSE)</f>
        <v>2.8</v>
      </c>
      <c r="E96" s="1">
        <f>VLOOKUP(Table1[[#This Row],[Name]],MountsByName[],4,FALSE)</f>
        <v>2.8</v>
      </c>
      <c r="F96" s="1">
        <f>VLOOKUP(Table1[[#This Row],[Name]],MountsByName[],5,FALSE)</f>
        <v>0</v>
      </c>
      <c r="G96" s="1">
        <f>VLOOKUP(Table1[[#This Row],[Name]],MountsByName[],6,FALSE)</f>
        <v>1</v>
      </c>
      <c r="H96" s="1">
        <f>VLOOKUP(Table1[[#This Row],[Name]],MountsByName[],7,FALSE)</f>
        <v>0</v>
      </c>
      <c r="I96" s="1">
        <f>VLOOKUP(Table1[[#This Row],[Name]],MountsByName[],8,FALSE)</f>
        <v>46814</v>
      </c>
      <c r="J96" s="1" t="str">
        <f>VLOOKUP(Table1[[#This Row],[Name]],MountsByName[],9,FALSE)</f>
        <v>Champion's Seals</v>
      </c>
      <c r="K96" s="1">
        <f>VLOOKUP(Table1[[#This Row],[Name]],MountsByName[],10,FALSE)</f>
        <v>0</v>
      </c>
      <c r="L96" s="1">
        <f>VLOOKUP(Table1[[#This Row],[Name]],MountsByName[],11,FALSE)</f>
        <v>1</v>
      </c>
      <c r="M96" s="1">
        <f>VLOOKUP(Table1[[#This Row],[Name]],MountsByName[],12,FALSE)</f>
        <v>1</v>
      </c>
      <c r="N9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[66088] ={"Sunreaver Dragonhawk", 66088, 46814, 2.8, 2.8, 0, "DragonHawk", "Champion's Seals", 1, 0},</v>
      </c>
    </row>
    <row r="97" spans="1:14" x14ac:dyDescent="0.35">
      <c r="A97" s="2">
        <v>96503</v>
      </c>
      <c r="B97" t="s">
        <v>532</v>
      </c>
      <c r="C97" s="1" t="str">
        <f>VLOOKUP(Table1[[#This Row],[Name]],MountsByName[],2,FALSE)</f>
        <v>DragonHawk</v>
      </c>
      <c r="D97" s="1">
        <f>VLOOKUP(Table1[[#This Row],[Name]],MountsByName[],3,FALSE)</f>
        <v>2.8</v>
      </c>
      <c r="E97" s="1">
        <f>VLOOKUP(Table1[[#This Row],[Name]],MountsByName[],4,FALSE)</f>
        <v>2.8</v>
      </c>
      <c r="F97" s="1">
        <f>VLOOKUP(Table1[[#This Row],[Name]],MountsByName[],5,FALSE)</f>
        <v>0</v>
      </c>
      <c r="G97" s="1">
        <f>VLOOKUP(Table1[[#This Row],[Name]],MountsByName[],6,FALSE)</f>
        <v>1</v>
      </c>
      <c r="H97" s="1">
        <f>VLOOKUP(Table1[[#This Row],[Name]],MountsByName[],7,FALSE)</f>
        <v>0</v>
      </c>
      <c r="I97" s="1">
        <f>VLOOKUP(Table1[[#This Row],[Name]],MountsByName[],8,FALSE)</f>
        <v>0</v>
      </c>
      <c r="J97" s="1">
        <f>VLOOKUP(Table1[[#This Row],[Name]],MountsByName[],9,FALSE)</f>
        <v>0</v>
      </c>
      <c r="K97" s="1">
        <f>VLOOKUP(Table1[[#This Row],[Name]],MountsByName[],10,FALSE)</f>
        <v>0</v>
      </c>
      <c r="L97" s="1">
        <f>VLOOKUP(Table1[[#This Row],[Name]],MountsByName[],11,FALSE)</f>
        <v>0</v>
      </c>
      <c r="M97" s="1">
        <f>VLOOKUP(Table1[[#This Row],[Name]],MountsByName[],12,FALSE)</f>
        <v>1</v>
      </c>
      <c r="N9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[96503] ={"Amani Dragonhawk", 96503, 0, 2.8, 2.8, 0, "DragonHawk", "0", 1, 0},</v>
      </c>
    </row>
    <row r="98" spans="1:14" x14ac:dyDescent="0.35">
      <c r="A98" s="2">
        <v>142266</v>
      </c>
      <c r="B98" t="s">
        <v>1040</v>
      </c>
      <c r="C98" s="1" t="str">
        <f>VLOOKUP(Table1[[#This Row],[Name]],MountsByName[],2,FALSE)</f>
        <v>DragonHawk</v>
      </c>
      <c r="D98" s="1">
        <f>VLOOKUP(Table1[[#This Row],[Name]],MountsByName[],3,FALSE)</f>
        <v>2.8</v>
      </c>
      <c r="E98" s="1">
        <f>VLOOKUP(Table1[[#This Row],[Name]],MountsByName[],4,FALSE)</f>
        <v>2.8</v>
      </c>
      <c r="F98" s="1">
        <f>VLOOKUP(Table1[[#This Row],[Name]],MountsByName[],5,FALSE)</f>
        <v>0</v>
      </c>
      <c r="G98" s="1">
        <f>VLOOKUP(Table1[[#This Row],[Name]],MountsByName[],6,FALSE)</f>
        <v>1</v>
      </c>
      <c r="H98" s="1">
        <f>VLOOKUP(Table1[[#This Row],[Name]],MountsByName[],7,FALSE)</f>
        <v>0</v>
      </c>
      <c r="I98" s="1">
        <f>VLOOKUP(Table1[[#This Row],[Name]],MountsByName[],8,FALSE)</f>
        <v>0</v>
      </c>
      <c r="J98" s="1">
        <f>VLOOKUP(Table1[[#This Row],[Name]],MountsByName[],9,FALSE)</f>
        <v>0</v>
      </c>
      <c r="K98" s="1">
        <f>VLOOKUP(Table1[[#This Row],[Name]],MountsByName[],10,FALSE)</f>
        <v>0</v>
      </c>
      <c r="L98" s="1">
        <f>VLOOKUP(Table1[[#This Row],[Name]],MountsByName[],11,FALSE)</f>
        <v>0</v>
      </c>
      <c r="M98" s="1">
        <f>VLOOKUP(Table1[[#This Row],[Name]],MountsByName[],12,FALSE)</f>
        <v>1</v>
      </c>
      <c r="N9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[142266] ={"Armored Red Dragonhawk", 142266, 0, 2.8, 2.8, 0, "DragonHawk", "0", 1, 0},</v>
      </c>
    </row>
    <row r="99" spans="1:14" x14ac:dyDescent="0.35">
      <c r="A99" s="2">
        <v>142478</v>
      </c>
      <c r="B99" t="s">
        <v>1039</v>
      </c>
      <c r="C99" s="1" t="str">
        <f>VLOOKUP(Table1[[#This Row],[Name]],MountsByName[],2,FALSE)</f>
        <v>DragonHawk</v>
      </c>
      <c r="D99" s="1">
        <f>VLOOKUP(Table1[[#This Row],[Name]],MountsByName[],3,FALSE)</f>
        <v>2.8</v>
      </c>
      <c r="E99" s="1">
        <f>VLOOKUP(Table1[[#This Row],[Name]],MountsByName[],4,FALSE)</f>
        <v>2.8</v>
      </c>
      <c r="F99" s="1">
        <f>VLOOKUP(Table1[[#This Row],[Name]],MountsByName[],5,FALSE)</f>
        <v>0</v>
      </c>
      <c r="G99" s="1">
        <f>VLOOKUP(Table1[[#This Row],[Name]],MountsByName[],6,FALSE)</f>
        <v>1</v>
      </c>
      <c r="H99" s="1">
        <f>VLOOKUP(Table1[[#This Row],[Name]],MountsByName[],7,FALSE)</f>
        <v>0</v>
      </c>
      <c r="I99" s="1">
        <f>VLOOKUP(Table1[[#This Row],[Name]],MountsByName[],8,FALSE)</f>
        <v>0</v>
      </c>
      <c r="J99" s="1">
        <f>VLOOKUP(Table1[[#This Row],[Name]],MountsByName[],9,FALSE)</f>
        <v>0</v>
      </c>
      <c r="K99" s="1">
        <f>VLOOKUP(Table1[[#This Row],[Name]],MountsByName[],10,FALSE)</f>
        <v>0</v>
      </c>
      <c r="L99" s="1">
        <f>VLOOKUP(Table1[[#This Row],[Name]],MountsByName[],11,FALSE)</f>
        <v>0</v>
      </c>
      <c r="M99" s="1">
        <f>VLOOKUP(Table1[[#This Row],[Name]],MountsByName[],12,FALSE)</f>
        <v>1</v>
      </c>
      <c r="N9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[142478] ={"Armored Blue Dragonhawk", 142478, 0, 2.8, 2.8, 0, "DragonHawk", "0", 1, 0},</v>
      </c>
    </row>
    <row r="100" spans="1:14" x14ac:dyDescent="0.35">
      <c r="A100" s="2">
        <v>59567</v>
      </c>
      <c r="B100" t="s">
        <v>9</v>
      </c>
      <c r="C100" s="1" t="str">
        <f>VLOOKUP(Table1[[#This Row],[Name]],MountsByName[],2,FALSE)</f>
        <v>Drake</v>
      </c>
      <c r="D100" s="1">
        <f>VLOOKUP(Table1[[#This Row],[Name]],MountsByName[],3,FALSE)</f>
        <v>2.8</v>
      </c>
      <c r="E100" s="1">
        <f>VLOOKUP(Table1[[#This Row],[Name]],MountsByName[],4,FALSE)</f>
        <v>2.8</v>
      </c>
      <c r="F100" s="1">
        <f>VLOOKUP(Table1[[#This Row],[Name]],MountsByName[],5,FALSE)</f>
        <v>0</v>
      </c>
      <c r="G100" s="1">
        <f>VLOOKUP(Table1[[#This Row],[Name]],MountsByName[],6,FALSE)</f>
        <v>1</v>
      </c>
      <c r="H100" s="1">
        <f>VLOOKUP(Table1[[#This Row],[Name]],MountsByName[],7,FALSE)</f>
        <v>0</v>
      </c>
      <c r="I100" s="1">
        <f>VLOOKUP(Table1[[#This Row],[Name]],MountsByName[],8,FALSE)</f>
        <v>43952</v>
      </c>
      <c r="J100" s="1" t="str">
        <f>VLOOKUP(Table1[[#This Row],[Name]],MountsByName[],9,FALSE)</f>
        <v>Drop Eye of Eternity</v>
      </c>
      <c r="K100" s="1">
        <f>VLOOKUP(Table1[[#This Row],[Name]],MountsByName[],10,FALSE)</f>
        <v>1</v>
      </c>
      <c r="L100" s="1">
        <f>VLOOKUP(Table1[[#This Row],[Name]],MountsByName[],11,FALSE)</f>
        <v>1</v>
      </c>
      <c r="M100" s="1">
        <f>VLOOKUP(Table1[[#This Row],[Name]],MountsByName[],12,FALSE)</f>
        <v>1</v>
      </c>
      <c r="N10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[59567] ={"Azure Drake", 59567, 43952, 2.8, 2.8, 0, "Drake", "Drop Eye of Eternity", 1, 0},</v>
      </c>
    </row>
    <row r="101" spans="1:14" x14ac:dyDescent="0.35">
      <c r="A101" s="2">
        <v>59568</v>
      </c>
      <c r="B101" t="s">
        <v>16</v>
      </c>
      <c r="C101" s="1" t="str">
        <f>VLOOKUP(Table1[[#This Row],[Name]],MountsByName[],2,FALSE)</f>
        <v>Drake</v>
      </c>
      <c r="D101" s="1">
        <f>VLOOKUP(Table1[[#This Row],[Name]],MountsByName[],3,FALSE)</f>
        <v>2.8</v>
      </c>
      <c r="E101" s="1">
        <f>VLOOKUP(Table1[[#This Row],[Name]],MountsByName[],4,FALSE)</f>
        <v>2.8</v>
      </c>
      <c r="F101" s="1">
        <f>VLOOKUP(Table1[[#This Row],[Name]],MountsByName[],5,FALSE)</f>
        <v>0</v>
      </c>
      <c r="G101" s="1">
        <f>VLOOKUP(Table1[[#This Row],[Name]],MountsByName[],6,FALSE)</f>
        <v>1</v>
      </c>
      <c r="H101" s="1">
        <f>VLOOKUP(Table1[[#This Row],[Name]],MountsByName[],7,FALSE)</f>
        <v>0</v>
      </c>
      <c r="I101" s="1">
        <f>VLOOKUP(Table1[[#This Row],[Name]],MountsByName[],8,FALSE)</f>
        <v>43953</v>
      </c>
      <c r="J101" s="1" t="str">
        <f>VLOOKUP(Table1[[#This Row],[Name]],MountsByName[],9,FALSE)</f>
        <v>Drop, The Eye of Eternity</v>
      </c>
      <c r="K101" s="1">
        <f>VLOOKUP(Table1[[#This Row],[Name]],MountsByName[],10,FALSE)</f>
        <v>1</v>
      </c>
      <c r="L101" s="1">
        <f>VLOOKUP(Table1[[#This Row],[Name]],MountsByName[],11,FALSE)</f>
        <v>1</v>
      </c>
      <c r="M101" s="1">
        <f>VLOOKUP(Table1[[#This Row],[Name]],MountsByName[],12,FALSE)</f>
        <v>1</v>
      </c>
      <c r="N101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[59568] ={"Blue Drake", 59568, 43953, 2.8, 2.8, 0, "Drake", "Drop, The Eye of Eternity", 1, 0},</v>
      </c>
    </row>
    <row r="102" spans="1:14" x14ac:dyDescent="0.35">
      <c r="A102" s="2">
        <v>59569</v>
      </c>
      <c r="B102" t="s">
        <v>20</v>
      </c>
      <c r="C102" s="1" t="str">
        <f>VLOOKUP(Table1[[#This Row],[Name]],MountsByName[],2,FALSE)</f>
        <v>Drake</v>
      </c>
      <c r="D102" s="1">
        <f>VLOOKUP(Table1[[#This Row],[Name]],MountsByName[],3,FALSE)</f>
        <v>2.8</v>
      </c>
      <c r="E102" s="1">
        <f>VLOOKUP(Table1[[#This Row],[Name]],MountsByName[],4,FALSE)</f>
        <v>2.8</v>
      </c>
      <c r="F102" s="1">
        <f>VLOOKUP(Table1[[#This Row],[Name]],MountsByName[],5,FALSE)</f>
        <v>0</v>
      </c>
      <c r="G102" s="1">
        <f>VLOOKUP(Table1[[#This Row],[Name]],MountsByName[],6,FALSE)</f>
        <v>1</v>
      </c>
      <c r="H102" s="1">
        <f>VLOOKUP(Table1[[#This Row],[Name]],MountsByName[],7,FALSE)</f>
        <v>0</v>
      </c>
      <c r="I102" s="1">
        <f>VLOOKUP(Table1[[#This Row],[Name]],MountsByName[],8,FALSE)</f>
        <v>43951</v>
      </c>
      <c r="J102" s="1" t="str">
        <f>VLOOKUP(Table1[[#This Row],[Name]],MountsByName[],9,FALSE)</f>
        <v>Drop The Culling of Stratholme</v>
      </c>
      <c r="K102" s="1">
        <f>VLOOKUP(Table1[[#This Row],[Name]],MountsByName[],10,FALSE)</f>
        <v>1</v>
      </c>
      <c r="L102" s="1">
        <f>VLOOKUP(Table1[[#This Row],[Name]],MountsByName[],11,FALSE)</f>
        <v>1</v>
      </c>
      <c r="M102" s="1">
        <f>VLOOKUP(Table1[[#This Row],[Name]],MountsByName[],12,FALSE)</f>
        <v>1</v>
      </c>
      <c r="N10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[59569] ={"Bronze Drake", 59569, 43951, 2.8, 2.8, 0, "Drake", "Drop The Culling of Stratholme", 1, 0},</v>
      </c>
    </row>
    <row r="103" spans="1:14" x14ac:dyDescent="0.35">
      <c r="A103" s="2">
        <v>59570</v>
      </c>
      <c r="B103" t="s">
        <v>49</v>
      </c>
      <c r="C103" s="1" t="str">
        <f>VLOOKUP(Table1[[#This Row],[Name]],MountsByName[],2,FALSE)</f>
        <v>Drake</v>
      </c>
      <c r="D103" s="1">
        <f>VLOOKUP(Table1[[#This Row],[Name]],MountsByName[],3,FALSE)</f>
        <v>2.8</v>
      </c>
      <c r="E103" s="1">
        <f>VLOOKUP(Table1[[#This Row],[Name]],MountsByName[],4,FALSE)</f>
        <v>2.8</v>
      </c>
      <c r="F103" s="1">
        <f>VLOOKUP(Table1[[#This Row],[Name]],MountsByName[],5,FALSE)</f>
        <v>0</v>
      </c>
      <c r="G103" s="1">
        <f>VLOOKUP(Table1[[#This Row],[Name]],MountsByName[],6,FALSE)</f>
        <v>1</v>
      </c>
      <c r="H103" s="1">
        <f>VLOOKUP(Table1[[#This Row],[Name]],MountsByName[],7,FALSE)</f>
        <v>0</v>
      </c>
      <c r="I103" s="1">
        <f>VLOOKUP(Table1[[#This Row],[Name]],MountsByName[],8,FALSE)</f>
        <v>43955</v>
      </c>
      <c r="J103" s="1" t="str">
        <f>VLOOKUP(Table1[[#This Row],[Name]],MountsByName[],9,FALSE)</f>
        <v>Exalted, Wyrmrest Accord</v>
      </c>
      <c r="K103" s="1">
        <f>VLOOKUP(Table1[[#This Row],[Name]],MountsByName[],10,FALSE)</f>
        <v>1</v>
      </c>
      <c r="L103" s="1">
        <f>VLOOKUP(Table1[[#This Row],[Name]],MountsByName[],11,FALSE)</f>
        <v>1</v>
      </c>
      <c r="M103" s="1">
        <f>VLOOKUP(Table1[[#This Row],[Name]],MountsByName[],12,FALSE)</f>
        <v>1</v>
      </c>
      <c r="N10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[59570] ={"Red Drake", 59570, 43955, 2.8, 2.8, 0, "Drake", "Exalted, Wyrmrest Accord", 1, 0},</v>
      </c>
    </row>
    <row r="104" spans="1:14" x14ac:dyDescent="0.35">
      <c r="A104" s="2">
        <v>59571</v>
      </c>
      <c r="B104" t="s">
        <v>70</v>
      </c>
      <c r="C104" s="1" t="str">
        <f>VLOOKUP(Table1[[#This Row],[Name]],MountsByName[],2,FALSE)</f>
        <v>Drake</v>
      </c>
      <c r="D104" s="1">
        <f>VLOOKUP(Table1[[#This Row],[Name]],MountsByName[],3,FALSE)</f>
        <v>2.8</v>
      </c>
      <c r="E104" s="1">
        <f>VLOOKUP(Table1[[#This Row],[Name]],MountsByName[],4,FALSE)</f>
        <v>2.8</v>
      </c>
      <c r="F104" s="1">
        <f>VLOOKUP(Table1[[#This Row],[Name]],MountsByName[],5,FALSE)</f>
        <v>0</v>
      </c>
      <c r="G104" s="1">
        <f>VLOOKUP(Table1[[#This Row],[Name]],MountsByName[],6,FALSE)</f>
        <v>1</v>
      </c>
      <c r="H104" s="1">
        <f>VLOOKUP(Table1[[#This Row],[Name]],MountsByName[],7,FALSE)</f>
        <v>0</v>
      </c>
      <c r="I104" s="1">
        <f>VLOOKUP(Table1[[#This Row],[Name]],MountsByName[],8,FALSE)</f>
        <v>43954</v>
      </c>
      <c r="J104" s="1" t="str">
        <f>VLOOKUP(Table1[[#This Row],[Name]],MountsByName[],9,FALSE)</f>
        <v>Drop, The Obsidian Sanctum</v>
      </c>
      <c r="K104" s="1">
        <f>VLOOKUP(Table1[[#This Row],[Name]],MountsByName[],10,FALSE)</f>
        <v>1</v>
      </c>
      <c r="L104" s="1">
        <f>VLOOKUP(Table1[[#This Row],[Name]],MountsByName[],11,FALSE)</f>
        <v>1</v>
      </c>
      <c r="M104" s="1">
        <f>VLOOKUP(Table1[[#This Row],[Name]],MountsByName[],12,FALSE)</f>
        <v>1</v>
      </c>
      <c r="N10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[59571] ={"Twilight Drake", 59571, 43954, 2.8, 2.8, 0, "Drake", "Drop, The Obsidian Sanctum", 1, 0},</v>
      </c>
    </row>
    <row r="105" spans="1:14" x14ac:dyDescent="0.35">
      <c r="A105" s="2">
        <v>59650</v>
      </c>
      <c r="B105" t="s">
        <v>12</v>
      </c>
      <c r="C105" s="1" t="str">
        <f>VLOOKUP(Table1[[#This Row],[Name]],MountsByName[],2,FALSE)</f>
        <v>Drake</v>
      </c>
      <c r="D105" s="1">
        <f>VLOOKUP(Table1[[#This Row],[Name]],MountsByName[],3,FALSE)</f>
        <v>2.8</v>
      </c>
      <c r="E105" s="1">
        <f>VLOOKUP(Table1[[#This Row],[Name]],MountsByName[],4,FALSE)</f>
        <v>2.8</v>
      </c>
      <c r="F105" s="1">
        <f>VLOOKUP(Table1[[#This Row],[Name]],MountsByName[],5,FALSE)</f>
        <v>0</v>
      </c>
      <c r="G105" s="1">
        <f>VLOOKUP(Table1[[#This Row],[Name]],MountsByName[],6,FALSE)</f>
        <v>1</v>
      </c>
      <c r="H105" s="1">
        <f>VLOOKUP(Table1[[#This Row],[Name]],MountsByName[],7,FALSE)</f>
        <v>0</v>
      </c>
      <c r="I105" s="1">
        <f>VLOOKUP(Table1[[#This Row],[Name]],MountsByName[],8,FALSE)</f>
        <v>43986</v>
      </c>
      <c r="J105" s="1" t="str">
        <f>VLOOKUP(Table1[[#This Row],[Name]],MountsByName[],9,FALSE)</f>
        <v>Drop, The Obsidian Sanctum</v>
      </c>
      <c r="K105" s="1">
        <f>VLOOKUP(Table1[[#This Row],[Name]],MountsByName[],10,FALSE)</f>
        <v>1</v>
      </c>
      <c r="L105" s="1">
        <f>VLOOKUP(Table1[[#This Row],[Name]],MountsByName[],11,FALSE)</f>
        <v>1</v>
      </c>
      <c r="M105" s="1">
        <f>VLOOKUP(Table1[[#This Row],[Name]],MountsByName[],12,FALSE)</f>
        <v>1</v>
      </c>
      <c r="N10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[59650] ={"Black Drake", 59650, 43986, 2.8, 2.8, 0, "Drake", "Drop, The Obsidian Sanctum", 1, 0},</v>
      </c>
    </row>
    <row r="106" spans="1:14" x14ac:dyDescent="0.35">
      <c r="A106" s="2">
        <v>60025</v>
      </c>
      <c r="B106" t="s">
        <v>4</v>
      </c>
      <c r="C106" s="1" t="str">
        <f>VLOOKUP(Table1[[#This Row],[Name]],MountsByName[],2,FALSE)</f>
        <v>Drake</v>
      </c>
      <c r="D106" s="1">
        <f>VLOOKUP(Table1[[#This Row],[Name]],MountsByName[],3,FALSE)</f>
        <v>2.8</v>
      </c>
      <c r="E106" s="1">
        <f>VLOOKUP(Table1[[#This Row],[Name]],MountsByName[],4,FALSE)</f>
        <v>2.8</v>
      </c>
      <c r="F106" s="1">
        <f>VLOOKUP(Table1[[#This Row],[Name]],MountsByName[],5,FALSE)</f>
        <v>0</v>
      </c>
      <c r="G106" s="1">
        <f>VLOOKUP(Table1[[#This Row],[Name]],MountsByName[],6,FALSE)</f>
        <v>1</v>
      </c>
      <c r="H106" s="1">
        <f>VLOOKUP(Table1[[#This Row],[Name]],MountsByName[],7,FALSE)</f>
        <v>0</v>
      </c>
      <c r="I106" s="1">
        <f>VLOOKUP(Table1[[#This Row],[Name]],MountsByName[],8,FALSE)</f>
        <v>44178</v>
      </c>
      <c r="J106" s="1" t="str">
        <f>VLOOKUP(Table1[[#This Row],[Name]],MountsByName[],9,FALSE)</f>
        <v>Achievment</v>
      </c>
      <c r="K106" s="1">
        <f>VLOOKUP(Table1[[#This Row],[Name]],MountsByName[],10,FALSE)</f>
        <v>1</v>
      </c>
      <c r="L106" s="1">
        <f>VLOOKUP(Table1[[#This Row],[Name]],MountsByName[],11,FALSE)</f>
        <v>1</v>
      </c>
      <c r="M106" s="1">
        <f>VLOOKUP(Table1[[#This Row],[Name]],MountsByName[],12,FALSE)</f>
        <v>1</v>
      </c>
      <c r="N10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[60025] ={"Albino Drake", 60025, 44178, 2.8, 2.8, 0, "Drake", "Achievment", 1, 0},</v>
      </c>
    </row>
    <row r="107" spans="1:14" x14ac:dyDescent="0.35">
      <c r="A107" s="2">
        <v>69395</v>
      </c>
      <c r="B107" t="s">
        <v>43</v>
      </c>
      <c r="C107" s="1" t="str">
        <f>VLOOKUP(Table1[[#This Row],[Name]],MountsByName[],2,FALSE)</f>
        <v>Drake</v>
      </c>
      <c r="D107" s="1">
        <f>VLOOKUP(Table1[[#This Row],[Name]],MountsByName[],3,FALSE)</f>
        <v>3.1</v>
      </c>
      <c r="E107" s="1">
        <f>VLOOKUP(Table1[[#This Row],[Name]],MountsByName[],4,FALSE)</f>
        <v>3.1</v>
      </c>
      <c r="F107" s="1">
        <f>VLOOKUP(Table1[[#This Row],[Name]],MountsByName[],5,FALSE)</f>
        <v>0</v>
      </c>
      <c r="G107" s="1">
        <f>VLOOKUP(Table1[[#This Row],[Name]],MountsByName[],6,FALSE)</f>
        <v>1</v>
      </c>
      <c r="H107" s="1">
        <f>VLOOKUP(Table1[[#This Row],[Name]],MountsByName[],7,FALSE)</f>
        <v>0</v>
      </c>
      <c r="I107" s="1">
        <f>VLOOKUP(Table1[[#This Row],[Name]],MountsByName[],8,FALSE)</f>
        <v>49636</v>
      </c>
      <c r="J107" s="1" t="str">
        <f>VLOOKUP(Table1[[#This Row],[Name]],MountsByName[],9,FALSE)</f>
        <v>Drop Onyxia'a Lair</v>
      </c>
      <c r="K107" s="1">
        <f>VLOOKUP(Table1[[#This Row],[Name]],MountsByName[],10,FALSE)</f>
        <v>1</v>
      </c>
      <c r="L107" s="1">
        <f>VLOOKUP(Table1[[#This Row],[Name]],MountsByName[],11,FALSE)</f>
        <v>1</v>
      </c>
      <c r="M107" s="1">
        <f>VLOOKUP(Table1[[#This Row],[Name]],MountsByName[],12,FALSE)</f>
        <v>1</v>
      </c>
      <c r="N10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[69395] ={"Onyxian Drake", 69395, 49636, 3.1, 3.1, 0, "Drake", "Drop Onyxia'a Lair", 1, 0},</v>
      </c>
    </row>
    <row r="108" spans="1:14" x14ac:dyDescent="0.35">
      <c r="A108" s="2">
        <v>88331</v>
      </c>
      <c r="B108" t="s">
        <v>441</v>
      </c>
      <c r="C108" s="1" t="str">
        <f>VLOOKUP(Table1[[#This Row],[Name]],MountsByName[],2,FALSE)</f>
        <v>Drake</v>
      </c>
      <c r="D108" s="1">
        <f>VLOOKUP(Table1[[#This Row],[Name]],MountsByName[],3,FALSE)</f>
        <v>2.8</v>
      </c>
      <c r="E108" s="1">
        <f>VLOOKUP(Table1[[#This Row],[Name]],MountsByName[],4,FALSE)</f>
        <v>2.8</v>
      </c>
      <c r="F108" s="1">
        <f>VLOOKUP(Table1[[#This Row],[Name]],MountsByName[],5,FALSE)</f>
        <v>0</v>
      </c>
      <c r="G108" s="1">
        <f>VLOOKUP(Table1[[#This Row],[Name]],MountsByName[],6,FALSE)</f>
        <v>1</v>
      </c>
      <c r="H108" s="1">
        <f>VLOOKUP(Table1[[#This Row],[Name]],MountsByName[],7,FALSE)</f>
        <v>0</v>
      </c>
      <c r="I108" s="1">
        <f>VLOOKUP(Table1[[#This Row],[Name]],MountsByName[],8,FALSE)</f>
        <v>0</v>
      </c>
      <c r="J108" s="1">
        <f>VLOOKUP(Table1[[#This Row],[Name]],MountsByName[],9,FALSE)</f>
        <v>0</v>
      </c>
      <c r="K108" s="1">
        <f>VLOOKUP(Table1[[#This Row],[Name]],MountsByName[],10,FALSE)</f>
        <v>0</v>
      </c>
      <c r="L108" s="1">
        <f>VLOOKUP(Table1[[#This Row],[Name]],MountsByName[],11,FALSE)</f>
        <v>0</v>
      </c>
      <c r="M108" s="1">
        <f>VLOOKUP(Table1[[#This Row],[Name]],MountsByName[],12,FALSE)</f>
        <v>1</v>
      </c>
      <c r="N10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[88331] ={"Volcanic Stone Drake", 88331, 0, 2.8, 2.8, 0, "Drake", "0", 1, 0},</v>
      </c>
    </row>
    <row r="109" spans="1:14" x14ac:dyDescent="0.35">
      <c r="A109" s="2">
        <v>88335</v>
      </c>
      <c r="B109" t="s">
        <v>440</v>
      </c>
      <c r="C109" s="1" t="str">
        <f>VLOOKUP(Table1[[#This Row],[Name]],MountsByName[],2,FALSE)</f>
        <v>Drake</v>
      </c>
      <c r="D109" s="1">
        <f>VLOOKUP(Table1[[#This Row],[Name]],MountsByName[],3,FALSE)</f>
        <v>2.8</v>
      </c>
      <c r="E109" s="1">
        <f>VLOOKUP(Table1[[#This Row],[Name]],MountsByName[],4,FALSE)</f>
        <v>2.8</v>
      </c>
      <c r="F109" s="1">
        <f>VLOOKUP(Table1[[#This Row],[Name]],MountsByName[],5,FALSE)</f>
        <v>0</v>
      </c>
      <c r="G109" s="1">
        <f>VLOOKUP(Table1[[#This Row],[Name]],MountsByName[],6,FALSE)</f>
        <v>1</v>
      </c>
      <c r="H109" s="1">
        <f>VLOOKUP(Table1[[#This Row],[Name]],MountsByName[],7,FALSE)</f>
        <v>0</v>
      </c>
      <c r="I109" s="1">
        <f>VLOOKUP(Table1[[#This Row],[Name]],MountsByName[],8,FALSE)</f>
        <v>0</v>
      </c>
      <c r="J109" s="1">
        <f>VLOOKUP(Table1[[#This Row],[Name]],MountsByName[],9,FALSE)</f>
        <v>0</v>
      </c>
      <c r="K109" s="1">
        <f>VLOOKUP(Table1[[#This Row],[Name]],MountsByName[],10,FALSE)</f>
        <v>0</v>
      </c>
      <c r="L109" s="1">
        <f>VLOOKUP(Table1[[#This Row],[Name]],MountsByName[],11,FALSE)</f>
        <v>0</v>
      </c>
      <c r="M109" s="1">
        <f>VLOOKUP(Table1[[#This Row],[Name]],MountsByName[],12,FALSE)</f>
        <v>1</v>
      </c>
      <c r="N10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[88335] ={"Drake of the East Wind", 88335, 0, 2.8, 2.8, 0, "Drake", "0", 1, 0},</v>
      </c>
    </row>
    <row r="110" spans="1:14" x14ac:dyDescent="0.35">
      <c r="A110" s="2">
        <v>88718</v>
      </c>
      <c r="B110" t="s">
        <v>456</v>
      </c>
      <c r="C110" s="1" t="str">
        <f>VLOOKUP(Table1[[#This Row],[Name]],MountsByName[],2,FALSE)</f>
        <v>Drake</v>
      </c>
      <c r="D110" s="1">
        <f>VLOOKUP(Table1[[#This Row],[Name]],MountsByName[],3,FALSE)</f>
        <v>2.8</v>
      </c>
      <c r="E110" s="1">
        <f>VLOOKUP(Table1[[#This Row],[Name]],MountsByName[],4,FALSE)</f>
        <v>2.8</v>
      </c>
      <c r="F110" s="1">
        <f>VLOOKUP(Table1[[#This Row],[Name]],MountsByName[],5,FALSE)</f>
        <v>0</v>
      </c>
      <c r="G110" s="1">
        <f>VLOOKUP(Table1[[#This Row],[Name]],MountsByName[],6,FALSE)</f>
        <v>1</v>
      </c>
      <c r="H110" s="1">
        <f>VLOOKUP(Table1[[#This Row],[Name]],MountsByName[],7,FALSE)</f>
        <v>0</v>
      </c>
      <c r="I110" s="1">
        <f>VLOOKUP(Table1[[#This Row],[Name]],MountsByName[],8,FALSE)</f>
        <v>0</v>
      </c>
      <c r="J110" s="1">
        <f>VLOOKUP(Table1[[#This Row],[Name]],MountsByName[],9,FALSE)</f>
        <v>0</v>
      </c>
      <c r="K110" s="1">
        <f>VLOOKUP(Table1[[#This Row],[Name]],MountsByName[],10,FALSE)</f>
        <v>0</v>
      </c>
      <c r="L110" s="1">
        <f>VLOOKUP(Table1[[#This Row],[Name]],MountsByName[],11,FALSE)</f>
        <v>0</v>
      </c>
      <c r="M110" s="1">
        <f>VLOOKUP(Table1[[#This Row],[Name]],MountsByName[],12,FALSE)</f>
        <v>1</v>
      </c>
      <c r="N11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[88718] ={"Phosphorescent Stone Drake", 88718, 0, 2.8, 2.8, 0, "Drake", "0", 1, 0},</v>
      </c>
    </row>
    <row r="111" spans="1:14" x14ac:dyDescent="0.35">
      <c r="A111" s="2">
        <v>88741</v>
      </c>
      <c r="B111" t="s">
        <v>533</v>
      </c>
      <c r="C111" s="1" t="str">
        <f>VLOOKUP(Table1[[#This Row],[Name]],MountsByName[],2,FALSE)</f>
        <v>Drake</v>
      </c>
      <c r="D111" s="1">
        <f>VLOOKUP(Table1[[#This Row],[Name]],MountsByName[],3,FALSE)</f>
        <v>2.8</v>
      </c>
      <c r="E111" s="1">
        <f>VLOOKUP(Table1[[#This Row],[Name]],MountsByName[],4,FALSE)</f>
        <v>2.8</v>
      </c>
      <c r="F111" s="1">
        <f>VLOOKUP(Table1[[#This Row],[Name]],MountsByName[],5,FALSE)</f>
        <v>0</v>
      </c>
      <c r="G111" s="1">
        <f>VLOOKUP(Table1[[#This Row],[Name]],MountsByName[],6,FALSE)</f>
        <v>1</v>
      </c>
      <c r="H111" s="1">
        <f>VLOOKUP(Table1[[#This Row],[Name]],MountsByName[],7,FALSE)</f>
        <v>0</v>
      </c>
      <c r="I111" s="1">
        <f>VLOOKUP(Table1[[#This Row],[Name]],MountsByName[],8,FALSE)</f>
        <v>0</v>
      </c>
      <c r="J111" s="1">
        <f>VLOOKUP(Table1[[#This Row],[Name]],MountsByName[],9,FALSE)</f>
        <v>0</v>
      </c>
      <c r="K111" s="1">
        <f>VLOOKUP(Table1[[#This Row],[Name]],MountsByName[],10,FALSE)</f>
        <v>0</v>
      </c>
      <c r="L111" s="1">
        <f>VLOOKUP(Table1[[#This Row],[Name]],MountsByName[],11,FALSE)</f>
        <v>0</v>
      </c>
      <c r="M111" s="1">
        <f>VLOOKUP(Table1[[#This Row],[Name]],MountsByName[],12,FALSE)</f>
        <v>1</v>
      </c>
      <c r="N111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[88741] ={"Drake of the West Wind", 88741, 0, 2.8, 2.8, 0, "Drake", "0", 1, 0},</v>
      </c>
    </row>
    <row r="112" spans="1:14" x14ac:dyDescent="0.35">
      <c r="A112" s="2">
        <v>88742</v>
      </c>
      <c r="B112" t="s">
        <v>530</v>
      </c>
      <c r="C112" s="1" t="str">
        <f>VLOOKUP(Table1[[#This Row],[Name]],MountsByName[],2,FALSE)</f>
        <v>Drake</v>
      </c>
      <c r="D112" s="1">
        <f>VLOOKUP(Table1[[#This Row],[Name]],MountsByName[],3,FALSE)</f>
        <v>2.8</v>
      </c>
      <c r="E112" s="1">
        <f>VLOOKUP(Table1[[#This Row],[Name]],MountsByName[],4,FALSE)</f>
        <v>2.8</v>
      </c>
      <c r="F112" s="1">
        <f>VLOOKUP(Table1[[#This Row],[Name]],MountsByName[],5,FALSE)</f>
        <v>0</v>
      </c>
      <c r="G112" s="1">
        <f>VLOOKUP(Table1[[#This Row],[Name]],MountsByName[],6,FALSE)</f>
        <v>1</v>
      </c>
      <c r="H112" s="1">
        <f>VLOOKUP(Table1[[#This Row],[Name]],MountsByName[],7,FALSE)</f>
        <v>0</v>
      </c>
      <c r="I112" s="1">
        <f>VLOOKUP(Table1[[#This Row],[Name]],MountsByName[],8,FALSE)</f>
        <v>0</v>
      </c>
      <c r="J112" s="1">
        <f>VLOOKUP(Table1[[#This Row],[Name]],MountsByName[],9,FALSE)</f>
        <v>0</v>
      </c>
      <c r="K112" s="1">
        <f>VLOOKUP(Table1[[#This Row],[Name]],MountsByName[],10,FALSE)</f>
        <v>0</v>
      </c>
      <c r="L112" s="1">
        <f>VLOOKUP(Table1[[#This Row],[Name]],MountsByName[],11,FALSE)</f>
        <v>0</v>
      </c>
      <c r="M112" s="1">
        <f>VLOOKUP(Table1[[#This Row],[Name]],MountsByName[],12,FALSE)</f>
        <v>1</v>
      </c>
      <c r="N11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[88742] ={"Drake of the North Wind", 88742, 0, 2.8, 2.8, 0, "Drake", "0", 1, 0},</v>
      </c>
    </row>
    <row r="113" spans="1:14" x14ac:dyDescent="0.35">
      <c r="A113" s="2">
        <v>88744</v>
      </c>
      <c r="B113" t="s">
        <v>448</v>
      </c>
      <c r="C113" s="1" t="str">
        <f>VLOOKUP(Table1[[#This Row],[Name]],MountsByName[],2,FALSE)</f>
        <v>Drake</v>
      </c>
      <c r="D113" s="1">
        <f>VLOOKUP(Table1[[#This Row],[Name]],MountsByName[],3,FALSE)</f>
        <v>2.8</v>
      </c>
      <c r="E113" s="1">
        <f>VLOOKUP(Table1[[#This Row],[Name]],MountsByName[],4,FALSE)</f>
        <v>2.8</v>
      </c>
      <c r="F113" s="1">
        <f>VLOOKUP(Table1[[#This Row],[Name]],MountsByName[],5,FALSE)</f>
        <v>0</v>
      </c>
      <c r="G113" s="1">
        <f>VLOOKUP(Table1[[#This Row],[Name]],MountsByName[],6,FALSE)</f>
        <v>1</v>
      </c>
      <c r="H113" s="1">
        <f>VLOOKUP(Table1[[#This Row],[Name]],MountsByName[],7,FALSE)</f>
        <v>0</v>
      </c>
      <c r="I113" s="1">
        <f>VLOOKUP(Table1[[#This Row],[Name]],MountsByName[],8,FALSE)</f>
        <v>0</v>
      </c>
      <c r="J113" s="1">
        <f>VLOOKUP(Table1[[#This Row],[Name]],MountsByName[],9,FALSE)</f>
        <v>0</v>
      </c>
      <c r="K113" s="1">
        <f>VLOOKUP(Table1[[#This Row],[Name]],MountsByName[],10,FALSE)</f>
        <v>0</v>
      </c>
      <c r="L113" s="1">
        <f>VLOOKUP(Table1[[#This Row],[Name]],MountsByName[],11,FALSE)</f>
        <v>0</v>
      </c>
      <c r="M113" s="1">
        <f>VLOOKUP(Table1[[#This Row],[Name]],MountsByName[],12,FALSE)</f>
        <v>1</v>
      </c>
      <c r="N11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[88744] ={"Drake of the South Wind", 88744, 0, 2.8, 2.8, 0, "Drake", "0", 1, 0},</v>
      </c>
    </row>
    <row r="114" spans="1:14" x14ac:dyDescent="0.35">
      <c r="A114" s="2">
        <v>88746</v>
      </c>
      <c r="B114" t="s">
        <v>451</v>
      </c>
      <c r="C114" s="1" t="str">
        <f>VLOOKUP(Table1[[#This Row],[Name]],MountsByName[],2,FALSE)</f>
        <v>Drake</v>
      </c>
      <c r="D114" s="1">
        <f>VLOOKUP(Table1[[#This Row],[Name]],MountsByName[],3,FALSE)</f>
        <v>2.8</v>
      </c>
      <c r="E114" s="1">
        <f>VLOOKUP(Table1[[#This Row],[Name]],MountsByName[],4,FALSE)</f>
        <v>2.8</v>
      </c>
      <c r="F114" s="1">
        <f>VLOOKUP(Table1[[#This Row],[Name]],MountsByName[],5,FALSE)</f>
        <v>0</v>
      </c>
      <c r="G114" s="1">
        <f>VLOOKUP(Table1[[#This Row],[Name]],MountsByName[],6,FALSE)</f>
        <v>1</v>
      </c>
      <c r="H114" s="1">
        <f>VLOOKUP(Table1[[#This Row],[Name]],MountsByName[],7,FALSE)</f>
        <v>0</v>
      </c>
      <c r="I114" s="1">
        <f>VLOOKUP(Table1[[#This Row],[Name]],MountsByName[],8,FALSE)</f>
        <v>0</v>
      </c>
      <c r="J114" s="1">
        <f>VLOOKUP(Table1[[#This Row],[Name]],MountsByName[],9,FALSE)</f>
        <v>0</v>
      </c>
      <c r="K114" s="1">
        <f>VLOOKUP(Table1[[#This Row],[Name]],MountsByName[],10,FALSE)</f>
        <v>0</v>
      </c>
      <c r="L114" s="1">
        <f>VLOOKUP(Table1[[#This Row],[Name]],MountsByName[],11,FALSE)</f>
        <v>0</v>
      </c>
      <c r="M114" s="1">
        <f>VLOOKUP(Table1[[#This Row],[Name]],MountsByName[],12,FALSE)</f>
        <v>1</v>
      </c>
      <c r="N11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[88746] ={"Vitreous Stone Drake", 88746, 0, 2.8, 2.8, 0, "Drake", "0", 1, 0},</v>
      </c>
    </row>
    <row r="115" spans="1:14" x14ac:dyDescent="0.35">
      <c r="A115" s="2">
        <v>93326</v>
      </c>
      <c r="B115" t="s">
        <v>524</v>
      </c>
      <c r="C115" s="1" t="str">
        <f>VLOOKUP(Table1[[#This Row],[Name]],MountsByName[],2,FALSE)</f>
        <v>Drake</v>
      </c>
      <c r="D115" s="1">
        <f>VLOOKUP(Table1[[#This Row],[Name]],MountsByName[],3,FALSE)</f>
        <v>2.8</v>
      </c>
      <c r="E115" s="1">
        <f>VLOOKUP(Table1[[#This Row],[Name]],MountsByName[],4,FALSE)</f>
        <v>2.8</v>
      </c>
      <c r="F115" s="1">
        <f>VLOOKUP(Table1[[#This Row],[Name]],MountsByName[],5,FALSE)</f>
        <v>0</v>
      </c>
      <c r="G115" s="1">
        <f>VLOOKUP(Table1[[#This Row],[Name]],MountsByName[],6,FALSE)</f>
        <v>1</v>
      </c>
      <c r="H115" s="1">
        <f>VLOOKUP(Table1[[#This Row],[Name]],MountsByName[],7,FALSE)</f>
        <v>0</v>
      </c>
      <c r="I115" s="1">
        <f>VLOOKUP(Table1[[#This Row],[Name]],MountsByName[],8,FALSE)</f>
        <v>0</v>
      </c>
      <c r="J115" s="1">
        <f>VLOOKUP(Table1[[#This Row],[Name]],MountsByName[],9,FALSE)</f>
        <v>0</v>
      </c>
      <c r="K115" s="1">
        <f>VLOOKUP(Table1[[#This Row],[Name]],MountsByName[],10,FALSE)</f>
        <v>0</v>
      </c>
      <c r="L115" s="1">
        <f>VLOOKUP(Table1[[#This Row],[Name]],MountsByName[],11,FALSE)</f>
        <v>0</v>
      </c>
      <c r="M115" s="1">
        <f>VLOOKUP(Table1[[#This Row],[Name]],MountsByName[],12,FALSE)</f>
        <v>1</v>
      </c>
      <c r="N11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[93326] ={"Sandstone Drake", 93326, 0, 2.8, 2.8, 0, "Drake", "0", 1, 0},</v>
      </c>
    </row>
    <row r="116" spans="1:14" x14ac:dyDescent="0.35">
      <c r="A116" s="2">
        <v>93623</v>
      </c>
      <c r="B116" t="s">
        <v>479</v>
      </c>
      <c r="C116" s="1" t="str">
        <f>VLOOKUP(Table1[[#This Row],[Name]],MountsByName[],2,FALSE)</f>
        <v>drake</v>
      </c>
      <c r="D116" s="1">
        <f>VLOOKUP(Table1[[#This Row],[Name]],MountsByName[],3,FALSE)</f>
        <v>2.8</v>
      </c>
      <c r="E116" s="1">
        <f>VLOOKUP(Table1[[#This Row],[Name]],MountsByName[],4,FALSE)</f>
        <v>2.8</v>
      </c>
      <c r="F116" s="1">
        <f>VLOOKUP(Table1[[#This Row],[Name]],MountsByName[],5,FALSE)</f>
        <v>0</v>
      </c>
      <c r="G116" s="1">
        <f>VLOOKUP(Table1[[#This Row],[Name]],MountsByName[],6,FALSE)</f>
        <v>1</v>
      </c>
      <c r="H116" s="1">
        <f>VLOOKUP(Table1[[#This Row],[Name]],MountsByName[],7,FALSE)</f>
        <v>0</v>
      </c>
      <c r="I116" s="1">
        <f>VLOOKUP(Table1[[#This Row],[Name]],MountsByName[],8,FALSE)</f>
        <v>0</v>
      </c>
      <c r="J116" s="1">
        <f>VLOOKUP(Table1[[#This Row],[Name]],MountsByName[],9,FALSE)</f>
        <v>0</v>
      </c>
      <c r="K116" s="1">
        <f>VLOOKUP(Table1[[#This Row],[Name]],MountsByName[],10,FALSE)</f>
        <v>0</v>
      </c>
      <c r="L116" s="1">
        <f>VLOOKUP(Table1[[#This Row],[Name]],MountsByName[],11,FALSE)</f>
        <v>0</v>
      </c>
      <c r="M116" s="1">
        <f>VLOOKUP(Table1[[#This Row],[Name]],MountsByName[],12,FALSE)</f>
        <v>1</v>
      </c>
      <c r="N11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[93623] ={"Mottled Drake", 93623, 0, 2.8, 2.8, 0, "drake", "0", 1, 0},</v>
      </c>
    </row>
    <row r="117" spans="1:14" x14ac:dyDescent="0.35">
      <c r="A117" s="2">
        <v>101282</v>
      </c>
      <c r="B117" t="s">
        <v>502</v>
      </c>
      <c r="C117" s="1" t="str">
        <f>VLOOKUP(Table1[[#This Row],[Name]],MountsByName[],2,FALSE)</f>
        <v>Drake</v>
      </c>
      <c r="D117" s="1">
        <f>VLOOKUP(Table1[[#This Row],[Name]],MountsByName[],3,FALSE)</f>
        <v>2.8</v>
      </c>
      <c r="E117" s="1">
        <f>VLOOKUP(Table1[[#This Row],[Name]],MountsByName[],4,FALSE)</f>
        <v>2.8</v>
      </c>
      <c r="F117" s="1">
        <f>VLOOKUP(Table1[[#This Row],[Name]],MountsByName[],5,FALSE)</f>
        <v>0</v>
      </c>
      <c r="G117" s="1">
        <f>VLOOKUP(Table1[[#This Row],[Name]],MountsByName[],6,FALSE)</f>
        <v>1</v>
      </c>
      <c r="H117" s="1">
        <f>VLOOKUP(Table1[[#This Row],[Name]],MountsByName[],7,FALSE)</f>
        <v>0</v>
      </c>
      <c r="I117" s="1">
        <f>VLOOKUP(Table1[[#This Row],[Name]],MountsByName[],8,FALSE)</f>
        <v>0</v>
      </c>
      <c r="J117" s="1">
        <f>VLOOKUP(Table1[[#This Row],[Name]],MountsByName[],9,FALSE)</f>
        <v>0</v>
      </c>
      <c r="K117" s="1">
        <f>VLOOKUP(Table1[[#This Row],[Name]],MountsByName[],10,FALSE)</f>
        <v>0</v>
      </c>
      <c r="L117" s="1">
        <f>VLOOKUP(Table1[[#This Row],[Name]],MountsByName[],11,FALSE)</f>
        <v>0</v>
      </c>
      <c r="M117" s="1">
        <f>VLOOKUP(Table1[[#This Row],[Name]],MountsByName[],12,FALSE)</f>
        <v>1</v>
      </c>
      <c r="N11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[101282] ={"Vicious Gladiator's Twilight Drake", 101282, 0, 2.8, 2.8, 0, "Drake", "0", 1, 0},</v>
      </c>
    </row>
    <row r="118" spans="1:14" x14ac:dyDescent="0.35">
      <c r="A118" s="2">
        <v>101821</v>
      </c>
      <c r="B118" t="s">
        <v>500</v>
      </c>
      <c r="C118" s="1" t="str">
        <f>VLOOKUP(Table1[[#This Row],[Name]],MountsByName[],2,FALSE)</f>
        <v>Drake</v>
      </c>
      <c r="D118" s="1">
        <f>VLOOKUP(Table1[[#This Row],[Name]],MountsByName[],3,FALSE)</f>
        <v>2.8</v>
      </c>
      <c r="E118" s="1">
        <f>VLOOKUP(Table1[[#This Row],[Name]],MountsByName[],4,FALSE)</f>
        <v>2.8</v>
      </c>
      <c r="F118" s="1">
        <f>VLOOKUP(Table1[[#This Row],[Name]],MountsByName[],5,FALSE)</f>
        <v>0</v>
      </c>
      <c r="G118" s="1">
        <f>VLOOKUP(Table1[[#This Row],[Name]],MountsByName[],6,FALSE)</f>
        <v>1</v>
      </c>
      <c r="H118" s="1">
        <f>VLOOKUP(Table1[[#This Row],[Name]],MountsByName[],7,FALSE)</f>
        <v>0</v>
      </c>
      <c r="I118" s="1">
        <f>VLOOKUP(Table1[[#This Row],[Name]],MountsByName[],8,FALSE)</f>
        <v>0</v>
      </c>
      <c r="J118" s="1">
        <f>VLOOKUP(Table1[[#This Row],[Name]],MountsByName[],9,FALSE)</f>
        <v>0</v>
      </c>
      <c r="K118" s="1">
        <f>VLOOKUP(Table1[[#This Row],[Name]],MountsByName[],10,FALSE)</f>
        <v>0</v>
      </c>
      <c r="L118" s="1">
        <f>VLOOKUP(Table1[[#This Row],[Name]],MountsByName[],11,FALSE)</f>
        <v>0</v>
      </c>
      <c r="M118" s="1">
        <f>VLOOKUP(Table1[[#This Row],[Name]],MountsByName[],12,FALSE)</f>
        <v>1</v>
      </c>
      <c r="N11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[101821] ={"Ruthless Gladiator's Twilight Drake", 101821, 0, 2.8, 2.8, 0, "Drake", "0", 1, 0},</v>
      </c>
    </row>
    <row r="119" spans="1:14" x14ac:dyDescent="0.35">
      <c r="A119" s="2">
        <v>107842</v>
      </c>
      <c r="B119" t="s">
        <v>446</v>
      </c>
      <c r="C119" s="1" t="str">
        <f>VLOOKUP(Table1[[#This Row],[Name]],MountsByName[],2,FALSE)</f>
        <v>Drake</v>
      </c>
      <c r="D119" s="1">
        <f>VLOOKUP(Table1[[#This Row],[Name]],MountsByName[],3,FALSE)</f>
        <v>2.8</v>
      </c>
      <c r="E119" s="1">
        <f>VLOOKUP(Table1[[#This Row],[Name]],MountsByName[],4,FALSE)</f>
        <v>2.8</v>
      </c>
      <c r="F119" s="1">
        <f>VLOOKUP(Table1[[#This Row],[Name]],MountsByName[],5,FALSE)</f>
        <v>0</v>
      </c>
      <c r="G119" s="1">
        <f>VLOOKUP(Table1[[#This Row],[Name]],MountsByName[],6,FALSE)</f>
        <v>1</v>
      </c>
      <c r="H119" s="1">
        <f>VLOOKUP(Table1[[#This Row],[Name]],MountsByName[],7,FALSE)</f>
        <v>0</v>
      </c>
      <c r="I119" s="1">
        <f>VLOOKUP(Table1[[#This Row],[Name]],MountsByName[],8,FALSE)</f>
        <v>0</v>
      </c>
      <c r="J119" s="1">
        <f>VLOOKUP(Table1[[#This Row],[Name]],MountsByName[],9,FALSE)</f>
        <v>0</v>
      </c>
      <c r="K119" s="1">
        <f>VLOOKUP(Table1[[#This Row],[Name]],MountsByName[],10,FALSE)</f>
        <v>0</v>
      </c>
      <c r="L119" s="1">
        <f>VLOOKUP(Table1[[#This Row],[Name]],MountsByName[],11,FALSE)</f>
        <v>0</v>
      </c>
      <c r="M119" s="1">
        <f>VLOOKUP(Table1[[#This Row],[Name]],MountsByName[],12,FALSE)</f>
        <v>1</v>
      </c>
      <c r="N11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[107842] ={"Blazing Drake", 107842, 0, 2.8, 2.8, 0, "Drake", "0", 1, 0},</v>
      </c>
    </row>
    <row r="120" spans="1:14" x14ac:dyDescent="0.35">
      <c r="A120" s="2">
        <v>107844</v>
      </c>
      <c r="B120" t="s">
        <v>494</v>
      </c>
      <c r="C120" s="1" t="str">
        <f>VLOOKUP(Table1[[#This Row],[Name]],MountsByName[],2,FALSE)</f>
        <v>Drake</v>
      </c>
      <c r="D120" s="1">
        <f>VLOOKUP(Table1[[#This Row],[Name]],MountsByName[],3,FALSE)</f>
        <v>2.8</v>
      </c>
      <c r="E120" s="1">
        <f>VLOOKUP(Table1[[#This Row],[Name]],MountsByName[],4,FALSE)</f>
        <v>2.8</v>
      </c>
      <c r="F120" s="1">
        <f>VLOOKUP(Table1[[#This Row],[Name]],MountsByName[],5,FALSE)</f>
        <v>0</v>
      </c>
      <c r="G120" s="1">
        <f>VLOOKUP(Table1[[#This Row],[Name]],MountsByName[],6,FALSE)</f>
        <v>1</v>
      </c>
      <c r="H120" s="1">
        <f>VLOOKUP(Table1[[#This Row],[Name]],MountsByName[],7,FALSE)</f>
        <v>0</v>
      </c>
      <c r="I120" s="1">
        <f>VLOOKUP(Table1[[#This Row],[Name]],MountsByName[],8,FALSE)</f>
        <v>0</v>
      </c>
      <c r="J120" s="1">
        <f>VLOOKUP(Table1[[#This Row],[Name]],MountsByName[],9,FALSE)</f>
        <v>0</v>
      </c>
      <c r="K120" s="1">
        <f>VLOOKUP(Table1[[#This Row],[Name]],MountsByName[],10,FALSE)</f>
        <v>0</v>
      </c>
      <c r="L120" s="1">
        <f>VLOOKUP(Table1[[#This Row],[Name]],MountsByName[],11,FALSE)</f>
        <v>0</v>
      </c>
      <c r="M120" s="1">
        <f>VLOOKUP(Table1[[#This Row],[Name]],MountsByName[],12,FALSE)</f>
        <v>1</v>
      </c>
      <c r="N12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[107844] ={"Twilight Harbinger", 107844, 0, 2.8, 2.8, 0, "Drake", "0", 1, 0},</v>
      </c>
    </row>
    <row r="121" spans="1:14" x14ac:dyDescent="0.35">
      <c r="A121" s="2">
        <v>107845</v>
      </c>
      <c r="B121" t="s">
        <v>493</v>
      </c>
      <c r="C121" s="1" t="str">
        <f>VLOOKUP(Table1[[#This Row],[Name]],MountsByName[],2,FALSE)</f>
        <v>Drake</v>
      </c>
      <c r="D121" s="1">
        <f>VLOOKUP(Table1[[#This Row],[Name]],MountsByName[],3,FALSE)</f>
        <v>2.8</v>
      </c>
      <c r="E121" s="1">
        <f>VLOOKUP(Table1[[#This Row],[Name]],MountsByName[],4,FALSE)</f>
        <v>2.8</v>
      </c>
      <c r="F121" s="1">
        <f>VLOOKUP(Table1[[#This Row],[Name]],MountsByName[],5,FALSE)</f>
        <v>0</v>
      </c>
      <c r="G121" s="1">
        <f>VLOOKUP(Table1[[#This Row],[Name]],MountsByName[],6,FALSE)</f>
        <v>1</v>
      </c>
      <c r="H121" s="1">
        <f>VLOOKUP(Table1[[#This Row],[Name]],MountsByName[],7,FALSE)</f>
        <v>0</v>
      </c>
      <c r="I121" s="1">
        <f>VLOOKUP(Table1[[#This Row],[Name]],MountsByName[],8,FALSE)</f>
        <v>0</v>
      </c>
      <c r="J121" s="1">
        <f>VLOOKUP(Table1[[#This Row],[Name]],MountsByName[],9,FALSE)</f>
        <v>0</v>
      </c>
      <c r="K121" s="1">
        <f>VLOOKUP(Table1[[#This Row],[Name]],MountsByName[],10,FALSE)</f>
        <v>0</v>
      </c>
      <c r="L121" s="1">
        <f>VLOOKUP(Table1[[#This Row],[Name]],MountsByName[],11,FALSE)</f>
        <v>0</v>
      </c>
      <c r="M121" s="1">
        <f>VLOOKUP(Table1[[#This Row],[Name]],MountsByName[],12,FALSE)</f>
        <v>1</v>
      </c>
      <c r="N121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[107845] ={"Life-Binder's Handmaiden", 107845, 0, 2.8, 2.8, 0, "Drake", "0", 1, 0},</v>
      </c>
    </row>
    <row r="122" spans="1:14" x14ac:dyDescent="0.35">
      <c r="A122" s="2">
        <v>110039</v>
      </c>
      <c r="B122" t="s">
        <v>492</v>
      </c>
      <c r="C122" s="1" t="str">
        <f>VLOOKUP(Table1[[#This Row],[Name]],MountsByName[],2,FALSE)</f>
        <v>Drake</v>
      </c>
      <c r="D122" s="1">
        <f>VLOOKUP(Table1[[#This Row],[Name]],MountsByName[],3,FALSE)</f>
        <v>2.8</v>
      </c>
      <c r="E122" s="1">
        <f>VLOOKUP(Table1[[#This Row],[Name]],MountsByName[],4,FALSE)</f>
        <v>2.8</v>
      </c>
      <c r="F122" s="1">
        <f>VLOOKUP(Table1[[#This Row],[Name]],MountsByName[],5,FALSE)</f>
        <v>0</v>
      </c>
      <c r="G122" s="1">
        <f>VLOOKUP(Table1[[#This Row],[Name]],MountsByName[],6,FALSE)</f>
        <v>1</v>
      </c>
      <c r="H122" s="1">
        <f>VLOOKUP(Table1[[#This Row],[Name]],MountsByName[],7,FALSE)</f>
        <v>0</v>
      </c>
      <c r="I122" s="1">
        <f>VLOOKUP(Table1[[#This Row],[Name]],MountsByName[],8,FALSE)</f>
        <v>0</v>
      </c>
      <c r="J122" s="1">
        <f>VLOOKUP(Table1[[#This Row],[Name]],MountsByName[],9,FALSE)</f>
        <v>0</v>
      </c>
      <c r="K122" s="1">
        <f>VLOOKUP(Table1[[#This Row],[Name]],MountsByName[],10,FALSE)</f>
        <v>0</v>
      </c>
      <c r="L122" s="1">
        <f>VLOOKUP(Table1[[#This Row],[Name]],MountsByName[],11,FALSE)</f>
        <v>0</v>
      </c>
      <c r="M122" s="1">
        <f>VLOOKUP(Table1[[#This Row],[Name]],MountsByName[],12,FALSE)</f>
        <v>1</v>
      </c>
      <c r="N12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[110039] ={"Experiment 12-B", 110039, 0, 2.8, 2.8, 0, "Drake", "0", 1, 0},</v>
      </c>
    </row>
    <row r="123" spans="1:14" x14ac:dyDescent="0.35">
      <c r="A123" s="2">
        <v>110051</v>
      </c>
      <c r="B123" t="s">
        <v>900</v>
      </c>
      <c r="C123" s="1" t="str">
        <f>VLOOKUP(Table1[[#This Row],[Name]],MountsByName[],2,FALSE)</f>
        <v>Drake</v>
      </c>
      <c r="D123" s="1">
        <f>VLOOKUP(Table1[[#This Row],[Name]],MountsByName[],3,FALSE)</f>
        <v>2.8</v>
      </c>
      <c r="E123" s="1">
        <f>VLOOKUP(Table1[[#This Row],[Name]],MountsByName[],4,FALSE)</f>
        <v>2.8</v>
      </c>
      <c r="F123" s="1">
        <f>VLOOKUP(Table1[[#This Row],[Name]],MountsByName[],5,FALSE)</f>
        <v>0</v>
      </c>
      <c r="G123" s="1">
        <f>VLOOKUP(Table1[[#This Row],[Name]],MountsByName[],6,FALSE)</f>
        <v>1</v>
      </c>
      <c r="H123" s="1">
        <f>VLOOKUP(Table1[[#This Row],[Name]],MountsByName[],7,FALSE)</f>
        <v>0</v>
      </c>
      <c r="I123" s="1">
        <f>VLOOKUP(Table1[[#This Row],[Name]],MountsByName[],8,FALSE)</f>
        <v>0</v>
      </c>
      <c r="J123" s="1">
        <f>VLOOKUP(Table1[[#This Row],[Name]],MountsByName[],9,FALSE)</f>
        <v>0</v>
      </c>
      <c r="K123" s="1">
        <f>VLOOKUP(Table1[[#This Row],[Name]],MountsByName[],10,FALSE)</f>
        <v>0</v>
      </c>
      <c r="L123" s="1">
        <f>VLOOKUP(Table1[[#This Row],[Name]],MountsByName[],11,FALSE)</f>
        <v>0</v>
      </c>
      <c r="M123" s="1">
        <f>VLOOKUP(Table1[[#This Row],[Name]],MountsByName[],12,FALSE)</f>
        <v>1</v>
      </c>
      <c r="N12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[110051] ={"Heart of the Aspects", 110051, 0, 2.8, 2.8, 0, "Drake", "0", 1, 0},</v>
      </c>
    </row>
    <row r="124" spans="1:14" x14ac:dyDescent="0.35">
      <c r="A124" s="2">
        <v>113120</v>
      </c>
      <c r="B124" t="s">
        <v>489</v>
      </c>
      <c r="C124" s="1" t="str">
        <f>VLOOKUP(Table1[[#This Row],[Name]],MountsByName[],2,FALSE)</f>
        <v>Drake</v>
      </c>
      <c r="D124" s="1">
        <f>VLOOKUP(Table1[[#This Row],[Name]],MountsByName[],3,FALSE)</f>
        <v>2.8</v>
      </c>
      <c r="E124" s="1">
        <f>VLOOKUP(Table1[[#This Row],[Name]],MountsByName[],4,FALSE)</f>
        <v>2.8</v>
      </c>
      <c r="F124" s="1">
        <f>VLOOKUP(Table1[[#This Row],[Name]],MountsByName[],5,FALSE)</f>
        <v>0</v>
      </c>
      <c r="G124" s="1">
        <f>VLOOKUP(Table1[[#This Row],[Name]],MountsByName[],6,FALSE)</f>
        <v>1</v>
      </c>
      <c r="H124" s="1">
        <f>VLOOKUP(Table1[[#This Row],[Name]],MountsByName[],7,FALSE)</f>
        <v>0</v>
      </c>
      <c r="I124" s="1">
        <f>VLOOKUP(Table1[[#This Row],[Name]],MountsByName[],8,FALSE)</f>
        <v>0</v>
      </c>
      <c r="J124" s="1">
        <f>VLOOKUP(Table1[[#This Row],[Name]],MountsByName[],9,FALSE)</f>
        <v>0</v>
      </c>
      <c r="K124" s="1">
        <f>VLOOKUP(Table1[[#This Row],[Name]],MountsByName[],10,FALSE)</f>
        <v>0</v>
      </c>
      <c r="L124" s="1">
        <f>VLOOKUP(Table1[[#This Row],[Name]],MountsByName[],11,FALSE)</f>
        <v>0</v>
      </c>
      <c r="M124" s="1">
        <f>VLOOKUP(Table1[[#This Row],[Name]],MountsByName[],12,FALSE)</f>
        <v>1</v>
      </c>
      <c r="N12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[113120] ={"Feldrake", 113120, 0, 2.8, 2.8, 0, "Drake", "0", 1, 0},</v>
      </c>
    </row>
    <row r="125" spans="1:14" x14ac:dyDescent="0.35">
      <c r="A125" s="2">
        <v>124550</v>
      </c>
      <c r="B125" t="s">
        <v>1068</v>
      </c>
      <c r="C125" s="1" t="str">
        <f>VLOOKUP(Table1[[#This Row],[Name]],MountsByName[],2,FALSE)</f>
        <v>Drake</v>
      </c>
      <c r="D125" s="1">
        <f>VLOOKUP(Table1[[#This Row],[Name]],MountsByName[],3,FALSE)</f>
        <v>2.8</v>
      </c>
      <c r="E125" s="1">
        <f>VLOOKUP(Table1[[#This Row],[Name]],MountsByName[],4,FALSE)</f>
        <v>2.8</v>
      </c>
      <c r="F125" s="1">
        <f>VLOOKUP(Table1[[#This Row],[Name]],MountsByName[],5,FALSE)</f>
        <v>0</v>
      </c>
      <c r="G125" s="1">
        <f>VLOOKUP(Table1[[#This Row],[Name]],MountsByName[],6,FALSE)</f>
        <v>1</v>
      </c>
      <c r="H125" s="1">
        <f>VLOOKUP(Table1[[#This Row],[Name]],MountsByName[],7,FALSE)</f>
        <v>0</v>
      </c>
      <c r="I125" s="1">
        <f>VLOOKUP(Table1[[#This Row],[Name]],MountsByName[],8,FALSE)</f>
        <v>0</v>
      </c>
      <c r="J125" s="1">
        <f>VLOOKUP(Table1[[#This Row],[Name]],MountsByName[],9,FALSE)</f>
        <v>0</v>
      </c>
      <c r="K125" s="1">
        <f>VLOOKUP(Table1[[#This Row],[Name]],MountsByName[],10,FALSE)</f>
        <v>0</v>
      </c>
      <c r="L125" s="1">
        <f>VLOOKUP(Table1[[#This Row],[Name]],MountsByName[],11,FALSE)</f>
        <v>0</v>
      </c>
      <c r="M125" s="1">
        <f>VLOOKUP(Table1[[#This Row],[Name]],MountsByName[],12,FALSE)</f>
        <v>1</v>
      </c>
      <c r="N12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[124550] ={"Cataclysmic Gladiator's Twilight Drake", 124550, 0, 2.8, 2.8, 0, "Drake", "0", 1, 0},</v>
      </c>
    </row>
    <row r="126" spans="1:14" x14ac:dyDescent="0.35">
      <c r="A126" s="2">
        <v>148392</v>
      </c>
      <c r="B126" t="s">
        <v>1038</v>
      </c>
      <c r="C126" s="1" t="str">
        <f>VLOOKUP(Table1[[#This Row],[Name]],MountsByName[],2,FALSE)</f>
        <v>Drake</v>
      </c>
      <c r="D126" s="1">
        <f>VLOOKUP(Table1[[#This Row],[Name]],MountsByName[],3,FALSE)</f>
        <v>2.8</v>
      </c>
      <c r="E126" s="1">
        <f>VLOOKUP(Table1[[#This Row],[Name]],MountsByName[],4,FALSE)</f>
        <v>2.8</v>
      </c>
      <c r="F126" s="1">
        <f>VLOOKUP(Table1[[#This Row],[Name]],MountsByName[],5,FALSE)</f>
        <v>0</v>
      </c>
      <c r="G126" s="1">
        <f>VLOOKUP(Table1[[#This Row],[Name]],MountsByName[],6,FALSE)</f>
        <v>1</v>
      </c>
      <c r="H126" s="1">
        <f>VLOOKUP(Table1[[#This Row],[Name]],MountsByName[],7,FALSE)</f>
        <v>0</v>
      </c>
      <c r="I126" s="1">
        <f>VLOOKUP(Table1[[#This Row],[Name]],MountsByName[],8,FALSE)</f>
        <v>0</v>
      </c>
      <c r="J126" s="1">
        <f>VLOOKUP(Table1[[#This Row],[Name]],MountsByName[],9,FALSE)</f>
        <v>0</v>
      </c>
      <c r="K126" s="1">
        <f>VLOOKUP(Table1[[#This Row],[Name]],MountsByName[],10,FALSE)</f>
        <v>0</v>
      </c>
      <c r="L126" s="1">
        <f>VLOOKUP(Table1[[#This Row],[Name]],MountsByName[],11,FALSE)</f>
        <v>0</v>
      </c>
      <c r="M126" s="1">
        <f>VLOOKUP(Table1[[#This Row],[Name]],MountsByName[],12,FALSE)</f>
        <v>1</v>
      </c>
      <c r="N12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[148392] ={"Spawn of Galakras", 148392, 0, 2.8, 2.8, 0, "Drake", "0", 1, 0},</v>
      </c>
    </row>
    <row r="127" spans="1:14" x14ac:dyDescent="0.35">
      <c r="A127" s="2">
        <v>394209</v>
      </c>
      <c r="B127" t="s">
        <v>426</v>
      </c>
      <c r="C127" s="1" t="str">
        <f>VLOOKUP(Table1[[#This Row],[Name]],MountsByName[],2,FALSE)</f>
        <v>Drake</v>
      </c>
      <c r="D127" s="1">
        <f>VLOOKUP(Table1[[#This Row],[Name]],MountsByName[],3,FALSE)</f>
        <v>2.8</v>
      </c>
      <c r="E127" s="1">
        <f>VLOOKUP(Table1[[#This Row],[Name]],MountsByName[],4,FALSE)</f>
        <v>0.6</v>
      </c>
      <c r="F127" s="1">
        <f>VLOOKUP(Table1[[#This Row],[Name]],MountsByName[],5,FALSE)</f>
        <v>0</v>
      </c>
      <c r="G127" s="1">
        <f>VLOOKUP(Table1[[#This Row],[Name]],MountsByName[],6,FALSE)</f>
        <v>1</v>
      </c>
      <c r="H127" s="1">
        <f>VLOOKUP(Table1[[#This Row],[Name]],MountsByName[],7,FALSE)</f>
        <v>0</v>
      </c>
      <c r="I127" s="1">
        <f>VLOOKUP(Table1[[#This Row],[Name]],MountsByName[],8,FALSE)</f>
        <v>0</v>
      </c>
      <c r="J127" s="1" t="str">
        <f>VLOOKUP(Table1[[#This Row],[Name]],MountsByName[],9,FALSE)</f>
        <v>Sub</v>
      </c>
      <c r="K127" s="1">
        <f>VLOOKUP(Table1[[#This Row],[Name]],MountsByName[],10,FALSE)</f>
        <v>1</v>
      </c>
      <c r="L127" s="1">
        <f>VLOOKUP(Table1[[#This Row],[Name]],MountsByName[],11,FALSE)</f>
        <v>1</v>
      </c>
      <c r="M127" s="1">
        <f>VLOOKUP(Table1[[#This Row],[Name]],MountsByName[],12,FALSE)</f>
        <v>1</v>
      </c>
      <c r="N12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[394209] ={"Festering Emerald Drake", 394209, 0, 2.8, 0.6, 0, "Drake", "Sub", 1, 0},</v>
      </c>
    </row>
    <row r="128" spans="1:14" x14ac:dyDescent="0.35">
      <c r="A128" s="2">
        <v>416158</v>
      </c>
      <c r="B128" t="s">
        <v>429</v>
      </c>
      <c r="C128" s="1" t="str">
        <f>VLOOKUP(Table1[[#This Row],[Name]],MountsByName[],2,FALSE)</f>
        <v>Drake</v>
      </c>
      <c r="D128" s="1">
        <f>VLOOKUP(Table1[[#This Row],[Name]],MountsByName[],3,FALSE)</f>
        <v>2.8</v>
      </c>
      <c r="E128" s="1">
        <f>VLOOKUP(Table1[[#This Row],[Name]],MountsByName[],4,FALSE)</f>
        <v>1.5</v>
      </c>
      <c r="F128" s="1">
        <f>VLOOKUP(Table1[[#This Row],[Name]],MountsByName[],5,FALSE)</f>
        <v>0</v>
      </c>
      <c r="G128" s="1">
        <f>VLOOKUP(Table1[[#This Row],[Name]],MountsByName[],6,FALSE)</f>
        <v>1</v>
      </c>
      <c r="H128" s="1">
        <f>VLOOKUP(Table1[[#This Row],[Name]],MountsByName[],7,FALSE)</f>
        <v>0</v>
      </c>
      <c r="I128" s="1">
        <f>VLOOKUP(Table1[[#This Row],[Name]],MountsByName[],8,FALSE)</f>
        <v>0</v>
      </c>
      <c r="J128" s="1" t="str">
        <f>VLOOKUP(Table1[[#This Row],[Name]],MountsByName[],9,FALSE)</f>
        <v>?</v>
      </c>
      <c r="K128" s="1">
        <f>VLOOKUP(Table1[[#This Row],[Name]],MountsByName[],10,FALSE)</f>
        <v>1</v>
      </c>
      <c r="L128" s="1">
        <f>VLOOKUP(Table1[[#This Row],[Name]],MountsByName[],11,FALSE)</f>
        <v>1</v>
      </c>
      <c r="M128" s="1">
        <f>VLOOKUP(Table1[[#This Row],[Name]],MountsByName[],12,FALSE)</f>
        <v>1</v>
      </c>
      <c r="N12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[416158] ={"Nightmarish Emerald Drake", 416158, 0, 2.8, 1.5, 0, "Drake", "?", 1, 0},</v>
      </c>
    </row>
    <row r="129" spans="1:14" x14ac:dyDescent="0.35">
      <c r="A129" s="2">
        <v>463045</v>
      </c>
      <c r="B129" t="s">
        <v>439</v>
      </c>
      <c r="C129" s="1" t="str">
        <f>VLOOKUP(Table1[[#This Row],[Name]],MountsByName[],2,FALSE)</f>
        <v>Drake</v>
      </c>
      <c r="D129" s="1">
        <f>VLOOKUP(Table1[[#This Row],[Name]],MountsByName[],3,FALSE)</f>
        <v>2.8</v>
      </c>
      <c r="E129" s="1">
        <f>VLOOKUP(Table1[[#This Row],[Name]],MountsByName[],4,FALSE)</f>
        <v>2.8</v>
      </c>
      <c r="F129" s="1">
        <f>VLOOKUP(Table1[[#This Row],[Name]],MountsByName[],5,FALSE)</f>
        <v>0</v>
      </c>
      <c r="G129" s="1">
        <f>VLOOKUP(Table1[[#This Row],[Name]],MountsByName[],6,FALSE)</f>
        <v>1</v>
      </c>
      <c r="H129" s="1">
        <f>VLOOKUP(Table1[[#This Row],[Name]],MountsByName[],7,FALSE)</f>
        <v>0</v>
      </c>
      <c r="I129" s="1">
        <f>VLOOKUP(Table1[[#This Row],[Name]],MountsByName[],8,FALSE)</f>
        <v>0</v>
      </c>
      <c r="J129" s="1">
        <f>VLOOKUP(Table1[[#This Row],[Name]],MountsByName[],9,FALSE)</f>
        <v>0</v>
      </c>
      <c r="K129" s="1">
        <f>VLOOKUP(Table1[[#This Row],[Name]],MountsByName[],10,FALSE)</f>
        <v>0</v>
      </c>
      <c r="L129" s="1">
        <f>VLOOKUP(Table1[[#This Row],[Name]],MountsByName[],11,FALSE)</f>
        <v>0</v>
      </c>
      <c r="M129" s="1">
        <f>VLOOKUP(Table1[[#This Row],[Name]],MountsByName[],12,FALSE)</f>
        <v>1</v>
      </c>
      <c r="N12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[463045] ={"Lava Drake", 463045, 0, 2.8, 2.8, 0, "Drake", "0", 1, 0},</v>
      </c>
    </row>
    <row r="130" spans="1:14" x14ac:dyDescent="0.35">
      <c r="A130" s="2">
        <v>34406</v>
      </c>
      <c r="B130" t="s">
        <v>115</v>
      </c>
      <c r="C130" s="1" t="str">
        <f>VLOOKUP(Table1[[#This Row],[Name]],MountsByName[],2,FALSE)</f>
        <v>Elekk</v>
      </c>
      <c r="D130" s="1">
        <f>VLOOKUP(Table1[[#This Row],[Name]],MountsByName[],3,FALSE)</f>
        <v>0.6</v>
      </c>
      <c r="E130" s="1">
        <f>VLOOKUP(Table1[[#This Row],[Name]],MountsByName[],4,FALSE)</f>
        <v>0.6</v>
      </c>
      <c r="F130" s="1">
        <f>VLOOKUP(Table1[[#This Row],[Name]],MountsByName[],5,FALSE)</f>
        <v>0</v>
      </c>
      <c r="G130" s="1">
        <f>VLOOKUP(Table1[[#This Row],[Name]],MountsByName[],6,FALSE)</f>
        <v>1</v>
      </c>
      <c r="H130" s="1">
        <f>VLOOKUP(Table1[[#This Row],[Name]],MountsByName[],7,FALSE)</f>
        <v>0</v>
      </c>
      <c r="I130" s="1">
        <f>VLOOKUP(Table1[[#This Row],[Name]],MountsByName[],8,FALSE)</f>
        <v>28481</v>
      </c>
      <c r="J130" s="1" t="str">
        <f>VLOOKUP(Table1[[#This Row],[Name]],MountsByName[],9,FALSE)</f>
        <v>Exalted Exodar</v>
      </c>
      <c r="K130" s="1">
        <f>VLOOKUP(Table1[[#This Row],[Name]],MountsByName[],10,FALSE)</f>
        <v>1</v>
      </c>
      <c r="L130" s="1">
        <f>VLOOKUP(Table1[[#This Row],[Name]],MountsByName[],11,FALSE)</f>
        <v>0</v>
      </c>
      <c r="M130" s="1">
        <f>VLOOKUP(Table1[[#This Row],[Name]],MountsByName[],12,FALSE)</f>
        <v>1</v>
      </c>
      <c r="N13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[34406] ={"Brown Elekk", 34406, 28481, 0.6, 0.6, 0, "Elekk", "Exalted Exodar", 1, 0},</v>
      </c>
    </row>
    <row r="131" spans="1:14" x14ac:dyDescent="0.35">
      <c r="A131" s="2">
        <v>35710</v>
      </c>
      <c r="B131" t="s">
        <v>148</v>
      </c>
      <c r="C131" s="1" t="str">
        <f>VLOOKUP(Table1[[#This Row],[Name]],MountsByName[],2,FALSE)</f>
        <v>Elekk</v>
      </c>
      <c r="D131" s="1">
        <f>VLOOKUP(Table1[[#This Row],[Name]],MountsByName[],3,FALSE)</f>
        <v>0.6</v>
      </c>
      <c r="E131" s="1">
        <f>VLOOKUP(Table1[[#This Row],[Name]],MountsByName[],4,FALSE)</f>
        <v>0.6</v>
      </c>
      <c r="F131" s="1">
        <f>VLOOKUP(Table1[[#This Row],[Name]],MountsByName[],5,FALSE)</f>
        <v>0</v>
      </c>
      <c r="G131" s="1">
        <f>VLOOKUP(Table1[[#This Row],[Name]],MountsByName[],6,FALSE)</f>
        <v>1</v>
      </c>
      <c r="H131" s="1">
        <f>VLOOKUP(Table1[[#This Row],[Name]],MountsByName[],7,FALSE)</f>
        <v>0</v>
      </c>
      <c r="I131" s="1">
        <f>VLOOKUP(Table1[[#This Row],[Name]],MountsByName[],8,FALSE)</f>
        <v>29744</v>
      </c>
      <c r="J131" s="1" t="str">
        <f>VLOOKUP(Table1[[#This Row],[Name]],MountsByName[],9,FALSE)</f>
        <v>Exalted Exodar</v>
      </c>
      <c r="K131" s="1">
        <f>VLOOKUP(Table1[[#This Row],[Name]],MountsByName[],10,FALSE)</f>
        <v>1</v>
      </c>
      <c r="L131" s="1">
        <f>VLOOKUP(Table1[[#This Row],[Name]],MountsByName[],11,FALSE)</f>
        <v>0</v>
      </c>
      <c r="M131" s="1">
        <f>VLOOKUP(Table1[[#This Row],[Name]],MountsByName[],12,FALSE)</f>
        <v>1</v>
      </c>
      <c r="N131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[35710] ={"Gray Elekk", 35710, 29744, 0.6, 0.6, 0, "Elekk", "Exalted Exodar", 1, 0},</v>
      </c>
    </row>
    <row r="132" spans="1:14" x14ac:dyDescent="0.35">
      <c r="A132" s="2">
        <v>35711</v>
      </c>
      <c r="B132" t="s">
        <v>182</v>
      </c>
      <c r="C132" s="1" t="str">
        <f>VLOOKUP(Table1[[#This Row],[Name]],MountsByName[],2,FALSE)</f>
        <v>Elekk</v>
      </c>
      <c r="D132" s="1">
        <f>VLOOKUP(Table1[[#This Row],[Name]],MountsByName[],3,FALSE)</f>
        <v>0.6</v>
      </c>
      <c r="E132" s="1">
        <f>VLOOKUP(Table1[[#This Row],[Name]],MountsByName[],4,FALSE)</f>
        <v>0.6</v>
      </c>
      <c r="F132" s="1">
        <f>VLOOKUP(Table1[[#This Row],[Name]],MountsByName[],5,FALSE)</f>
        <v>0</v>
      </c>
      <c r="G132" s="1">
        <f>VLOOKUP(Table1[[#This Row],[Name]],MountsByName[],6,FALSE)</f>
        <v>1</v>
      </c>
      <c r="H132" s="1">
        <f>VLOOKUP(Table1[[#This Row],[Name]],MountsByName[],7,FALSE)</f>
        <v>0</v>
      </c>
      <c r="I132" s="1">
        <f>VLOOKUP(Table1[[#This Row],[Name]],MountsByName[],8,FALSE)</f>
        <v>29743</v>
      </c>
      <c r="J132" s="1" t="str">
        <f>VLOOKUP(Table1[[#This Row],[Name]],MountsByName[],9,FALSE)</f>
        <v>Exalted Exodar</v>
      </c>
      <c r="K132" s="1">
        <f>VLOOKUP(Table1[[#This Row],[Name]],MountsByName[],10,FALSE)</f>
        <v>1</v>
      </c>
      <c r="L132" s="1">
        <f>VLOOKUP(Table1[[#This Row],[Name]],MountsByName[],11,FALSE)</f>
        <v>0</v>
      </c>
      <c r="M132" s="1">
        <f>VLOOKUP(Table1[[#This Row],[Name]],MountsByName[],12,FALSE)</f>
        <v>1</v>
      </c>
      <c r="N13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[35711] ={"Purple Elekk", 35711, 29743, 0.6, 0.6, 0, "Elekk", "Exalted Exodar", 1, 0},</v>
      </c>
    </row>
    <row r="133" spans="1:14" x14ac:dyDescent="0.35">
      <c r="A133" s="2">
        <v>35712</v>
      </c>
      <c r="B133" t="s">
        <v>158</v>
      </c>
      <c r="C133" s="1" t="str">
        <f>VLOOKUP(Table1[[#This Row],[Name]],MountsByName[],2,FALSE)</f>
        <v>Elekk</v>
      </c>
      <c r="D133" s="1">
        <f>VLOOKUP(Table1[[#This Row],[Name]],MountsByName[],3,FALSE)</f>
        <v>1</v>
      </c>
      <c r="E133" s="1">
        <f>VLOOKUP(Table1[[#This Row],[Name]],MountsByName[],4,FALSE)</f>
        <v>1</v>
      </c>
      <c r="F133" s="1">
        <f>VLOOKUP(Table1[[#This Row],[Name]],MountsByName[],5,FALSE)</f>
        <v>0</v>
      </c>
      <c r="G133" s="1">
        <f>VLOOKUP(Table1[[#This Row],[Name]],MountsByName[],6,FALSE)</f>
        <v>1</v>
      </c>
      <c r="H133" s="1">
        <f>VLOOKUP(Table1[[#This Row],[Name]],MountsByName[],7,FALSE)</f>
        <v>0</v>
      </c>
      <c r="I133" s="1">
        <f>VLOOKUP(Table1[[#This Row],[Name]],MountsByName[],8,FALSE)</f>
        <v>29746</v>
      </c>
      <c r="J133" s="1" t="str">
        <f>VLOOKUP(Table1[[#This Row],[Name]],MountsByName[],9,FALSE)</f>
        <v>Exalted Exodar</v>
      </c>
      <c r="K133" s="1">
        <f>VLOOKUP(Table1[[#This Row],[Name]],MountsByName[],10,FALSE)</f>
        <v>1</v>
      </c>
      <c r="L133" s="1">
        <f>VLOOKUP(Table1[[#This Row],[Name]],MountsByName[],11,FALSE)</f>
        <v>0</v>
      </c>
      <c r="M133" s="1">
        <f>VLOOKUP(Table1[[#This Row],[Name]],MountsByName[],12,FALSE)</f>
        <v>1</v>
      </c>
      <c r="N13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[35712] ={"Great Green Elekk", 35712, 29746, 1, 1, 0, "Elekk", "Exalted Exodar", 1, 0},</v>
      </c>
    </row>
    <row r="134" spans="1:14" x14ac:dyDescent="0.35">
      <c r="A134" s="2">
        <v>35713</v>
      </c>
      <c r="B134" t="s">
        <v>152</v>
      </c>
      <c r="C134" s="1" t="str">
        <f>VLOOKUP(Table1[[#This Row],[Name]],MountsByName[],2,FALSE)</f>
        <v>Elekk</v>
      </c>
      <c r="D134" s="1">
        <f>VLOOKUP(Table1[[#This Row],[Name]],MountsByName[],3,FALSE)</f>
        <v>1</v>
      </c>
      <c r="E134" s="1">
        <f>VLOOKUP(Table1[[#This Row],[Name]],MountsByName[],4,FALSE)</f>
        <v>1</v>
      </c>
      <c r="F134" s="1">
        <f>VLOOKUP(Table1[[#This Row],[Name]],MountsByName[],5,FALSE)</f>
        <v>0</v>
      </c>
      <c r="G134" s="1">
        <f>VLOOKUP(Table1[[#This Row],[Name]],MountsByName[],6,FALSE)</f>
        <v>1</v>
      </c>
      <c r="H134" s="1">
        <f>VLOOKUP(Table1[[#This Row],[Name]],MountsByName[],7,FALSE)</f>
        <v>0</v>
      </c>
      <c r="I134" s="1">
        <f>VLOOKUP(Table1[[#This Row],[Name]],MountsByName[],8,FALSE)</f>
        <v>29745</v>
      </c>
      <c r="J134" s="1" t="str">
        <f>VLOOKUP(Table1[[#This Row],[Name]],MountsByName[],9,FALSE)</f>
        <v>Exalted Exodar</v>
      </c>
      <c r="K134" s="1">
        <f>VLOOKUP(Table1[[#This Row],[Name]],MountsByName[],10,FALSE)</f>
        <v>1</v>
      </c>
      <c r="L134" s="1">
        <f>VLOOKUP(Table1[[#This Row],[Name]],MountsByName[],11,FALSE)</f>
        <v>0</v>
      </c>
      <c r="M134" s="1">
        <f>VLOOKUP(Table1[[#This Row],[Name]],MountsByName[],12,FALSE)</f>
        <v>1</v>
      </c>
      <c r="N13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[35713] ={"Great Blue Elekk", 35713, 29745, 1, 1, 0, "Elekk", "Exalted Exodar", 1, 0},</v>
      </c>
    </row>
    <row r="135" spans="1:14" x14ac:dyDescent="0.35">
      <c r="A135" s="2">
        <v>35714</v>
      </c>
      <c r="B135" t="s">
        <v>159</v>
      </c>
      <c r="C135" s="1" t="str">
        <f>VLOOKUP(Table1[[#This Row],[Name]],MountsByName[],2,FALSE)</f>
        <v>Elekk</v>
      </c>
      <c r="D135" s="1">
        <f>VLOOKUP(Table1[[#This Row],[Name]],MountsByName[],3,FALSE)</f>
        <v>1</v>
      </c>
      <c r="E135" s="1">
        <f>VLOOKUP(Table1[[#This Row],[Name]],MountsByName[],4,FALSE)</f>
        <v>1</v>
      </c>
      <c r="F135" s="1">
        <f>VLOOKUP(Table1[[#This Row],[Name]],MountsByName[],5,FALSE)</f>
        <v>0</v>
      </c>
      <c r="G135" s="1">
        <f>VLOOKUP(Table1[[#This Row],[Name]],MountsByName[],6,FALSE)</f>
        <v>1</v>
      </c>
      <c r="H135" s="1">
        <f>VLOOKUP(Table1[[#This Row],[Name]],MountsByName[],7,FALSE)</f>
        <v>0</v>
      </c>
      <c r="I135" s="1">
        <f>VLOOKUP(Table1[[#This Row],[Name]],MountsByName[],8,FALSE)</f>
        <v>29747</v>
      </c>
      <c r="J135" s="1" t="str">
        <f>VLOOKUP(Table1[[#This Row],[Name]],MountsByName[],9,FALSE)</f>
        <v>Exalted Exodar</v>
      </c>
      <c r="K135" s="1">
        <f>VLOOKUP(Table1[[#This Row],[Name]],MountsByName[],10,FALSE)</f>
        <v>1</v>
      </c>
      <c r="L135" s="1">
        <f>VLOOKUP(Table1[[#This Row],[Name]],MountsByName[],11,FALSE)</f>
        <v>0</v>
      </c>
      <c r="M135" s="1">
        <f>VLOOKUP(Table1[[#This Row],[Name]],MountsByName[],12,FALSE)</f>
        <v>1</v>
      </c>
      <c r="N13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[35714] ={"Great Purple Elekk", 35714, 29747, 1, 1, 0, "Elekk", "Exalted Exodar", 1, 0},</v>
      </c>
    </row>
    <row r="136" spans="1:14" x14ac:dyDescent="0.35">
      <c r="A136" s="2">
        <v>48027</v>
      </c>
      <c r="B136" t="s">
        <v>97</v>
      </c>
      <c r="C136" s="1" t="str">
        <f>VLOOKUP(Table1[[#This Row],[Name]],MountsByName[],2,FALSE)</f>
        <v>Elekk</v>
      </c>
      <c r="D136" s="1">
        <f>VLOOKUP(Table1[[#This Row],[Name]],MountsByName[],3,FALSE)</f>
        <v>1</v>
      </c>
      <c r="E136" s="1">
        <f>VLOOKUP(Table1[[#This Row],[Name]],MountsByName[],4,FALSE)</f>
        <v>1</v>
      </c>
      <c r="F136" s="1">
        <f>VLOOKUP(Table1[[#This Row],[Name]],MountsByName[],5,FALSE)</f>
        <v>0</v>
      </c>
      <c r="G136" s="1">
        <f>VLOOKUP(Table1[[#This Row],[Name]],MountsByName[],6,FALSE)</f>
        <v>1</v>
      </c>
      <c r="H136" s="1">
        <f>VLOOKUP(Table1[[#This Row],[Name]],MountsByName[],7,FALSE)</f>
        <v>0</v>
      </c>
      <c r="I136" s="1">
        <f>VLOOKUP(Table1[[#This Row],[Name]],MountsByName[],8,FALSE)</f>
        <v>35906</v>
      </c>
      <c r="J136" s="1" t="str">
        <f>VLOOKUP(Table1[[#This Row],[Name]],MountsByName[],9,FALSE)</f>
        <v>Honor</v>
      </c>
      <c r="K136" s="1">
        <f>VLOOKUP(Table1[[#This Row],[Name]],MountsByName[],10,FALSE)</f>
        <v>1</v>
      </c>
      <c r="L136" s="1">
        <f>VLOOKUP(Table1[[#This Row],[Name]],MountsByName[],11,FALSE)</f>
        <v>0</v>
      </c>
      <c r="M136" s="1">
        <f>VLOOKUP(Table1[[#This Row],[Name]],MountsByName[],12,FALSE)</f>
        <v>1</v>
      </c>
      <c r="N13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[48027] ={"Black War Elekk", 48027, 35906, 1, 1, 0, "Elekk", "Honor", 1, 0},</v>
      </c>
    </row>
    <row r="137" spans="1:14" x14ac:dyDescent="0.35">
      <c r="A137" s="2">
        <v>63639</v>
      </c>
      <c r="B137" t="s">
        <v>136</v>
      </c>
      <c r="C137" s="1" t="str">
        <f>VLOOKUP(Table1[[#This Row],[Name]],MountsByName[],2,FALSE)</f>
        <v>Elekk</v>
      </c>
      <c r="D137" s="1">
        <f>VLOOKUP(Table1[[#This Row],[Name]],MountsByName[],3,FALSE)</f>
        <v>1</v>
      </c>
      <c r="E137" s="1">
        <f>VLOOKUP(Table1[[#This Row],[Name]],MountsByName[],4,FALSE)</f>
        <v>1</v>
      </c>
      <c r="F137" s="1">
        <f>VLOOKUP(Table1[[#This Row],[Name]],MountsByName[],5,FALSE)</f>
        <v>0</v>
      </c>
      <c r="G137" s="1">
        <f>VLOOKUP(Table1[[#This Row],[Name]],MountsByName[],6,FALSE)</f>
        <v>1</v>
      </c>
      <c r="H137" s="1">
        <f>VLOOKUP(Table1[[#This Row],[Name]],MountsByName[],7,FALSE)</f>
        <v>0</v>
      </c>
      <c r="I137" s="1">
        <f>VLOOKUP(Table1[[#This Row],[Name]],MountsByName[],8,FALSE)</f>
        <v>45590</v>
      </c>
      <c r="J137" s="1" t="str">
        <f>VLOOKUP(Table1[[#This Row],[Name]],MountsByName[],9,FALSE)</f>
        <v>Champion's Seals</v>
      </c>
      <c r="K137" s="1">
        <f>VLOOKUP(Table1[[#This Row],[Name]],MountsByName[],10,FALSE)</f>
        <v>1</v>
      </c>
      <c r="L137" s="1">
        <f>VLOOKUP(Table1[[#This Row],[Name]],MountsByName[],11,FALSE)</f>
        <v>0</v>
      </c>
      <c r="M137" s="1">
        <f>VLOOKUP(Table1[[#This Row],[Name]],MountsByName[],12,FALSE)</f>
        <v>1</v>
      </c>
      <c r="N13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[63639] ={"Exodar Elekk", 63639, 45590, 1, 1, 0, "Elekk", "Champion's Seals", 1, 0},</v>
      </c>
    </row>
    <row r="138" spans="1:14" x14ac:dyDescent="0.35">
      <c r="A138" s="2">
        <v>65637</v>
      </c>
      <c r="B138" t="s">
        <v>160</v>
      </c>
      <c r="C138" s="1" t="str">
        <f>VLOOKUP(Table1[[#This Row],[Name]],MountsByName[],2,FALSE)</f>
        <v>Elekk</v>
      </c>
      <c r="D138" s="1">
        <f>VLOOKUP(Table1[[#This Row],[Name]],MountsByName[],3,FALSE)</f>
        <v>1</v>
      </c>
      <c r="E138" s="1">
        <f>VLOOKUP(Table1[[#This Row],[Name]],MountsByName[],4,FALSE)</f>
        <v>1</v>
      </c>
      <c r="F138" s="1">
        <f>VLOOKUP(Table1[[#This Row],[Name]],MountsByName[],5,FALSE)</f>
        <v>0</v>
      </c>
      <c r="G138" s="1">
        <f>VLOOKUP(Table1[[#This Row],[Name]],MountsByName[],6,FALSE)</f>
        <v>1</v>
      </c>
      <c r="H138" s="1">
        <f>VLOOKUP(Table1[[#This Row],[Name]],MountsByName[],7,FALSE)</f>
        <v>0</v>
      </c>
      <c r="I138" s="1">
        <f>VLOOKUP(Table1[[#This Row],[Name]],MountsByName[],8,FALSE)</f>
        <v>46756</v>
      </c>
      <c r="J138" s="1" t="str">
        <f>VLOOKUP(Table1[[#This Row],[Name]],MountsByName[],9,FALSE)</f>
        <v>Champion's Seals</v>
      </c>
      <c r="K138" s="1">
        <f>VLOOKUP(Table1[[#This Row],[Name]],MountsByName[],10,FALSE)</f>
        <v>1</v>
      </c>
      <c r="L138" s="1">
        <f>VLOOKUP(Table1[[#This Row],[Name]],MountsByName[],11,FALSE)</f>
        <v>0</v>
      </c>
      <c r="M138" s="1">
        <f>VLOOKUP(Table1[[#This Row],[Name]],MountsByName[],12,FALSE)</f>
        <v>1</v>
      </c>
      <c r="N13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[65637] ={"Great Red Elekk", 65637, 46756, 1, 1, 0, "Elekk", "Champion's Seals", 1, 0},</v>
      </c>
    </row>
    <row r="139" spans="1:14" x14ac:dyDescent="0.35">
      <c r="A139" s="2">
        <v>73629</v>
      </c>
      <c r="B139" t="s">
        <v>475</v>
      </c>
      <c r="C139" s="1" t="str">
        <f>VLOOKUP(Table1[[#This Row],[Name]],MountsByName[],2,FALSE)</f>
        <v>Elekk</v>
      </c>
      <c r="D139" s="1">
        <f>VLOOKUP(Table1[[#This Row],[Name]],MountsByName[],3,FALSE)</f>
        <v>1</v>
      </c>
      <c r="E139" s="1">
        <f>VLOOKUP(Table1[[#This Row],[Name]],MountsByName[],4,FALSE)</f>
        <v>1</v>
      </c>
      <c r="F139" s="1">
        <f>VLOOKUP(Table1[[#This Row],[Name]],MountsByName[],5,FALSE)</f>
        <v>0</v>
      </c>
      <c r="G139" s="1">
        <f>VLOOKUP(Table1[[#This Row],[Name]],MountsByName[],6,FALSE)</f>
        <v>1</v>
      </c>
      <c r="H139" s="1">
        <f>VLOOKUP(Table1[[#This Row],[Name]],MountsByName[],7,FALSE)</f>
        <v>0</v>
      </c>
      <c r="I139" s="1">
        <f>VLOOKUP(Table1[[#This Row],[Name]],MountsByName[],8,FALSE)</f>
        <v>0</v>
      </c>
      <c r="J139" s="1">
        <f>VLOOKUP(Table1[[#This Row],[Name]],MountsByName[],9,FALSE)</f>
        <v>0</v>
      </c>
      <c r="K139" s="1">
        <f>VLOOKUP(Table1[[#This Row],[Name]],MountsByName[],10,FALSE)</f>
        <v>0</v>
      </c>
      <c r="L139" s="1">
        <f>VLOOKUP(Table1[[#This Row],[Name]],MountsByName[],11,FALSE)</f>
        <v>0</v>
      </c>
      <c r="M139" s="1">
        <f>VLOOKUP(Table1[[#This Row],[Name]],MountsByName[],12,FALSE)</f>
        <v>1</v>
      </c>
      <c r="N13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[73629] ={"Summon Exarch's Elekk", 73629, 0, 1, 1, 0, "Elekk", "0", 1, 0},</v>
      </c>
    </row>
    <row r="140" spans="1:14" x14ac:dyDescent="0.35">
      <c r="A140" s="2">
        <v>73630</v>
      </c>
      <c r="B140" t="s">
        <v>478</v>
      </c>
      <c r="C140" s="1" t="str">
        <f>VLOOKUP(Table1[[#This Row],[Name]],MountsByName[],2,FALSE)</f>
        <v>Elekk</v>
      </c>
      <c r="D140" s="1">
        <f>VLOOKUP(Table1[[#This Row],[Name]],MountsByName[],3,FALSE)</f>
        <v>1</v>
      </c>
      <c r="E140" s="1">
        <f>VLOOKUP(Table1[[#This Row],[Name]],MountsByName[],4,FALSE)</f>
        <v>1</v>
      </c>
      <c r="F140" s="1">
        <f>VLOOKUP(Table1[[#This Row],[Name]],MountsByName[],5,FALSE)</f>
        <v>0</v>
      </c>
      <c r="G140" s="1">
        <f>VLOOKUP(Table1[[#This Row],[Name]],MountsByName[],6,FALSE)</f>
        <v>1</v>
      </c>
      <c r="H140" s="1">
        <f>VLOOKUP(Table1[[#This Row],[Name]],MountsByName[],7,FALSE)</f>
        <v>0</v>
      </c>
      <c r="I140" s="1">
        <f>VLOOKUP(Table1[[#This Row],[Name]],MountsByName[],8,FALSE)</f>
        <v>0</v>
      </c>
      <c r="J140" s="1">
        <f>VLOOKUP(Table1[[#This Row],[Name]],MountsByName[],9,FALSE)</f>
        <v>0</v>
      </c>
      <c r="K140" s="1">
        <f>VLOOKUP(Table1[[#This Row],[Name]],MountsByName[],10,FALSE)</f>
        <v>0</v>
      </c>
      <c r="L140" s="1">
        <f>VLOOKUP(Table1[[#This Row],[Name]],MountsByName[],11,FALSE)</f>
        <v>0</v>
      </c>
      <c r="M140" s="1">
        <f>VLOOKUP(Table1[[#This Row],[Name]],MountsByName[],12,FALSE)</f>
        <v>1</v>
      </c>
      <c r="N14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[73630] ={"Summon Great Exarch's Elekk", 73630, 0, 1, 1, 0, "Elekk", "0", 1, 0},</v>
      </c>
    </row>
    <row r="141" spans="1:14" x14ac:dyDescent="0.35">
      <c r="A141" s="2">
        <v>423869</v>
      </c>
      <c r="B141" t="s">
        <v>515</v>
      </c>
      <c r="C141" s="1" t="str">
        <f>VLOOKUP(Table1[[#This Row],[Name]],MountsByName[],2,FALSE)</f>
        <v>Elemental</v>
      </c>
      <c r="D141" s="1">
        <f>VLOOKUP(Table1[[#This Row],[Name]],MountsByName[],3,FALSE)</f>
        <v>2.8</v>
      </c>
      <c r="E141" s="1">
        <f>VLOOKUP(Table1[[#This Row],[Name]],MountsByName[],4,FALSE)</f>
        <v>2.8</v>
      </c>
      <c r="F141" s="1">
        <f>VLOOKUP(Table1[[#This Row],[Name]],MountsByName[],5,FALSE)</f>
        <v>0</v>
      </c>
      <c r="G141" s="1">
        <f>VLOOKUP(Table1[[#This Row],[Name]],MountsByName[],6,FALSE)</f>
        <v>1</v>
      </c>
      <c r="H141" s="1">
        <f>VLOOKUP(Table1[[#This Row],[Name]],MountsByName[],7,FALSE)</f>
        <v>0</v>
      </c>
      <c r="I141" s="1">
        <f>VLOOKUP(Table1[[#This Row],[Name]],MountsByName[],8,FALSE)</f>
        <v>0</v>
      </c>
      <c r="J141" s="1">
        <f>VLOOKUP(Table1[[#This Row],[Name]],MountsByName[],9,FALSE)</f>
        <v>0</v>
      </c>
      <c r="K141" s="1">
        <f>VLOOKUP(Table1[[#This Row],[Name]],MountsByName[],10,FALSE)</f>
        <v>0</v>
      </c>
      <c r="L141" s="1">
        <f>VLOOKUP(Table1[[#This Row],[Name]],MountsByName[],11,FALSE)</f>
        <v>0</v>
      </c>
      <c r="M141" s="1">
        <f>VLOOKUP(Table1[[#This Row],[Name]],MountsByName[],12,FALSE)</f>
        <v>1</v>
      </c>
      <c r="N141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[423869] ={"Avatar of Flame", 423869, 0, 2.8, 2.8, 0, "Elemental", "0", 1, 0},</v>
      </c>
    </row>
    <row r="142" spans="1:14" x14ac:dyDescent="0.35">
      <c r="A142" s="2">
        <v>142878</v>
      </c>
      <c r="B142" t="s">
        <v>1109</v>
      </c>
      <c r="C142" s="1" t="str">
        <f>VLOOKUP(Table1[[#This Row],[Name]],MountsByName[],2,FALSE)</f>
        <v>Fey Dragon</v>
      </c>
      <c r="D142" s="1">
        <f>VLOOKUP(Table1[[#This Row],[Name]],MountsByName[],3,FALSE)</f>
        <v>2.8</v>
      </c>
      <c r="E142" s="1">
        <f>VLOOKUP(Table1[[#This Row],[Name]],MountsByName[],4,FALSE)</f>
        <v>2.8</v>
      </c>
      <c r="F142" s="1">
        <f>VLOOKUP(Table1[[#This Row],[Name]],MountsByName[],5,FALSE)</f>
        <v>0</v>
      </c>
      <c r="G142" s="1">
        <f>VLOOKUP(Table1[[#This Row],[Name]],MountsByName[],6,FALSE)</f>
        <v>1</v>
      </c>
      <c r="H142" s="1">
        <f>VLOOKUP(Table1[[#This Row],[Name]],MountsByName[],7,FALSE)</f>
        <v>0</v>
      </c>
      <c r="I142" s="1">
        <f>VLOOKUP(Table1[[#This Row],[Name]],MountsByName[],8,FALSE)</f>
        <v>0</v>
      </c>
      <c r="J142" s="1">
        <f>VLOOKUP(Table1[[#This Row],[Name]],MountsByName[],9,FALSE)</f>
        <v>0</v>
      </c>
      <c r="K142" s="1">
        <f>VLOOKUP(Table1[[#This Row],[Name]],MountsByName[],10,FALSE)</f>
        <v>0</v>
      </c>
      <c r="L142" s="1">
        <f>VLOOKUP(Table1[[#This Row],[Name]],MountsByName[],11,FALSE)</f>
        <v>0</v>
      </c>
      <c r="M142" s="1">
        <f>VLOOKUP(Table1[[#This Row],[Name]],MountsByName[],12,FALSE)</f>
        <v>1</v>
      </c>
      <c r="N14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[142878] ={"Enchanted Fey Dragon", 142878, 0, 2.8, 2.8, 0, "Fey Dragon", "0", 1, 0},</v>
      </c>
    </row>
    <row r="143" spans="1:14" x14ac:dyDescent="0.35">
      <c r="A143" s="2">
        <v>118737</v>
      </c>
      <c r="B143" t="s">
        <v>1054</v>
      </c>
      <c r="C143" s="1" t="str">
        <f>VLOOKUP(Table1[[#This Row],[Name]],MountsByName[],2,FALSE)</f>
        <v>Glider</v>
      </c>
      <c r="D143" s="1">
        <f>VLOOKUP(Table1[[#This Row],[Name]],MountsByName[],3,FALSE)</f>
        <v>2.8</v>
      </c>
      <c r="E143" s="1">
        <f>VLOOKUP(Table1[[#This Row],[Name]],MountsByName[],4,FALSE)</f>
        <v>2.8</v>
      </c>
      <c r="F143" s="1">
        <f>VLOOKUP(Table1[[#This Row],[Name]],MountsByName[],5,FALSE)</f>
        <v>0</v>
      </c>
      <c r="G143" s="1">
        <f>VLOOKUP(Table1[[#This Row],[Name]],MountsByName[],6,FALSE)</f>
        <v>1</v>
      </c>
      <c r="H143" s="1">
        <f>VLOOKUP(Table1[[#This Row],[Name]],MountsByName[],7,FALSE)</f>
        <v>0</v>
      </c>
      <c r="I143" s="1">
        <f>VLOOKUP(Table1[[#This Row],[Name]],MountsByName[],8,FALSE)</f>
        <v>0</v>
      </c>
      <c r="J143" s="1">
        <f>VLOOKUP(Table1[[#This Row],[Name]],MountsByName[],9,FALSE)</f>
        <v>0</v>
      </c>
      <c r="K143" s="1">
        <f>VLOOKUP(Table1[[#This Row],[Name]],MountsByName[],10,FALSE)</f>
        <v>0</v>
      </c>
      <c r="L143" s="1">
        <f>VLOOKUP(Table1[[#This Row],[Name]],MountsByName[],11,FALSE)</f>
        <v>0</v>
      </c>
      <c r="M143" s="1">
        <f>VLOOKUP(Table1[[#This Row],[Name]],MountsByName[],12,FALSE)</f>
        <v>1</v>
      </c>
      <c r="N14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[118737] ={"Pandaren Kite", 118737, 0, 2.8, 2.8, 0, "Glider", "0", 1, 0},</v>
      </c>
    </row>
    <row r="144" spans="1:14" x14ac:dyDescent="0.35">
      <c r="A144" s="2">
        <v>130985</v>
      </c>
      <c r="B144" t="s">
        <v>1054</v>
      </c>
      <c r="C144" s="1" t="str">
        <f>VLOOKUP(Table1[[#This Row],[Name]],MountsByName[],2,FALSE)</f>
        <v>Glider</v>
      </c>
      <c r="D144" s="1">
        <f>VLOOKUP(Table1[[#This Row],[Name]],MountsByName[],3,FALSE)</f>
        <v>2.8</v>
      </c>
      <c r="E144" s="1">
        <f>VLOOKUP(Table1[[#This Row],[Name]],MountsByName[],4,FALSE)</f>
        <v>2.8</v>
      </c>
      <c r="F144" s="1">
        <f>VLOOKUP(Table1[[#This Row],[Name]],MountsByName[],5,FALSE)</f>
        <v>0</v>
      </c>
      <c r="G144" s="1">
        <f>VLOOKUP(Table1[[#This Row],[Name]],MountsByName[],6,FALSE)</f>
        <v>1</v>
      </c>
      <c r="H144" s="1">
        <f>VLOOKUP(Table1[[#This Row],[Name]],MountsByName[],7,FALSE)</f>
        <v>0</v>
      </c>
      <c r="I144" s="1">
        <f>VLOOKUP(Table1[[#This Row],[Name]],MountsByName[],8,FALSE)</f>
        <v>0</v>
      </c>
      <c r="J144" s="1">
        <f>VLOOKUP(Table1[[#This Row],[Name]],MountsByName[],9,FALSE)</f>
        <v>0</v>
      </c>
      <c r="K144" s="1">
        <f>VLOOKUP(Table1[[#This Row],[Name]],MountsByName[],10,FALSE)</f>
        <v>0</v>
      </c>
      <c r="L144" s="1">
        <f>VLOOKUP(Table1[[#This Row],[Name]],MountsByName[],11,FALSE)</f>
        <v>0</v>
      </c>
      <c r="M144" s="1">
        <f>VLOOKUP(Table1[[#This Row],[Name]],MountsByName[],12,FALSE)</f>
        <v>1</v>
      </c>
      <c r="N14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[130985] ={"Pandaren Kite", 130985, 0, 2.8, 2.8, 0, "Glider", "0", 1, 0},</v>
      </c>
    </row>
    <row r="145" spans="1:14" x14ac:dyDescent="0.35">
      <c r="A145" s="2">
        <v>133023</v>
      </c>
      <c r="B145" t="s">
        <v>1132</v>
      </c>
      <c r="C145" s="1" t="str">
        <f>VLOOKUP(Table1[[#This Row],[Name]],MountsByName[],2,FALSE)</f>
        <v>Glider</v>
      </c>
      <c r="D145" s="1">
        <f>VLOOKUP(Table1[[#This Row],[Name]],MountsByName[],3,FALSE)</f>
        <v>2.8</v>
      </c>
      <c r="E145" s="1">
        <f>VLOOKUP(Table1[[#This Row],[Name]],MountsByName[],4,FALSE)</f>
        <v>2.8</v>
      </c>
      <c r="F145" s="1">
        <f>VLOOKUP(Table1[[#This Row],[Name]],MountsByName[],5,FALSE)</f>
        <v>0</v>
      </c>
      <c r="G145" s="1">
        <f>VLOOKUP(Table1[[#This Row],[Name]],MountsByName[],6,FALSE)</f>
        <v>1</v>
      </c>
      <c r="H145" s="1">
        <f>VLOOKUP(Table1[[#This Row],[Name]],MountsByName[],7,FALSE)</f>
        <v>0</v>
      </c>
      <c r="I145" s="1">
        <f>VLOOKUP(Table1[[#This Row],[Name]],MountsByName[],8,FALSE)</f>
        <v>0</v>
      </c>
      <c r="J145" s="1">
        <f>VLOOKUP(Table1[[#This Row],[Name]],MountsByName[],9,FALSE)</f>
        <v>0</v>
      </c>
      <c r="K145" s="1">
        <f>VLOOKUP(Table1[[#This Row],[Name]],MountsByName[],10,FALSE)</f>
        <v>0</v>
      </c>
      <c r="L145" s="1">
        <f>VLOOKUP(Table1[[#This Row],[Name]],MountsByName[],11,FALSE)</f>
        <v>0</v>
      </c>
      <c r="M145" s="1">
        <f>VLOOKUP(Table1[[#This Row],[Name]],MountsByName[],12,FALSE)</f>
        <v>1</v>
      </c>
      <c r="N14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[133023] ={"Jade Pandaren Kite", 133023, 0, 2.8, 2.8, 0, "Glider", "0", 1, 0},</v>
      </c>
    </row>
    <row r="146" spans="1:14" x14ac:dyDescent="0.35">
      <c r="A146" s="2">
        <v>372677</v>
      </c>
      <c r="B146" t="s">
        <v>406</v>
      </c>
      <c r="C146" s="1" t="str">
        <f>VLOOKUP(Table1[[#This Row],[Name]],MountsByName[],2,FALSE)</f>
        <v>Glider</v>
      </c>
      <c r="D146" s="1">
        <f>VLOOKUP(Table1[[#This Row],[Name]],MountsByName[],3,FALSE)</f>
        <v>2.8</v>
      </c>
      <c r="E146" s="1">
        <f>VLOOKUP(Table1[[#This Row],[Name]],MountsByName[],4,FALSE)</f>
        <v>0.6</v>
      </c>
      <c r="F146" s="1">
        <f>VLOOKUP(Table1[[#This Row],[Name]],MountsByName[],5,FALSE)</f>
        <v>0</v>
      </c>
      <c r="G146" s="1">
        <f>VLOOKUP(Table1[[#This Row],[Name]],MountsByName[],6,FALSE)</f>
        <v>1</v>
      </c>
      <c r="H146" s="1">
        <f>VLOOKUP(Table1[[#This Row],[Name]],MountsByName[],7,FALSE)</f>
        <v>0</v>
      </c>
      <c r="I146" s="1">
        <f>VLOOKUP(Table1[[#This Row],[Name]],MountsByName[],8,FALSE)</f>
        <v>192455</v>
      </c>
      <c r="J146" s="1" t="str">
        <f>VLOOKUP(Table1[[#This Row],[Name]],MountsByName[],9,FALSE)</f>
        <v>Store</v>
      </c>
      <c r="K146" s="1">
        <f>VLOOKUP(Table1[[#This Row],[Name]],MountsByName[],10,FALSE)</f>
        <v>1</v>
      </c>
      <c r="L146" s="1">
        <f>VLOOKUP(Table1[[#This Row],[Name]],MountsByName[],11,FALSE)</f>
        <v>1</v>
      </c>
      <c r="M146" s="1">
        <f>VLOOKUP(Table1[[#This Row],[Name]],MountsByName[],12,FALSE)</f>
        <v>1</v>
      </c>
      <c r="N14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[372677] ={"Kalu'ak Whalebone Glider", 372677, 192455, 2.8, 0.6, 0, "Glider", "Store", 1, 0},</v>
      </c>
    </row>
    <row r="147" spans="1:14" x14ac:dyDescent="0.35">
      <c r="A147" s="2">
        <v>130086</v>
      </c>
      <c r="B147" t="s">
        <v>1074</v>
      </c>
      <c r="C147" s="1" t="str">
        <f>VLOOKUP(Table1[[#This Row],[Name]],MountsByName[],2,FALSE)</f>
        <v>Goat</v>
      </c>
      <c r="D147" s="1">
        <f>VLOOKUP(Table1[[#This Row],[Name]],MountsByName[],3,FALSE)</f>
        <v>1</v>
      </c>
      <c r="E147" s="1">
        <f>VLOOKUP(Table1[[#This Row],[Name]],MountsByName[],4,FALSE)</f>
        <v>1</v>
      </c>
      <c r="F147" s="1">
        <f>VLOOKUP(Table1[[#This Row],[Name]],MountsByName[],5,FALSE)</f>
        <v>0</v>
      </c>
      <c r="G147" s="1">
        <f>VLOOKUP(Table1[[#This Row],[Name]],MountsByName[],6,FALSE)</f>
        <v>1</v>
      </c>
      <c r="H147" s="1">
        <f>VLOOKUP(Table1[[#This Row],[Name]],MountsByName[],7,FALSE)</f>
        <v>0</v>
      </c>
      <c r="I147" s="1">
        <f>VLOOKUP(Table1[[#This Row],[Name]],MountsByName[],8,FALSE)</f>
        <v>0</v>
      </c>
      <c r="J147" s="1">
        <f>VLOOKUP(Table1[[#This Row],[Name]],MountsByName[],9,FALSE)</f>
        <v>0</v>
      </c>
      <c r="K147" s="1">
        <f>VLOOKUP(Table1[[#This Row],[Name]],MountsByName[],10,FALSE)</f>
        <v>0</v>
      </c>
      <c r="L147" s="1">
        <f>VLOOKUP(Table1[[#This Row],[Name]],MountsByName[],11,FALSE)</f>
        <v>0</v>
      </c>
      <c r="M147" s="1">
        <f>VLOOKUP(Table1[[#This Row],[Name]],MountsByName[],12,FALSE)</f>
        <v>1</v>
      </c>
      <c r="N14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[130086] ={"Brown Riding Goat", 130086, 0, 1, 1, 0, "Goat", "0", 1, 0},</v>
      </c>
    </row>
    <row r="148" spans="1:14" x14ac:dyDescent="0.35">
      <c r="A148" s="2">
        <v>130137</v>
      </c>
      <c r="B148" t="s">
        <v>1147</v>
      </c>
      <c r="C148" s="1" t="str">
        <f>VLOOKUP(Table1[[#This Row],[Name]],MountsByName[],2,FALSE)</f>
        <v>Goat</v>
      </c>
      <c r="D148" s="1">
        <f>VLOOKUP(Table1[[#This Row],[Name]],MountsByName[],3,FALSE)</f>
        <v>1</v>
      </c>
      <c r="E148" s="1">
        <f>VLOOKUP(Table1[[#This Row],[Name]],MountsByName[],4,FALSE)</f>
        <v>1</v>
      </c>
      <c r="F148" s="1">
        <f>VLOOKUP(Table1[[#This Row],[Name]],MountsByName[],5,FALSE)</f>
        <v>0</v>
      </c>
      <c r="G148" s="1">
        <f>VLOOKUP(Table1[[#This Row],[Name]],MountsByName[],6,FALSE)</f>
        <v>1</v>
      </c>
      <c r="H148" s="1">
        <f>VLOOKUP(Table1[[#This Row],[Name]],MountsByName[],7,FALSE)</f>
        <v>0</v>
      </c>
      <c r="I148" s="1">
        <f>VLOOKUP(Table1[[#This Row],[Name]],MountsByName[],8,FALSE)</f>
        <v>0</v>
      </c>
      <c r="J148" s="1">
        <f>VLOOKUP(Table1[[#This Row],[Name]],MountsByName[],9,FALSE)</f>
        <v>0</v>
      </c>
      <c r="K148" s="1">
        <f>VLOOKUP(Table1[[#This Row],[Name]],MountsByName[],10,FALSE)</f>
        <v>0</v>
      </c>
      <c r="L148" s="1">
        <f>VLOOKUP(Table1[[#This Row],[Name]],MountsByName[],11,FALSE)</f>
        <v>0</v>
      </c>
      <c r="M148" s="1">
        <f>VLOOKUP(Table1[[#This Row],[Name]],MountsByName[],12,FALSE)</f>
        <v>1</v>
      </c>
      <c r="N14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[130137] ={"White Riding Goat", 130137, 0, 1, 1, 0, "Goat", "0", 1, 0},</v>
      </c>
    </row>
    <row r="149" spans="1:14" x14ac:dyDescent="0.35">
      <c r="A149" s="2">
        <v>130138</v>
      </c>
      <c r="B149" t="s">
        <v>1149</v>
      </c>
      <c r="C149" s="1" t="str">
        <f>VLOOKUP(Table1[[#This Row],[Name]],MountsByName[],2,FALSE)</f>
        <v>Goat</v>
      </c>
      <c r="D149" s="1">
        <f>VLOOKUP(Table1[[#This Row],[Name]],MountsByName[],3,FALSE)</f>
        <v>1</v>
      </c>
      <c r="E149" s="1">
        <f>VLOOKUP(Table1[[#This Row],[Name]],MountsByName[],4,FALSE)</f>
        <v>1</v>
      </c>
      <c r="F149" s="1">
        <f>VLOOKUP(Table1[[#This Row],[Name]],MountsByName[],5,FALSE)</f>
        <v>0</v>
      </c>
      <c r="G149" s="1">
        <f>VLOOKUP(Table1[[#This Row],[Name]],MountsByName[],6,FALSE)</f>
        <v>1</v>
      </c>
      <c r="H149" s="1">
        <f>VLOOKUP(Table1[[#This Row],[Name]],MountsByName[],7,FALSE)</f>
        <v>0</v>
      </c>
      <c r="I149" s="1">
        <f>VLOOKUP(Table1[[#This Row],[Name]],MountsByName[],8,FALSE)</f>
        <v>0</v>
      </c>
      <c r="J149" s="1">
        <f>VLOOKUP(Table1[[#This Row],[Name]],MountsByName[],9,FALSE)</f>
        <v>0</v>
      </c>
      <c r="K149" s="1">
        <f>VLOOKUP(Table1[[#This Row],[Name]],MountsByName[],10,FALSE)</f>
        <v>0</v>
      </c>
      <c r="L149" s="1">
        <f>VLOOKUP(Table1[[#This Row],[Name]],MountsByName[],11,FALSE)</f>
        <v>0</v>
      </c>
      <c r="M149" s="1">
        <f>VLOOKUP(Table1[[#This Row],[Name]],MountsByName[],12,FALSE)</f>
        <v>1</v>
      </c>
      <c r="N14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[130138] ={"Black Riding Goat", 130138, 0, 1, 1, 0, "Goat", "0", 1, 0},</v>
      </c>
    </row>
    <row r="150" spans="1:14" x14ac:dyDescent="0.35">
      <c r="A150" s="2">
        <v>134359</v>
      </c>
      <c r="B150" t="s">
        <v>1117</v>
      </c>
      <c r="C150" s="1" t="str">
        <f>VLOOKUP(Table1[[#This Row],[Name]],MountsByName[],2,FALSE)</f>
        <v>Golem</v>
      </c>
      <c r="D150" s="1">
        <f>VLOOKUP(Table1[[#This Row],[Name]],MountsByName[],3,FALSE)</f>
        <v>2.8</v>
      </c>
      <c r="E150" s="1">
        <f>VLOOKUP(Table1[[#This Row],[Name]],MountsByName[],4,FALSE)</f>
        <v>2.8</v>
      </c>
      <c r="F150" s="1">
        <f>VLOOKUP(Table1[[#This Row],[Name]],MountsByName[],5,FALSE)</f>
        <v>0</v>
      </c>
      <c r="G150" s="1">
        <f>VLOOKUP(Table1[[#This Row],[Name]],MountsByName[],6,FALSE)</f>
        <v>1</v>
      </c>
      <c r="H150" s="1">
        <f>VLOOKUP(Table1[[#This Row],[Name]],MountsByName[],7,FALSE)</f>
        <v>0</v>
      </c>
      <c r="I150" s="1">
        <f>VLOOKUP(Table1[[#This Row],[Name]],MountsByName[],8,FALSE)</f>
        <v>0</v>
      </c>
      <c r="J150" s="1">
        <f>VLOOKUP(Table1[[#This Row],[Name]],MountsByName[],9,FALSE)</f>
        <v>0</v>
      </c>
      <c r="K150" s="1">
        <f>VLOOKUP(Table1[[#This Row],[Name]],MountsByName[],10,FALSE)</f>
        <v>0</v>
      </c>
      <c r="L150" s="1">
        <f>VLOOKUP(Table1[[#This Row],[Name]],MountsByName[],11,FALSE)</f>
        <v>0</v>
      </c>
      <c r="M150" s="1">
        <f>VLOOKUP(Table1[[#This Row],[Name]],MountsByName[],12,FALSE)</f>
        <v>1</v>
      </c>
      <c r="N15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[134359] ={"Sky Golem", 134359, 0, 2.8, 2.8, 0, "Golem", "0", 1, 0},</v>
      </c>
    </row>
    <row r="151" spans="1:14" x14ac:dyDescent="0.35">
      <c r="A151" s="2">
        <v>1238816</v>
      </c>
      <c r="B151" t="s">
        <v>1097</v>
      </c>
      <c r="C151" s="1" t="str">
        <f>VLOOKUP(Table1[[#This Row],[Name]],MountsByName[],2,FALSE)</f>
        <v>Golem</v>
      </c>
      <c r="D151" s="1">
        <f>VLOOKUP(Table1[[#This Row],[Name]],MountsByName[],3,FALSE)</f>
        <v>2.8</v>
      </c>
      <c r="E151" s="1">
        <f>VLOOKUP(Table1[[#This Row],[Name]],MountsByName[],4,FALSE)</f>
        <v>2.8</v>
      </c>
      <c r="F151" s="1">
        <f>VLOOKUP(Table1[[#This Row],[Name]],MountsByName[],5,FALSE)</f>
        <v>0</v>
      </c>
      <c r="G151" s="1">
        <f>VLOOKUP(Table1[[#This Row],[Name]],MountsByName[],6,FALSE)</f>
        <v>1</v>
      </c>
      <c r="H151" s="1">
        <f>VLOOKUP(Table1[[#This Row],[Name]],MountsByName[],7,FALSE)</f>
        <v>0</v>
      </c>
      <c r="I151" s="1">
        <f>VLOOKUP(Table1[[#This Row],[Name]],MountsByName[],8,FALSE)</f>
        <v>0</v>
      </c>
      <c r="J151" s="1">
        <f>VLOOKUP(Table1[[#This Row],[Name]],MountsByName[],9,FALSE)</f>
        <v>0</v>
      </c>
      <c r="K151" s="1">
        <f>VLOOKUP(Table1[[#This Row],[Name]],MountsByName[],10,FALSE)</f>
        <v>0</v>
      </c>
      <c r="L151" s="1">
        <f>VLOOKUP(Table1[[#This Row],[Name]],MountsByName[],11,FALSE)</f>
        <v>0</v>
      </c>
      <c r="M151" s="1">
        <f>VLOOKUP(Table1[[#This Row],[Name]],MountsByName[],12,FALSE)</f>
        <v>1</v>
      </c>
      <c r="N151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[1238816] ={"Envoy of Sa'bak", 1238816, 0, 2.8, 2.8, 0, "Golem", "0", 1, 0},</v>
      </c>
    </row>
    <row r="152" spans="1:14" x14ac:dyDescent="0.35">
      <c r="A152" s="2">
        <v>32235</v>
      </c>
      <c r="B152" t="s">
        <v>32</v>
      </c>
      <c r="C152" s="1" t="str">
        <f>VLOOKUP(Table1[[#This Row],[Name]],MountsByName[],2,FALSE)</f>
        <v>Gryphon</v>
      </c>
      <c r="D152" s="1">
        <f>VLOOKUP(Table1[[#This Row],[Name]],MountsByName[],3,FALSE)</f>
        <v>1.5</v>
      </c>
      <c r="E152" s="1">
        <f>VLOOKUP(Table1[[#This Row],[Name]],MountsByName[],4,FALSE)</f>
        <v>1.5</v>
      </c>
      <c r="F152" s="1">
        <f>VLOOKUP(Table1[[#This Row],[Name]],MountsByName[],5,FALSE)</f>
        <v>0</v>
      </c>
      <c r="G152" s="1">
        <f>VLOOKUP(Table1[[#This Row],[Name]],MountsByName[],6,FALSE)</f>
        <v>1</v>
      </c>
      <c r="H152" s="1">
        <f>VLOOKUP(Table1[[#This Row],[Name]],MountsByName[],7,FALSE)</f>
        <v>0</v>
      </c>
      <c r="I152" s="1">
        <f>VLOOKUP(Table1[[#This Row],[Name]],MountsByName[],8,FALSE)</f>
        <v>25470</v>
      </c>
      <c r="J152" s="1" t="str">
        <f>VLOOKUP(Table1[[#This Row],[Name]],MountsByName[],9,FALSE)</f>
        <v>Gold</v>
      </c>
      <c r="K152" s="1">
        <f>VLOOKUP(Table1[[#This Row],[Name]],MountsByName[],10,FALSE)</f>
        <v>1</v>
      </c>
      <c r="L152" s="1">
        <f>VLOOKUP(Table1[[#This Row],[Name]],MountsByName[],11,FALSE)</f>
        <v>0</v>
      </c>
      <c r="M152" s="1">
        <f>VLOOKUP(Table1[[#This Row],[Name]],MountsByName[],12,FALSE)</f>
        <v>1</v>
      </c>
      <c r="N15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[32235] ={"Golden Gryphon", 32235, 25470, 1.5, 1.5, 0, "Gryphon", "Gold", 1, 0},</v>
      </c>
    </row>
    <row r="153" spans="1:14" x14ac:dyDescent="0.35">
      <c r="A153" s="2">
        <v>32239</v>
      </c>
      <c r="B153" t="s">
        <v>25</v>
      </c>
      <c r="C153" s="1" t="str">
        <f>VLOOKUP(Table1[[#This Row],[Name]],MountsByName[],2,FALSE)</f>
        <v>Gryphon</v>
      </c>
      <c r="D153" s="1">
        <f>VLOOKUP(Table1[[#This Row],[Name]],MountsByName[],3,FALSE)</f>
        <v>1.5</v>
      </c>
      <c r="E153" s="1">
        <f>VLOOKUP(Table1[[#This Row],[Name]],MountsByName[],4,FALSE)</f>
        <v>1.5</v>
      </c>
      <c r="F153" s="1">
        <f>VLOOKUP(Table1[[#This Row],[Name]],MountsByName[],5,FALSE)</f>
        <v>0</v>
      </c>
      <c r="G153" s="1">
        <f>VLOOKUP(Table1[[#This Row],[Name]],MountsByName[],6,FALSE)</f>
        <v>1</v>
      </c>
      <c r="H153" s="1">
        <f>VLOOKUP(Table1[[#This Row],[Name]],MountsByName[],7,FALSE)</f>
        <v>0</v>
      </c>
      <c r="I153" s="1">
        <f>VLOOKUP(Table1[[#This Row],[Name]],MountsByName[],8,FALSE)</f>
        <v>25471</v>
      </c>
      <c r="J153" s="1" t="str">
        <f>VLOOKUP(Table1[[#This Row],[Name]],MountsByName[],9,FALSE)</f>
        <v>Gold</v>
      </c>
      <c r="K153" s="1">
        <f>VLOOKUP(Table1[[#This Row],[Name]],MountsByName[],10,FALSE)</f>
        <v>1</v>
      </c>
      <c r="L153" s="1">
        <f>VLOOKUP(Table1[[#This Row],[Name]],MountsByName[],11,FALSE)</f>
        <v>0</v>
      </c>
      <c r="M153" s="1">
        <f>VLOOKUP(Table1[[#This Row],[Name]],MountsByName[],12,FALSE)</f>
        <v>1</v>
      </c>
      <c r="N15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[32239] ={"Ebon Gryphon", 32239, 25471, 1.5, 1.5, 0, "Gryphon", "Gold", 1, 0},</v>
      </c>
    </row>
    <row r="154" spans="1:14" x14ac:dyDescent="0.35">
      <c r="A154" s="2">
        <v>32240</v>
      </c>
      <c r="B154" t="s">
        <v>56</v>
      </c>
      <c r="C154" s="1" t="str">
        <f>VLOOKUP(Table1[[#This Row],[Name]],MountsByName[],2,FALSE)</f>
        <v>Gryphon</v>
      </c>
      <c r="D154" s="1">
        <f>VLOOKUP(Table1[[#This Row],[Name]],MountsByName[],3,FALSE)</f>
        <v>1.5</v>
      </c>
      <c r="E154" s="1">
        <f>VLOOKUP(Table1[[#This Row],[Name]],MountsByName[],4,FALSE)</f>
        <v>1.5</v>
      </c>
      <c r="F154" s="1">
        <f>VLOOKUP(Table1[[#This Row],[Name]],MountsByName[],5,FALSE)</f>
        <v>0</v>
      </c>
      <c r="G154" s="1">
        <f>VLOOKUP(Table1[[#This Row],[Name]],MountsByName[],6,FALSE)</f>
        <v>1</v>
      </c>
      <c r="H154" s="1">
        <f>VLOOKUP(Table1[[#This Row],[Name]],MountsByName[],7,FALSE)</f>
        <v>0</v>
      </c>
      <c r="I154" s="1">
        <f>VLOOKUP(Table1[[#This Row],[Name]],MountsByName[],8,FALSE)</f>
        <v>25472</v>
      </c>
      <c r="J154" s="1" t="str">
        <f>VLOOKUP(Table1[[#This Row],[Name]],MountsByName[],9,FALSE)</f>
        <v>Gold</v>
      </c>
      <c r="K154" s="1">
        <f>VLOOKUP(Table1[[#This Row],[Name]],MountsByName[],10,FALSE)</f>
        <v>1</v>
      </c>
      <c r="L154" s="1">
        <f>VLOOKUP(Table1[[#This Row],[Name]],MountsByName[],11,FALSE)</f>
        <v>0</v>
      </c>
      <c r="M154" s="1">
        <f>VLOOKUP(Table1[[#This Row],[Name]],MountsByName[],12,FALSE)</f>
        <v>1</v>
      </c>
      <c r="N15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[32240] ={"Snowy Gryphon", 32240, 25472, 1.5, 1.5, 0, "Gryphon", "Gold", 1, 0},</v>
      </c>
    </row>
    <row r="155" spans="1:14" x14ac:dyDescent="0.35">
      <c r="A155" s="2">
        <v>32242</v>
      </c>
      <c r="B155" t="s">
        <v>58</v>
      </c>
      <c r="C155" s="1" t="str">
        <f>VLOOKUP(Table1[[#This Row],[Name]],MountsByName[],2,FALSE)</f>
        <v>Gryphon</v>
      </c>
      <c r="D155" s="1">
        <f>VLOOKUP(Table1[[#This Row],[Name]],MountsByName[],3,FALSE)</f>
        <v>2.8</v>
      </c>
      <c r="E155" s="1">
        <f>VLOOKUP(Table1[[#This Row],[Name]],MountsByName[],4,FALSE)</f>
        <v>2.8</v>
      </c>
      <c r="F155" s="1">
        <f>VLOOKUP(Table1[[#This Row],[Name]],MountsByName[],5,FALSE)</f>
        <v>0</v>
      </c>
      <c r="G155" s="1">
        <f>VLOOKUP(Table1[[#This Row],[Name]],MountsByName[],6,FALSE)</f>
        <v>1</v>
      </c>
      <c r="H155" s="1">
        <f>VLOOKUP(Table1[[#This Row],[Name]],MountsByName[],7,FALSE)</f>
        <v>0</v>
      </c>
      <c r="I155" s="1">
        <f>VLOOKUP(Table1[[#This Row],[Name]],MountsByName[],8,FALSE)</f>
        <v>25473</v>
      </c>
      <c r="J155" s="1" t="str">
        <f>VLOOKUP(Table1[[#This Row],[Name]],MountsByName[],9,FALSE)</f>
        <v>Gold</v>
      </c>
      <c r="K155" s="1">
        <f>VLOOKUP(Table1[[#This Row],[Name]],MountsByName[],10,FALSE)</f>
        <v>1</v>
      </c>
      <c r="L155" s="1">
        <f>VLOOKUP(Table1[[#This Row],[Name]],MountsByName[],11,FALSE)</f>
        <v>0</v>
      </c>
      <c r="M155" s="1">
        <f>VLOOKUP(Table1[[#This Row],[Name]],MountsByName[],12,FALSE)</f>
        <v>1</v>
      </c>
      <c r="N15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[32242] ={"Swift Blue Gryphon", 32242, 25473, 2.8, 2.8, 0, "Gryphon", "Gold", 1, 0},</v>
      </c>
    </row>
    <row r="156" spans="1:14" x14ac:dyDescent="0.35">
      <c r="A156" s="2">
        <v>32289</v>
      </c>
      <c r="B156" t="s">
        <v>64</v>
      </c>
      <c r="C156" s="1" t="str">
        <f>VLOOKUP(Table1[[#This Row],[Name]],MountsByName[],2,FALSE)</f>
        <v>Gryphon</v>
      </c>
      <c r="D156" s="1">
        <f>VLOOKUP(Table1[[#This Row],[Name]],MountsByName[],3,FALSE)</f>
        <v>2.8</v>
      </c>
      <c r="E156" s="1">
        <f>VLOOKUP(Table1[[#This Row],[Name]],MountsByName[],4,FALSE)</f>
        <v>2.8</v>
      </c>
      <c r="F156" s="1">
        <f>VLOOKUP(Table1[[#This Row],[Name]],MountsByName[],5,FALSE)</f>
        <v>0</v>
      </c>
      <c r="G156" s="1">
        <f>VLOOKUP(Table1[[#This Row],[Name]],MountsByName[],6,FALSE)</f>
        <v>1</v>
      </c>
      <c r="H156" s="1">
        <f>VLOOKUP(Table1[[#This Row],[Name]],MountsByName[],7,FALSE)</f>
        <v>0</v>
      </c>
      <c r="I156" s="1">
        <f>VLOOKUP(Table1[[#This Row],[Name]],MountsByName[],8,FALSE)</f>
        <v>25527</v>
      </c>
      <c r="J156" s="1" t="str">
        <f>VLOOKUP(Table1[[#This Row],[Name]],MountsByName[],9,FALSE)</f>
        <v>Gold</v>
      </c>
      <c r="K156" s="1">
        <f>VLOOKUP(Table1[[#This Row],[Name]],MountsByName[],10,FALSE)</f>
        <v>1</v>
      </c>
      <c r="L156" s="1">
        <f>VLOOKUP(Table1[[#This Row],[Name]],MountsByName[],11,FALSE)</f>
        <v>0</v>
      </c>
      <c r="M156" s="1">
        <f>VLOOKUP(Table1[[#This Row],[Name]],MountsByName[],12,FALSE)</f>
        <v>1</v>
      </c>
      <c r="N15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[32289] ={"Swift Red Gryphon", 32289, 25527, 2.8, 2.8, 0, "Gryphon", "Gold", 1, 0},</v>
      </c>
    </row>
    <row r="157" spans="1:14" x14ac:dyDescent="0.35">
      <c r="A157" s="2">
        <v>32290</v>
      </c>
      <c r="B157" t="s">
        <v>59</v>
      </c>
      <c r="C157" s="1" t="str">
        <f>VLOOKUP(Table1[[#This Row],[Name]],MountsByName[],2,FALSE)</f>
        <v>Gryphon</v>
      </c>
      <c r="D157" s="1">
        <f>VLOOKUP(Table1[[#This Row],[Name]],MountsByName[],3,FALSE)</f>
        <v>2.8</v>
      </c>
      <c r="E157" s="1">
        <f>VLOOKUP(Table1[[#This Row],[Name]],MountsByName[],4,FALSE)</f>
        <v>2.8</v>
      </c>
      <c r="F157" s="1">
        <f>VLOOKUP(Table1[[#This Row],[Name]],MountsByName[],5,FALSE)</f>
        <v>0</v>
      </c>
      <c r="G157" s="1">
        <f>VLOOKUP(Table1[[#This Row],[Name]],MountsByName[],6,FALSE)</f>
        <v>1</v>
      </c>
      <c r="H157" s="1">
        <f>VLOOKUP(Table1[[#This Row],[Name]],MountsByName[],7,FALSE)</f>
        <v>0</v>
      </c>
      <c r="I157" s="1">
        <f>VLOOKUP(Table1[[#This Row],[Name]],MountsByName[],8,FALSE)</f>
        <v>25528</v>
      </c>
      <c r="J157" s="1" t="str">
        <f>VLOOKUP(Table1[[#This Row],[Name]],MountsByName[],9,FALSE)</f>
        <v>Gold</v>
      </c>
      <c r="K157" s="1">
        <f>VLOOKUP(Table1[[#This Row],[Name]],MountsByName[],10,FALSE)</f>
        <v>1</v>
      </c>
      <c r="L157" s="1">
        <f>VLOOKUP(Table1[[#This Row],[Name]],MountsByName[],11,FALSE)</f>
        <v>0</v>
      </c>
      <c r="M157" s="1">
        <f>VLOOKUP(Table1[[#This Row],[Name]],MountsByName[],12,FALSE)</f>
        <v>1</v>
      </c>
      <c r="N15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[32290] ={"Swift Green Gryphon", 32290, 25528, 2.8, 2.8, 0, "Gryphon", "Gold", 1, 0},</v>
      </c>
    </row>
    <row r="158" spans="1:14" x14ac:dyDescent="0.35">
      <c r="A158" s="2">
        <v>32292</v>
      </c>
      <c r="B158" t="s">
        <v>62</v>
      </c>
      <c r="C158" s="1" t="str">
        <f>VLOOKUP(Table1[[#This Row],[Name]],MountsByName[],2,FALSE)</f>
        <v>Gryphon</v>
      </c>
      <c r="D158" s="1">
        <f>VLOOKUP(Table1[[#This Row],[Name]],MountsByName[],3,FALSE)</f>
        <v>2.8</v>
      </c>
      <c r="E158" s="1">
        <f>VLOOKUP(Table1[[#This Row],[Name]],MountsByName[],4,FALSE)</f>
        <v>2.8</v>
      </c>
      <c r="F158" s="1">
        <f>VLOOKUP(Table1[[#This Row],[Name]],MountsByName[],5,FALSE)</f>
        <v>0</v>
      </c>
      <c r="G158" s="1">
        <f>VLOOKUP(Table1[[#This Row],[Name]],MountsByName[],6,FALSE)</f>
        <v>1</v>
      </c>
      <c r="H158" s="1">
        <f>VLOOKUP(Table1[[#This Row],[Name]],MountsByName[],7,FALSE)</f>
        <v>0</v>
      </c>
      <c r="I158" s="1">
        <f>VLOOKUP(Table1[[#This Row],[Name]],MountsByName[],8,FALSE)</f>
        <v>25529</v>
      </c>
      <c r="J158" s="1" t="str">
        <f>VLOOKUP(Table1[[#This Row],[Name]],MountsByName[],9,FALSE)</f>
        <v>Gold</v>
      </c>
      <c r="K158" s="1">
        <f>VLOOKUP(Table1[[#This Row],[Name]],MountsByName[],10,FALSE)</f>
        <v>1</v>
      </c>
      <c r="L158" s="1">
        <f>VLOOKUP(Table1[[#This Row],[Name]],MountsByName[],11,FALSE)</f>
        <v>0</v>
      </c>
      <c r="M158" s="1">
        <f>VLOOKUP(Table1[[#This Row],[Name]],MountsByName[],12,FALSE)</f>
        <v>1</v>
      </c>
      <c r="N15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[32292] ={"Swift Purple Gryphon", 32292, 25529, 2.8, 2.8, 0, "Gryphon", "Gold", 1, 0},</v>
      </c>
    </row>
    <row r="159" spans="1:14" x14ac:dyDescent="0.35">
      <c r="A159" s="2">
        <v>55164</v>
      </c>
      <c r="B159" t="s">
        <v>430</v>
      </c>
      <c r="C159" s="1" t="str">
        <f>VLOOKUP(Table1[[#This Row],[Name]],MountsByName[],2,FALSE)</f>
        <v>Gryphon</v>
      </c>
      <c r="D159" s="1">
        <f>VLOOKUP(Table1[[#This Row],[Name]],MountsByName[],3,FALSE)</f>
        <v>2.8</v>
      </c>
      <c r="E159" s="1">
        <f>VLOOKUP(Table1[[#This Row],[Name]],MountsByName[],4,FALSE)</f>
        <v>2.8</v>
      </c>
      <c r="F159" s="1">
        <f>VLOOKUP(Table1[[#This Row],[Name]],MountsByName[],5,FALSE)</f>
        <v>0</v>
      </c>
      <c r="G159" s="1">
        <f>VLOOKUP(Table1[[#This Row],[Name]],MountsByName[],6,FALSE)</f>
        <v>1</v>
      </c>
      <c r="H159" s="1">
        <f>VLOOKUP(Table1[[#This Row],[Name]],MountsByName[],7,FALSE)</f>
        <v>0</v>
      </c>
      <c r="I159" s="1">
        <f>VLOOKUP(Table1[[#This Row],[Name]],MountsByName[],8,FALSE)</f>
        <v>0</v>
      </c>
      <c r="J159" s="1" t="str">
        <f>VLOOKUP(Table1[[#This Row],[Name]],MountsByName[],9,FALSE)</f>
        <v>?</v>
      </c>
      <c r="K159" s="1">
        <f>VLOOKUP(Table1[[#This Row],[Name]],MountsByName[],10,FALSE)</f>
        <v>1</v>
      </c>
      <c r="L159" s="1">
        <f>VLOOKUP(Table1[[#This Row],[Name]],MountsByName[],11,FALSE)</f>
        <v>1</v>
      </c>
      <c r="M159" s="1">
        <f>VLOOKUP(Table1[[#This Row],[Name]],MountsByName[],12,FALSE)</f>
        <v>1</v>
      </c>
      <c r="N15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[55164] ={"Swift Spectral Gryphon", 55164, 0, 2.8, 2.8, 0, "Gryphon", "?", 1, 0},</v>
      </c>
    </row>
    <row r="160" spans="1:14" x14ac:dyDescent="0.35">
      <c r="A160" s="2">
        <v>61229</v>
      </c>
      <c r="B160" t="s">
        <v>7</v>
      </c>
      <c r="C160" s="1" t="str">
        <f>VLOOKUP(Table1[[#This Row],[Name]],MountsByName[],2,FALSE)</f>
        <v>Gryphon</v>
      </c>
      <c r="D160" s="1">
        <f>VLOOKUP(Table1[[#This Row],[Name]],MountsByName[],3,FALSE)</f>
        <v>2.8</v>
      </c>
      <c r="E160" s="1">
        <f>VLOOKUP(Table1[[#This Row],[Name]],MountsByName[],4,FALSE)</f>
        <v>2.8</v>
      </c>
      <c r="F160" s="1">
        <f>VLOOKUP(Table1[[#This Row],[Name]],MountsByName[],5,FALSE)</f>
        <v>0</v>
      </c>
      <c r="G160" s="1">
        <f>VLOOKUP(Table1[[#This Row],[Name]],MountsByName[],6,FALSE)</f>
        <v>1</v>
      </c>
      <c r="H160" s="1">
        <f>VLOOKUP(Table1[[#This Row],[Name]],MountsByName[],7,FALSE)</f>
        <v>0</v>
      </c>
      <c r="I160" s="1">
        <f>VLOOKUP(Table1[[#This Row],[Name]],MountsByName[],8,FALSE)</f>
        <v>44689</v>
      </c>
      <c r="J160" s="1" t="str">
        <f>VLOOKUP(Table1[[#This Row],[Name]],MountsByName[],9,FALSE)</f>
        <v>Gold</v>
      </c>
      <c r="K160" s="1">
        <f>VLOOKUP(Table1[[#This Row],[Name]],MountsByName[],10,FALSE)</f>
        <v>1</v>
      </c>
      <c r="L160" s="1">
        <f>VLOOKUP(Table1[[#This Row],[Name]],MountsByName[],11,FALSE)</f>
        <v>0</v>
      </c>
      <c r="M160" s="1">
        <f>VLOOKUP(Table1[[#This Row],[Name]],MountsByName[],12,FALSE)</f>
        <v>1</v>
      </c>
      <c r="N16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[61229] ={"Armored Snowy Gryphon", 61229, 44689, 2.8, 2.8, 0, "Gryphon", "Gold", 1, 0},</v>
      </c>
    </row>
    <row r="161" spans="1:14" x14ac:dyDescent="0.35">
      <c r="A161" s="2">
        <v>98727</v>
      </c>
      <c r="B161" t="s">
        <v>504</v>
      </c>
      <c r="C161" s="1" t="str">
        <f>VLOOKUP(Table1[[#This Row],[Name]],MountsByName[],2,FALSE)</f>
        <v>Gryphon</v>
      </c>
      <c r="D161" s="1">
        <f>VLOOKUP(Table1[[#This Row],[Name]],MountsByName[],3,FALSE)</f>
        <v>2.8</v>
      </c>
      <c r="E161" s="1">
        <f>VLOOKUP(Table1[[#This Row],[Name]],MountsByName[],4,FALSE)</f>
        <v>2.8</v>
      </c>
      <c r="F161" s="1">
        <f>VLOOKUP(Table1[[#This Row],[Name]],MountsByName[],5,FALSE)</f>
        <v>0</v>
      </c>
      <c r="G161" s="1">
        <f>VLOOKUP(Table1[[#This Row],[Name]],MountsByName[],6,FALSE)</f>
        <v>1</v>
      </c>
      <c r="H161" s="1">
        <f>VLOOKUP(Table1[[#This Row],[Name]],MountsByName[],7,FALSE)</f>
        <v>0</v>
      </c>
      <c r="I161" s="1">
        <f>VLOOKUP(Table1[[#This Row],[Name]],MountsByName[],8,FALSE)</f>
        <v>0</v>
      </c>
      <c r="J161" s="1">
        <f>VLOOKUP(Table1[[#This Row],[Name]],MountsByName[],9,FALSE)</f>
        <v>0</v>
      </c>
      <c r="K161" s="1">
        <f>VLOOKUP(Table1[[#This Row],[Name]],MountsByName[],10,FALSE)</f>
        <v>0</v>
      </c>
      <c r="L161" s="1">
        <f>VLOOKUP(Table1[[#This Row],[Name]],MountsByName[],11,FALSE)</f>
        <v>0</v>
      </c>
      <c r="M161" s="1">
        <f>VLOOKUP(Table1[[#This Row],[Name]],MountsByName[],12,FALSE)</f>
        <v>1</v>
      </c>
      <c r="N161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[98727] ={"Winged Guardian", 98727, 0, 2.8, 2.8, 0, "Gryphon", "0", 1, 0},</v>
      </c>
    </row>
    <row r="162" spans="1:14" x14ac:dyDescent="0.35">
      <c r="A162" s="2">
        <v>107516</v>
      </c>
      <c r="B162" t="s">
        <v>480</v>
      </c>
      <c r="C162" s="1" t="str">
        <f>VLOOKUP(Table1[[#This Row],[Name]],MountsByName[],2,FALSE)</f>
        <v>Gryphon</v>
      </c>
      <c r="D162" s="1">
        <f>VLOOKUP(Table1[[#This Row],[Name]],MountsByName[],3,FALSE)</f>
        <v>2.8</v>
      </c>
      <c r="E162" s="1">
        <f>VLOOKUP(Table1[[#This Row],[Name]],MountsByName[],4,FALSE)</f>
        <v>2.8</v>
      </c>
      <c r="F162" s="1">
        <f>VLOOKUP(Table1[[#This Row],[Name]],MountsByName[],5,FALSE)</f>
        <v>0</v>
      </c>
      <c r="G162" s="1">
        <f>VLOOKUP(Table1[[#This Row],[Name]],MountsByName[],6,FALSE)</f>
        <v>1</v>
      </c>
      <c r="H162" s="1">
        <f>VLOOKUP(Table1[[#This Row],[Name]],MountsByName[],7,FALSE)</f>
        <v>0</v>
      </c>
      <c r="I162" s="1">
        <f>VLOOKUP(Table1[[#This Row],[Name]],MountsByName[],8,FALSE)</f>
        <v>0</v>
      </c>
      <c r="J162" s="1">
        <f>VLOOKUP(Table1[[#This Row],[Name]],MountsByName[],9,FALSE)</f>
        <v>0</v>
      </c>
      <c r="K162" s="1">
        <f>VLOOKUP(Table1[[#This Row],[Name]],MountsByName[],10,FALSE)</f>
        <v>0</v>
      </c>
      <c r="L162" s="1">
        <f>VLOOKUP(Table1[[#This Row],[Name]],MountsByName[],11,FALSE)</f>
        <v>0</v>
      </c>
      <c r="M162" s="1">
        <f>VLOOKUP(Table1[[#This Row],[Name]],MountsByName[],12,FALSE)</f>
        <v>1</v>
      </c>
      <c r="N16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[107516] ={"Spectral Gryphon", 107516, 0, 2.8, 2.8, 0, "Gryphon", "0", 1, 0},</v>
      </c>
    </row>
    <row r="163" spans="1:14" x14ac:dyDescent="0.35">
      <c r="A163" s="2">
        <v>121820</v>
      </c>
      <c r="B163" t="s">
        <v>488</v>
      </c>
      <c r="C163" s="1" t="str">
        <f>VLOOKUP(Table1[[#This Row],[Name]],MountsByName[],2,FALSE)</f>
        <v>Gryphon</v>
      </c>
      <c r="D163" s="1">
        <f>VLOOKUP(Table1[[#This Row],[Name]],MountsByName[],3,FALSE)</f>
        <v>2.8</v>
      </c>
      <c r="E163" s="1">
        <f>VLOOKUP(Table1[[#This Row],[Name]],MountsByName[],4,FALSE)</f>
        <v>2.8</v>
      </c>
      <c r="F163" s="1">
        <f>VLOOKUP(Table1[[#This Row],[Name]],MountsByName[],5,FALSE)</f>
        <v>0</v>
      </c>
      <c r="G163" s="1">
        <f>VLOOKUP(Table1[[#This Row],[Name]],MountsByName[],6,FALSE)</f>
        <v>1</v>
      </c>
      <c r="H163" s="1">
        <f>VLOOKUP(Table1[[#This Row],[Name]],MountsByName[],7,FALSE)</f>
        <v>0</v>
      </c>
      <c r="I163" s="1">
        <f>VLOOKUP(Table1[[#This Row],[Name]],MountsByName[],8,FALSE)</f>
        <v>0</v>
      </c>
      <c r="J163" s="1">
        <f>VLOOKUP(Table1[[#This Row],[Name]],MountsByName[],9,FALSE)</f>
        <v>0</v>
      </c>
      <c r="K163" s="1">
        <f>VLOOKUP(Table1[[#This Row],[Name]],MountsByName[],10,FALSE)</f>
        <v>0</v>
      </c>
      <c r="L163" s="1">
        <f>VLOOKUP(Table1[[#This Row],[Name]],MountsByName[],11,FALSE)</f>
        <v>0</v>
      </c>
      <c r="M163" s="1">
        <f>VLOOKUP(Table1[[#This Row],[Name]],MountsByName[],12,FALSE)</f>
        <v>1</v>
      </c>
      <c r="N16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[121820] ={"Obsidian Nightwing", 121820, 0, 2.8, 2.8, 0, "Gryphon", "0", 1, 0},</v>
      </c>
    </row>
    <row r="164" spans="1:14" x14ac:dyDescent="0.35">
      <c r="A164" s="2">
        <v>135416</v>
      </c>
      <c r="B164" t="s">
        <v>1044</v>
      </c>
      <c r="C164" s="1" t="str">
        <f>VLOOKUP(Table1[[#This Row],[Name]],MountsByName[],2,FALSE)</f>
        <v>Gryphon</v>
      </c>
      <c r="D164" s="1">
        <f>VLOOKUP(Table1[[#This Row],[Name]],MountsByName[],3,FALSE)</f>
        <v>2.8</v>
      </c>
      <c r="E164" s="1">
        <f>VLOOKUP(Table1[[#This Row],[Name]],MountsByName[],4,FALSE)</f>
        <v>2.8</v>
      </c>
      <c r="F164" s="1">
        <f>VLOOKUP(Table1[[#This Row],[Name]],MountsByName[],5,FALSE)</f>
        <v>0</v>
      </c>
      <c r="G164" s="1">
        <f>VLOOKUP(Table1[[#This Row],[Name]],MountsByName[],6,FALSE)</f>
        <v>1</v>
      </c>
      <c r="H164" s="1">
        <f>VLOOKUP(Table1[[#This Row],[Name]],MountsByName[],7,FALSE)</f>
        <v>0</v>
      </c>
      <c r="I164" s="1">
        <f>VLOOKUP(Table1[[#This Row],[Name]],MountsByName[],8,FALSE)</f>
        <v>0</v>
      </c>
      <c r="J164" s="1">
        <f>VLOOKUP(Table1[[#This Row],[Name]],MountsByName[],9,FALSE)</f>
        <v>0</v>
      </c>
      <c r="K164" s="1">
        <f>VLOOKUP(Table1[[#This Row],[Name]],MountsByName[],10,FALSE)</f>
        <v>0</v>
      </c>
      <c r="L164" s="1">
        <f>VLOOKUP(Table1[[#This Row],[Name]],MountsByName[],11,FALSE)</f>
        <v>0</v>
      </c>
      <c r="M164" s="1">
        <f>VLOOKUP(Table1[[#This Row],[Name]],MountsByName[],12,FALSE)</f>
        <v>1</v>
      </c>
      <c r="N16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[135416] ={"Grand Armored Gryphon", 135416, 0, 2.8, 2.8, 0, "Gryphon", "0", 1, 0},</v>
      </c>
    </row>
    <row r="165" spans="1:14" x14ac:dyDescent="0.35">
      <c r="A165" s="2">
        <v>136163</v>
      </c>
      <c r="B165" t="s">
        <v>1122</v>
      </c>
      <c r="C165" s="1" t="str">
        <f>VLOOKUP(Table1[[#This Row],[Name]],MountsByName[],2,FALSE)</f>
        <v>Gryphon</v>
      </c>
      <c r="D165" s="1">
        <f>VLOOKUP(Table1[[#This Row],[Name]],MountsByName[],3,FALSE)</f>
        <v>2.8</v>
      </c>
      <c r="E165" s="1">
        <f>VLOOKUP(Table1[[#This Row],[Name]],MountsByName[],4,FALSE)</f>
        <v>2.8</v>
      </c>
      <c r="F165" s="1">
        <f>VLOOKUP(Table1[[#This Row],[Name]],MountsByName[],5,FALSE)</f>
        <v>0</v>
      </c>
      <c r="G165" s="1">
        <f>VLOOKUP(Table1[[#This Row],[Name]],MountsByName[],6,FALSE)</f>
        <v>1</v>
      </c>
      <c r="H165" s="1">
        <f>VLOOKUP(Table1[[#This Row],[Name]],MountsByName[],7,FALSE)</f>
        <v>0</v>
      </c>
      <c r="I165" s="1">
        <f>VLOOKUP(Table1[[#This Row],[Name]],MountsByName[],8,FALSE)</f>
        <v>0</v>
      </c>
      <c r="J165" s="1">
        <f>VLOOKUP(Table1[[#This Row],[Name]],MountsByName[],9,FALSE)</f>
        <v>0</v>
      </c>
      <c r="K165" s="1">
        <f>VLOOKUP(Table1[[#This Row],[Name]],MountsByName[],10,FALSE)</f>
        <v>0</v>
      </c>
      <c r="L165" s="1">
        <f>VLOOKUP(Table1[[#This Row],[Name]],MountsByName[],11,FALSE)</f>
        <v>0</v>
      </c>
      <c r="M165" s="1">
        <f>VLOOKUP(Table1[[#This Row],[Name]],MountsByName[],12,FALSE)</f>
        <v>1</v>
      </c>
      <c r="N16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[136163] ={"Grand Gryphon", 136163, 0, 2.8, 2.8, 0, "Gryphon", "0", 1, 0},</v>
      </c>
    </row>
    <row r="166" spans="1:14" x14ac:dyDescent="0.35">
      <c r="A166" s="2">
        <v>466983</v>
      </c>
      <c r="B166" t="s">
        <v>481</v>
      </c>
      <c r="C166" s="1" t="str">
        <f>VLOOKUP(Table1[[#This Row],[Name]],MountsByName[],2,FALSE)</f>
        <v>Gryphon</v>
      </c>
      <c r="D166" s="1">
        <f>VLOOKUP(Table1[[#This Row],[Name]],MountsByName[],3,FALSE)</f>
        <v>2.8</v>
      </c>
      <c r="E166" s="1">
        <f>VLOOKUP(Table1[[#This Row],[Name]],MountsByName[],4,FALSE)</f>
        <v>2.8</v>
      </c>
      <c r="F166" s="1">
        <f>VLOOKUP(Table1[[#This Row],[Name]],MountsByName[],5,FALSE)</f>
        <v>0</v>
      </c>
      <c r="G166" s="1">
        <f>VLOOKUP(Table1[[#This Row],[Name]],MountsByName[],6,FALSE)</f>
        <v>1</v>
      </c>
      <c r="H166" s="1">
        <f>VLOOKUP(Table1[[#This Row],[Name]],MountsByName[],7,FALSE)</f>
        <v>0</v>
      </c>
      <c r="I166" s="1">
        <f>VLOOKUP(Table1[[#This Row],[Name]],MountsByName[],8,FALSE)</f>
        <v>0</v>
      </c>
      <c r="J166" s="1">
        <f>VLOOKUP(Table1[[#This Row],[Name]],MountsByName[],9,FALSE)</f>
        <v>0</v>
      </c>
      <c r="K166" s="1">
        <f>VLOOKUP(Table1[[#This Row],[Name]],MountsByName[],10,FALSE)</f>
        <v>0</v>
      </c>
      <c r="L166" s="1">
        <f>VLOOKUP(Table1[[#This Row],[Name]],MountsByName[],11,FALSE)</f>
        <v>0</v>
      </c>
      <c r="M166" s="1">
        <f>VLOOKUP(Table1[[#This Row],[Name]],MountsByName[],12,FALSE)</f>
        <v>1</v>
      </c>
      <c r="N16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[466983] ={"Chaos-Born Gryphon", 466983, 0, 2.8, 2.8, 0, "Gryphon", "0", 1, 0},</v>
      </c>
    </row>
    <row r="167" spans="1:14" x14ac:dyDescent="0.35">
      <c r="A167" s="2">
        <v>33660</v>
      </c>
      <c r="B167" t="s">
        <v>232</v>
      </c>
      <c r="C167" s="1" t="str">
        <f>VLOOKUP(Table1[[#This Row],[Name]],MountsByName[],2,FALSE)</f>
        <v>Hawkstrider</v>
      </c>
      <c r="D167" s="1">
        <f>VLOOKUP(Table1[[#This Row],[Name]],MountsByName[],3,FALSE)</f>
        <v>1</v>
      </c>
      <c r="E167" s="1">
        <f>VLOOKUP(Table1[[#This Row],[Name]],MountsByName[],4,FALSE)</f>
        <v>1</v>
      </c>
      <c r="F167" s="1">
        <f>VLOOKUP(Table1[[#This Row],[Name]],MountsByName[],5,FALSE)</f>
        <v>0</v>
      </c>
      <c r="G167" s="1">
        <f>VLOOKUP(Table1[[#This Row],[Name]],MountsByName[],6,FALSE)</f>
        <v>1</v>
      </c>
      <c r="H167" s="1">
        <f>VLOOKUP(Table1[[#This Row],[Name]],MountsByName[],7,FALSE)</f>
        <v>0</v>
      </c>
      <c r="I167" s="1">
        <f>VLOOKUP(Table1[[#This Row],[Name]],MountsByName[],8,FALSE)</f>
        <v>28936</v>
      </c>
      <c r="J167" s="1" t="str">
        <f>VLOOKUP(Table1[[#This Row],[Name]],MountsByName[],9,FALSE)</f>
        <v>Gold</v>
      </c>
      <c r="K167" s="1">
        <f>VLOOKUP(Table1[[#This Row],[Name]],MountsByName[],10,FALSE)</f>
        <v>0</v>
      </c>
      <c r="L167" s="1">
        <f>VLOOKUP(Table1[[#This Row],[Name]],MountsByName[],11,FALSE)</f>
        <v>1</v>
      </c>
      <c r="M167" s="1">
        <f>VLOOKUP(Table1[[#This Row],[Name]],MountsByName[],12,FALSE)</f>
        <v>1</v>
      </c>
      <c r="N16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[33660] ={"Swift Pink Hawkstrider", 33660, 28936, 1, 1, 0, "Hawkstrider", "Gold", 1, 0},</v>
      </c>
    </row>
    <row r="168" spans="1:14" x14ac:dyDescent="0.35">
      <c r="A168" s="2">
        <v>34795</v>
      </c>
      <c r="B168" t="s">
        <v>189</v>
      </c>
      <c r="C168" s="1" t="str">
        <f>VLOOKUP(Table1[[#This Row],[Name]],MountsByName[],2,FALSE)</f>
        <v>Hawkstrider</v>
      </c>
      <c r="D168" s="1">
        <f>VLOOKUP(Table1[[#This Row],[Name]],MountsByName[],3,FALSE)</f>
        <v>0.6</v>
      </c>
      <c r="E168" s="1">
        <f>VLOOKUP(Table1[[#This Row],[Name]],MountsByName[],4,FALSE)</f>
        <v>0.6</v>
      </c>
      <c r="F168" s="1">
        <f>VLOOKUP(Table1[[#This Row],[Name]],MountsByName[],5,FALSE)</f>
        <v>0</v>
      </c>
      <c r="G168" s="1">
        <f>VLOOKUP(Table1[[#This Row],[Name]],MountsByName[],6,FALSE)</f>
        <v>1</v>
      </c>
      <c r="H168" s="1">
        <f>VLOOKUP(Table1[[#This Row],[Name]],MountsByName[],7,FALSE)</f>
        <v>0</v>
      </c>
      <c r="I168" s="1">
        <f>VLOOKUP(Table1[[#This Row],[Name]],MountsByName[],8,FALSE)</f>
        <v>28927</v>
      </c>
      <c r="J168" s="1" t="str">
        <f>VLOOKUP(Table1[[#This Row],[Name]],MountsByName[],9,FALSE)</f>
        <v>Gold</v>
      </c>
      <c r="K168" s="1">
        <f>VLOOKUP(Table1[[#This Row],[Name]],MountsByName[],10,FALSE)</f>
        <v>0</v>
      </c>
      <c r="L168" s="1">
        <f>VLOOKUP(Table1[[#This Row],[Name]],MountsByName[],11,FALSE)</f>
        <v>1</v>
      </c>
      <c r="M168" s="1">
        <f>VLOOKUP(Table1[[#This Row],[Name]],MountsByName[],12,FALSE)</f>
        <v>1</v>
      </c>
      <c r="N16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[34795] ={"Red Hawkstrider", 34795, 28927, 0.6, 0.6, 0, "Hawkstrider", "Gold", 1, 0},</v>
      </c>
    </row>
    <row r="169" spans="1:14" x14ac:dyDescent="0.35">
      <c r="A169" s="2">
        <v>35018</v>
      </c>
      <c r="B169" t="s">
        <v>183</v>
      </c>
      <c r="C169" s="1" t="str">
        <f>VLOOKUP(Table1[[#This Row],[Name]],MountsByName[],2,FALSE)</f>
        <v>Hawkstrider</v>
      </c>
      <c r="D169" s="1">
        <f>VLOOKUP(Table1[[#This Row],[Name]],MountsByName[],3,FALSE)</f>
        <v>0.6</v>
      </c>
      <c r="E169" s="1">
        <f>VLOOKUP(Table1[[#This Row],[Name]],MountsByName[],4,FALSE)</f>
        <v>0.6</v>
      </c>
      <c r="F169" s="1">
        <f>VLOOKUP(Table1[[#This Row],[Name]],MountsByName[],5,FALSE)</f>
        <v>0</v>
      </c>
      <c r="G169" s="1">
        <f>VLOOKUP(Table1[[#This Row],[Name]],MountsByName[],6,FALSE)</f>
        <v>1</v>
      </c>
      <c r="H169" s="1">
        <f>VLOOKUP(Table1[[#This Row],[Name]],MountsByName[],7,FALSE)</f>
        <v>0</v>
      </c>
      <c r="I169" s="1">
        <f>VLOOKUP(Table1[[#This Row],[Name]],MountsByName[],8,FALSE)</f>
        <v>29222</v>
      </c>
      <c r="J169" s="1" t="str">
        <f>VLOOKUP(Table1[[#This Row],[Name]],MountsByName[],9,FALSE)</f>
        <v>Gold</v>
      </c>
      <c r="K169" s="1">
        <f>VLOOKUP(Table1[[#This Row],[Name]],MountsByName[],10,FALSE)</f>
        <v>0</v>
      </c>
      <c r="L169" s="1">
        <f>VLOOKUP(Table1[[#This Row],[Name]],MountsByName[],11,FALSE)</f>
        <v>1</v>
      </c>
      <c r="M169" s="1">
        <f>VLOOKUP(Table1[[#This Row],[Name]],MountsByName[],12,FALSE)</f>
        <v>1</v>
      </c>
      <c r="N16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[35018] ={"Purple Hawkstrider", 35018, 29222, 0.6, 0.6, 0, "Hawkstrider", "Gold", 1, 0},</v>
      </c>
    </row>
    <row r="170" spans="1:14" x14ac:dyDescent="0.35">
      <c r="A170" s="2">
        <v>35020</v>
      </c>
      <c r="B170" t="s">
        <v>106</v>
      </c>
      <c r="C170" s="1" t="str">
        <f>VLOOKUP(Table1[[#This Row],[Name]],MountsByName[],2,FALSE)</f>
        <v>Hawkstrider</v>
      </c>
      <c r="D170" s="1">
        <f>VLOOKUP(Table1[[#This Row],[Name]],MountsByName[],3,FALSE)</f>
        <v>0.6</v>
      </c>
      <c r="E170" s="1">
        <f>VLOOKUP(Table1[[#This Row],[Name]],MountsByName[],4,FALSE)</f>
        <v>0.6</v>
      </c>
      <c r="F170" s="1">
        <f>VLOOKUP(Table1[[#This Row],[Name]],MountsByName[],5,FALSE)</f>
        <v>0</v>
      </c>
      <c r="G170" s="1">
        <f>VLOOKUP(Table1[[#This Row],[Name]],MountsByName[],6,FALSE)</f>
        <v>1</v>
      </c>
      <c r="H170" s="1">
        <f>VLOOKUP(Table1[[#This Row],[Name]],MountsByName[],7,FALSE)</f>
        <v>0</v>
      </c>
      <c r="I170" s="1">
        <f>VLOOKUP(Table1[[#This Row],[Name]],MountsByName[],8,FALSE)</f>
        <v>29220</v>
      </c>
      <c r="J170" s="1" t="str">
        <f>VLOOKUP(Table1[[#This Row],[Name]],MountsByName[],9,FALSE)</f>
        <v>Gold</v>
      </c>
      <c r="K170" s="1">
        <f>VLOOKUP(Table1[[#This Row],[Name]],MountsByName[],10,FALSE)</f>
        <v>0</v>
      </c>
      <c r="L170" s="1">
        <f>VLOOKUP(Table1[[#This Row],[Name]],MountsByName[],11,FALSE)</f>
        <v>1</v>
      </c>
      <c r="M170" s="1">
        <f>VLOOKUP(Table1[[#This Row],[Name]],MountsByName[],12,FALSE)</f>
        <v>1</v>
      </c>
      <c r="N17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[35020] ={"Blue Hawkstrider", 35020, 29220, 0.6, 0.6, 0, "Hawkstrider", "Gold", 1, 0},</v>
      </c>
    </row>
    <row r="171" spans="1:14" x14ac:dyDescent="0.35">
      <c r="A171" s="2">
        <v>35022</v>
      </c>
      <c r="B171" t="s">
        <v>89</v>
      </c>
      <c r="C171" s="1" t="str">
        <f>VLOOKUP(Table1[[#This Row],[Name]],MountsByName[],2,FALSE)</f>
        <v>Hawkstrider</v>
      </c>
      <c r="D171" s="1">
        <f>VLOOKUP(Table1[[#This Row],[Name]],MountsByName[],3,FALSE)</f>
        <v>0.6</v>
      </c>
      <c r="E171" s="1">
        <f>VLOOKUP(Table1[[#This Row],[Name]],MountsByName[],4,FALSE)</f>
        <v>0.6</v>
      </c>
      <c r="F171" s="1">
        <f>VLOOKUP(Table1[[#This Row],[Name]],MountsByName[],5,FALSE)</f>
        <v>0</v>
      </c>
      <c r="G171" s="1">
        <f>VLOOKUP(Table1[[#This Row],[Name]],MountsByName[],6,FALSE)</f>
        <v>1</v>
      </c>
      <c r="H171" s="1">
        <f>VLOOKUP(Table1[[#This Row],[Name]],MountsByName[],7,FALSE)</f>
        <v>0</v>
      </c>
      <c r="I171" s="1">
        <f>VLOOKUP(Table1[[#This Row],[Name]],MountsByName[],8,FALSE)</f>
        <v>29221</v>
      </c>
      <c r="J171" s="1" t="str">
        <f>VLOOKUP(Table1[[#This Row],[Name]],MountsByName[],9,FALSE)</f>
        <v>Gold</v>
      </c>
      <c r="K171" s="1">
        <f>VLOOKUP(Table1[[#This Row],[Name]],MountsByName[],10,FALSE)</f>
        <v>0</v>
      </c>
      <c r="L171" s="1">
        <f>VLOOKUP(Table1[[#This Row],[Name]],MountsByName[],11,FALSE)</f>
        <v>1</v>
      </c>
      <c r="M171" s="1">
        <f>VLOOKUP(Table1[[#This Row],[Name]],MountsByName[],12,FALSE)</f>
        <v>1</v>
      </c>
      <c r="N171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[35022] ={"Black Hawkstrider", 35022, 29221, 0.6, 0.6, 0, "Hawkstrider", "Gold", 1, 0},</v>
      </c>
    </row>
    <row r="172" spans="1:14" x14ac:dyDescent="0.35">
      <c r="A172" s="2">
        <v>35025</v>
      </c>
      <c r="B172" t="s">
        <v>224</v>
      </c>
      <c r="C172" s="1" t="str">
        <f>VLOOKUP(Table1[[#This Row],[Name]],MountsByName[],2,FALSE)</f>
        <v>Hawkstrider</v>
      </c>
      <c r="D172" s="1">
        <f>VLOOKUP(Table1[[#This Row],[Name]],MountsByName[],3,FALSE)</f>
        <v>1</v>
      </c>
      <c r="E172" s="1">
        <f>VLOOKUP(Table1[[#This Row],[Name]],MountsByName[],4,FALSE)</f>
        <v>1</v>
      </c>
      <c r="F172" s="1">
        <f>VLOOKUP(Table1[[#This Row],[Name]],MountsByName[],5,FALSE)</f>
        <v>0</v>
      </c>
      <c r="G172" s="1">
        <f>VLOOKUP(Table1[[#This Row],[Name]],MountsByName[],6,FALSE)</f>
        <v>1</v>
      </c>
      <c r="H172" s="1">
        <f>VLOOKUP(Table1[[#This Row],[Name]],MountsByName[],7,FALSE)</f>
        <v>0</v>
      </c>
      <c r="I172" s="1">
        <f>VLOOKUP(Table1[[#This Row],[Name]],MountsByName[],8,FALSE)</f>
        <v>29223</v>
      </c>
      <c r="J172" s="1" t="str">
        <f>VLOOKUP(Table1[[#This Row],[Name]],MountsByName[],9,FALSE)</f>
        <v>Gold</v>
      </c>
      <c r="K172" s="1">
        <f>VLOOKUP(Table1[[#This Row],[Name]],MountsByName[],10,FALSE)</f>
        <v>0</v>
      </c>
      <c r="L172" s="1">
        <f>VLOOKUP(Table1[[#This Row],[Name]],MountsByName[],11,FALSE)</f>
        <v>1</v>
      </c>
      <c r="M172" s="1">
        <f>VLOOKUP(Table1[[#This Row],[Name]],MountsByName[],12,FALSE)</f>
        <v>1</v>
      </c>
      <c r="N17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[35025] ={"Swift Green Hawkstrider", 35025, 29223, 1, 1, 0, "Hawkstrider", "Gold", 1, 0},</v>
      </c>
    </row>
    <row r="173" spans="1:14" x14ac:dyDescent="0.35">
      <c r="A173" s="2">
        <v>35027</v>
      </c>
      <c r="B173" t="s">
        <v>233</v>
      </c>
      <c r="C173" s="1" t="str">
        <f>VLOOKUP(Table1[[#This Row],[Name]],MountsByName[],2,FALSE)</f>
        <v>Hawkstrider</v>
      </c>
      <c r="D173" s="1">
        <f>VLOOKUP(Table1[[#This Row],[Name]],MountsByName[],3,FALSE)</f>
        <v>1</v>
      </c>
      <c r="E173" s="1">
        <f>VLOOKUP(Table1[[#This Row],[Name]],MountsByName[],4,FALSE)</f>
        <v>1</v>
      </c>
      <c r="F173" s="1">
        <f>VLOOKUP(Table1[[#This Row],[Name]],MountsByName[],5,FALSE)</f>
        <v>0</v>
      </c>
      <c r="G173" s="1">
        <f>VLOOKUP(Table1[[#This Row],[Name]],MountsByName[],6,FALSE)</f>
        <v>1</v>
      </c>
      <c r="H173" s="1">
        <f>VLOOKUP(Table1[[#This Row],[Name]],MountsByName[],7,FALSE)</f>
        <v>0</v>
      </c>
      <c r="I173" s="1">
        <f>VLOOKUP(Table1[[#This Row],[Name]],MountsByName[],8,FALSE)</f>
        <v>29224</v>
      </c>
      <c r="J173" s="1" t="str">
        <f>VLOOKUP(Table1[[#This Row],[Name]],MountsByName[],9,FALSE)</f>
        <v>Gold</v>
      </c>
      <c r="K173" s="1">
        <f>VLOOKUP(Table1[[#This Row],[Name]],MountsByName[],10,FALSE)</f>
        <v>0</v>
      </c>
      <c r="L173" s="1">
        <f>VLOOKUP(Table1[[#This Row],[Name]],MountsByName[],11,FALSE)</f>
        <v>1</v>
      </c>
      <c r="M173" s="1">
        <f>VLOOKUP(Table1[[#This Row],[Name]],MountsByName[],12,FALSE)</f>
        <v>1</v>
      </c>
      <c r="N17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[35027] ={"Swift Purple Hawkstrider", 35027, 29224, 1, 1, 0, "Hawkstrider", "Gold", 1, 0},</v>
      </c>
    </row>
    <row r="174" spans="1:14" x14ac:dyDescent="0.35">
      <c r="A174" s="2">
        <v>35028</v>
      </c>
      <c r="B174" t="s">
        <v>242</v>
      </c>
      <c r="C174" s="1" t="str">
        <f>VLOOKUP(Table1[[#This Row],[Name]],MountsByName[],2,FALSE)</f>
        <v>Hawkstrider</v>
      </c>
      <c r="D174" s="1">
        <f>VLOOKUP(Table1[[#This Row],[Name]],MountsByName[],3,FALSE)</f>
        <v>1</v>
      </c>
      <c r="E174" s="1">
        <f>VLOOKUP(Table1[[#This Row],[Name]],MountsByName[],4,FALSE)</f>
        <v>1</v>
      </c>
      <c r="F174" s="1">
        <f>VLOOKUP(Table1[[#This Row],[Name]],MountsByName[],5,FALSE)</f>
        <v>0</v>
      </c>
      <c r="G174" s="1">
        <f>VLOOKUP(Table1[[#This Row],[Name]],MountsByName[],6,FALSE)</f>
        <v>1</v>
      </c>
      <c r="H174" s="1">
        <f>VLOOKUP(Table1[[#This Row],[Name]],MountsByName[],7,FALSE)</f>
        <v>0</v>
      </c>
      <c r="I174" s="1">
        <f>VLOOKUP(Table1[[#This Row],[Name]],MountsByName[],8,FALSE)</f>
        <v>34129</v>
      </c>
      <c r="J174" s="1" t="str">
        <f>VLOOKUP(Table1[[#This Row],[Name]],MountsByName[],9,FALSE)</f>
        <v>Honor</v>
      </c>
      <c r="K174" s="1">
        <f>VLOOKUP(Table1[[#This Row],[Name]],MountsByName[],10,FALSE)</f>
        <v>0</v>
      </c>
      <c r="L174" s="1">
        <f>VLOOKUP(Table1[[#This Row],[Name]],MountsByName[],11,FALSE)</f>
        <v>1</v>
      </c>
      <c r="M174" s="1">
        <f>VLOOKUP(Table1[[#This Row],[Name]],MountsByName[],12,FALSE)</f>
        <v>1</v>
      </c>
      <c r="N17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[35028] ={"Swift Warstrider", 35028, 34129, 1, 1, 0, "Hawkstrider", "Honor", 1, 0},</v>
      </c>
    </row>
    <row r="175" spans="1:14" x14ac:dyDescent="0.35">
      <c r="A175" s="2">
        <v>46628</v>
      </c>
      <c r="B175" t="s">
        <v>243</v>
      </c>
      <c r="C175" s="1" t="str">
        <f>VLOOKUP(Table1[[#This Row],[Name]],MountsByName[],2,FALSE)</f>
        <v>Hawkstrider</v>
      </c>
      <c r="D175" s="1">
        <f>VLOOKUP(Table1[[#This Row],[Name]],MountsByName[],3,FALSE)</f>
        <v>1</v>
      </c>
      <c r="E175" s="1">
        <f>VLOOKUP(Table1[[#This Row],[Name]],MountsByName[],4,FALSE)</f>
        <v>1</v>
      </c>
      <c r="F175" s="1">
        <f>VLOOKUP(Table1[[#This Row],[Name]],MountsByName[],5,FALSE)</f>
        <v>0</v>
      </c>
      <c r="G175" s="1">
        <f>VLOOKUP(Table1[[#This Row],[Name]],MountsByName[],6,FALSE)</f>
        <v>1</v>
      </c>
      <c r="H175" s="1">
        <f>VLOOKUP(Table1[[#This Row],[Name]],MountsByName[],7,FALSE)</f>
        <v>0</v>
      </c>
      <c r="I175" s="1">
        <f>VLOOKUP(Table1[[#This Row],[Name]],MountsByName[],8,FALSE)</f>
        <v>35513</v>
      </c>
      <c r="J175" s="1" t="str">
        <f>VLOOKUP(Table1[[#This Row],[Name]],MountsByName[],9,FALSE)</f>
        <v>Drop Magisters' Terrace</v>
      </c>
      <c r="K175" s="1">
        <f>VLOOKUP(Table1[[#This Row],[Name]],MountsByName[],10,FALSE)</f>
        <v>1</v>
      </c>
      <c r="L175" s="1">
        <f>VLOOKUP(Table1[[#This Row],[Name]],MountsByName[],11,FALSE)</f>
        <v>1</v>
      </c>
      <c r="M175" s="1">
        <f>VLOOKUP(Table1[[#This Row],[Name]],MountsByName[],12,FALSE)</f>
        <v>1</v>
      </c>
      <c r="N17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[46628] ={"Swift White Hawkstrider", 46628, 35513, 1, 1, 0, "Hawkstrider", "Drop Magisters' Terrace", 1, 0},</v>
      </c>
    </row>
    <row r="176" spans="1:14" x14ac:dyDescent="0.35">
      <c r="A176" s="2">
        <v>63642</v>
      </c>
      <c r="B176" t="s">
        <v>199</v>
      </c>
      <c r="C176" s="1" t="str">
        <f>VLOOKUP(Table1[[#This Row],[Name]],MountsByName[],2,FALSE)</f>
        <v>Hawkstrider</v>
      </c>
      <c r="D176" s="1">
        <f>VLOOKUP(Table1[[#This Row],[Name]],MountsByName[],3,FALSE)</f>
        <v>1</v>
      </c>
      <c r="E176" s="1">
        <f>VLOOKUP(Table1[[#This Row],[Name]],MountsByName[],4,FALSE)</f>
        <v>1</v>
      </c>
      <c r="F176" s="1">
        <f>VLOOKUP(Table1[[#This Row],[Name]],MountsByName[],5,FALSE)</f>
        <v>0</v>
      </c>
      <c r="G176" s="1">
        <f>VLOOKUP(Table1[[#This Row],[Name]],MountsByName[],6,FALSE)</f>
        <v>1</v>
      </c>
      <c r="H176" s="1">
        <f>VLOOKUP(Table1[[#This Row],[Name]],MountsByName[],7,FALSE)</f>
        <v>0</v>
      </c>
      <c r="I176" s="1">
        <f>VLOOKUP(Table1[[#This Row],[Name]],MountsByName[],8,FALSE)</f>
        <v>45596</v>
      </c>
      <c r="J176" s="1" t="str">
        <f>VLOOKUP(Table1[[#This Row],[Name]],MountsByName[],9,FALSE)</f>
        <v>Champion's Seals</v>
      </c>
      <c r="K176" s="1">
        <f>VLOOKUP(Table1[[#This Row],[Name]],MountsByName[],10,FALSE)</f>
        <v>0</v>
      </c>
      <c r="L176" s="1">
        <f>VLOOKUP(Table1[[#This Row],[Name]],MountsByName[],11,FALSE)</f>
        <v>1</v>
      </c>
      <c r="M176" s="1">
        <f>VLOOKUP(Table1[[#This Row],[Name]],MountsByName[],12,FALSE)</f>
        <v>1</v>
      </c>
      <c r="N17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[63642] ={"Silvermoon Hawkstrider", 63642, 45596, 1, 1, 0, "Hawkstrider", "Champion's Seals", 1, 0},</v>
      </c>
    </row>
    <row r="177" spans="1:14" x14ac:dyDescent="0.35">
      <c r="A177" s="2">
        <v>65639</v>
      </c>
      <c r="B177" t="s">
        <v>236</v>
      </c>
      <c r="C177" s="1" t="str">
        <f>VLOOKUP(Table1[[#This Row],[Name]],MountsByName[],2,FALSE)</f>
        <v>Hawkstrider</v>
      </c>
      <c r="D177" s="1">
        <f>VLOOKUP(Table1[[#This Row],[Name]],MountsByName[],3,FALSE)</f>
        <v>1</v>
      </c>
      <c r="E177" s="1">
        <f>VLOOKUP(Table1[[#This Row],[Name]],MountsByName[],4,FALSE)</f>
        <v>1</v>
      </c>
      <c r="F177" s="1">
        <f>VLOOKUP(Table1[[#This Row],[Name]],MountsByName[],5,FALSE)</f>
        <v>0</v>
      </c>
      <c r="G177" s="1">
        <f>VLOOKUP(Table1[[#This Row],[Name]],MountsByName[],6,FALSE)</f>
        <v>1</v>
      </c>
      <c r="H177" s="1">
        <f>VLOOKUP(Table1[[#This Row],[Name]],MountsByName[],7,FALSE)</f>
        <v>0</v>
      </c>
      <c r="I177" s="1">
        <f>VLOOKUP(Table1[[#This Row],[Name]],MountsByName[],8,FALSE)</f>
        <v>46751</v>
      </c>
      <c r="J177" s="1" t="str">
        <f>VLOOKUP(Table1[[#This Row],[Name]],MountsByName[],9,FALSE)</f>
        <v>Champion's Seals</v>
      </c>
      <c r="K177" s="1">
        <f>VLOOKUP(Table1[[#This Row],[Name]],MountsByName[],10,FALSE)</f>
        <v>0</v>
      </c>
      <c r="L177" s="1">
        <f>VLOOKUP(Table1[[#This Row],[Name]],MountsByName[],11,FALSE)</f>
        <v>1</v>
      </c>
      <c r="M177" s="1">
        <f>VLOOKUP(Table1[[#This Row],[Name]],MountsByName[],12,FALSE)</f>
        <v>1</v>
      </c>
      <c r="N17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[65639] ={"Swift Red Hawkstrider", 65639, 46751, 1, 1, 0, "Hawkstrider", "Champion's Seals", 1, 0},</v>
      </c>
    </row>
    <row r="178" spans="1:14" x14ac:dyDescent="0.35">
      <c r="A178" s="2">
        <v>66091</v>
      </c>
      <c r="B178" t="s">
        <v>211</v>
      </c>
      <c r="C178" s="1" t="str">
        <f>VLOOKUP(Table1[[#This Row],[Name]],MountsByName[],2,FALSE)</f>
        <v>Hawkstrider</v>
      </c>
      <c r="D178" s="1">
        <f>VLOOKUP(Table1[[#This Row],[Name]],MountsByName[],3,FALSE)</f>
        <v>1</v>
      </c>
      <c r="E178" s="1">
        <f>VLOOKUP(Table1[[#This Row],[Name]],MountsByName[],4,FALSE)</f>
        <v>1</v>
      </c>
      <c r="F178" s="1">
        <f>VLOOKUP(Table1[[#This Row],[Name]],MountsByName[],5,FALSE)</f>
        <v>0</v>
      </c>
      <c r="G178" s="1">
        <f>VLOOKUP(Table1[[#This Row],[Name]],MountsByName[],6,FALSE)</f>
        <v>1</v>
      </c>
      <c r="H178" s="1">
        <f>VLOOKUP(Table1[[#This Row],[Name]],MountsByName[],7,FALSE)</f>
        <v>0</v>
      </c>
      <c r="I178" s="1">
        <f>VLOOKUP(Table1[[#This Row],[Name]],MountsByName[],8,FALSE)</f>
        <v>46816</v>
      </c>
      <c r="J178" s="1" t="str">
        <f>VLOOKUP(Table1[[#This Row],[Name]],MountsByName[],9,FALSE)</f>
        <v>Champion's Seals</v>
      </c>
      <c r="K178" s="1">
        <f>VLOOKUP(Table1[[#This Row],[Name]],MountsByName[],10,FALSE)</f>
        <v>0</v>
      </c>
      <c r="L178" s="1">
        <f>VLOOKUP(Table1[[#This Row],[Name]],MountsByName[],11,FALSE)</f>
        <v>1</v>
      </c>
      <c r="M178" s="1">
        <f>VLOOKUP(Table1[[#This Row],[Name]],MountsByName[],12,FALSE)</f>
        <v>1</v>
      </c>
      <c r="N17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[66091] ={"Sunreaver Hawkstrider", 66091, 46816, 1, 1, 0, "Hawkstrider", "Champion's Seals", 1, 0},</v>
      </c>
    </row>
    <row r="179" spans="1:14" x14ac:dyDescent="0.35">
      <c r="A179" s="2">
        <v>101573</v>
      </c>
      <c r="B179" t="s">
        <v>501</v>
      </c>
      <c r="C179" s="1" t="str">
        <f>VLOOKUP(Table1[[#This Row],[Name]],MountsByName[],2,FALSE)</f>
        <v>Hawkstrider</v>
      </c>
      <c r="D179" s="1">
        <f>VLOOKUP(Table1[[#This Row],[Name]],MountsByName[],3,FALSE)</f>
        <v>1</v>
      </c>
      <c r="E179" s="1">
        <f>VLOOKUP(Table1[[#This Row],[Name]],MountsByName[],4,FALSE)</f>
        <v>1</v>
      </c>
      <c r="F179" s="1">
        <f>VLOOKUP(Table1[[#This Row],[Name]],MountsByName[],5,FALSE)</f>
        <v>0</v>
      </c>
      <c r="G179" s="1">
        <f>VLOOKUP(Table1[[#This Row],[Name]],MountsByName[],6,FALSE)</f>
        <v>1</v>
      </c>
      <c r="H179" s="1">
        <f>VLOOKUP(Table1[[#This Row],[Name]],MountsByName[],7,FALSE)</f>
        <v>0</v>
      </c>
      <c r="I179" s="1">
        <f>VLOOKUP(Table1[[#This Row],[Name]],MountsByName[],8,FALSE)</f>
        <v>0</v>
      </c>
      <c r="J179" s="1">
        <f>VLOOKUP(Table1[[#This Row],[Name]],MountsByName[],9,FALSE)</f>
        <v>0</v>
      </c>
      <c r="K179" s="1">
        <f>VLOOKUP(Table1[[#This Row],[Name]],MountsByName[],10,FALSE)</f>
        <v>0</v>
      </c>
      <c r="L179" s="1">
        <f>VLOOKUP(Table1[[#This Row],[Name]],MountsByName[],11,FALSE)</f>
        <v>0</v>
      </c>
      <c r="M179" s="1">
        <f>VLOOKUP(Table1[[#This Row],[Name]],MountsByName[],12,FALSE)</f>
        <v>1</v>
      </c>
      <c r="N17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[101573] ={"Swift Shorestrider", 101573, 0, 1, 1, 0, "Hawkstrider", "0", 1, 0},</v>
      </c>
    </row>
    <row r="180" spans="1:14" x14ac:dyDescent="0.35">
      <c r="A180" s="2">
        <v>102350</v>
      </c>
      <c r="B180" t="s">
        <v>498</v>
      </c>
      <c r="C180" s="1" t="str">
        <f>VLOOKUP(Table1[[#This Row],[Name]],MountsByName[],2,FALSE)</f>
        <v>Hawkstrider</v>
      </c>
      <c r="D180" s="1">
        <f>VLOOKUP(Table1[[#This Row],[Name]],MountsByName[],3,FALSE)</f>
        <v>1</v>
      </c>
      <c r="E180" s="1">
        <f>VLOOKUP(Table1[[#This Row],[Name]],MountsByName[],4,FALSE)</f>
        <v>1</v>
      </c>
      <c r="F180" s="1">
        <f>VLOOKUP(Table1[[#This Row],[Name]],MountsByName[],5,FALSE)</f>
        <v>0</v>
      </c>
      <c r="G180" s="1">
        <f>VLOOKUP(Table1[[#This Row],[Name]],MountsByName[],6,FALSE)</f>
        <v>1</v>
      </c>
      <c r="H180" s="1">
        <f>VLOOKUP(Table1[[#This Row],[Name]],MountsByName[],7,FALSE)</f>
        <v>0</v>
      </c>
      <c r="I180" s="1">
        <f>VLOOKUP(Table1[[#This Row],[Name]],MountsByName[],8,FALSE)</f>
        <v>0</v>
      </c>
      <c r="J180" s="1">
        <f>VLOOKUP(Table1[[#This Row],[Name]],MountsByName[],9,FALSE)</f>
        <v>0</v>
      </c>
      <c r="K180" s="1">
        <f>VLOOKUP(Table1[[#This Row],[Name]],MountsByName[],10,FALSE)</f>
        <v>0</v>
      </c>
      <c r="L180" s="1">
        <f>VLOOKUP(Table1[[#This Row],[Name]],MountsByName[],11,FALSE)</f>
        <v>0</v>
      </c>
      <c r="M180" s="1">
        <f>VLOOKUP(Table1[[#This Row],[Name]],MountsByName[],12,FALSE)</f>
        <v>1</v>
      </c>
      <c r="N18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[102350] ={"Swift Lovebird", 102350, 0, 1, 1, 0, "Hawkstrider", "0", 1, 0},</v>
      </c>
    </row>
    <row r="181" spans="1:14" x14ac:dyDescent="0.35">
      <c r="A181" s="2">
        <v>43927</v>
      </c>
      <c r="B181" t="s">
        <v>22</v>
      </c>
      <c r="C181" s="1" t="str">
        <f>VLOOKUP(Table1[[#This Row],[Name]],MountsByName[],2,FALSE)</f>
        <v>Hippogryph</v>
      </c>
      <c r="D181" s="1">
        <f>VLOOKUP(Table1[[#This Row],[Name]],MountsByName[],3,FALSE)</f>
        <v>2.8</v>
      </c>
      <c r="E181" s="1">
        <f>VLOOKUP(Table1[[#This Row],[Name]],MountsByName[],4,FALSE)</f>
        <v>2.8</v>
      </c>
      <c r="F181" s="1">
        <f>VLOOKUP(Table1[[#This Row],[Name]],MountsByName[],5,FALSE)</f>
        <v>0</v>
      </c>
      <c r="G181" s="1">
        <f>VLOOKUP(Table1[[#This Row],[Name]],MountsByName[],6,FALSE)</f>
        <v>1</v>
      </c>
      <c r="H181" s="1">
        <f>VLOOKUP(Table1[[#This Row],[Name]],MountsByName[],7,FALSE)</f>
        <v>0</v>
      </c>
      <c r="I181" s="1">
        <f>VLOOKUP(Table1[[#This Row],[Name]],MountsByName[],8,FALSE)</f>
        <v>33999</v>
      </c>
      <c r="J181" s="1" t="str">
        <f>VLOOKUP(Table1[[#This Row],[Name]],MountsByName[],9,FALSE)</f>
        <v>Exalted Cenarion Expedition</v>
      </c>
      <c r="K181" s="1">
        <f>VLOOKUP(Table1[[#This Row],[Name]],MountsByName[],10,FALSE)</f>
        <v>1</v>
      </c>
      <c r="L181" s="1">
        <f>VLOOKUP(Table1[[#This Row],[Name]],MountsByName[],11,FALSE)</f>
        <v>1</v>
      </c>
      <c r="M181" s="1">
        <f>VLOOKUP(Table1[[#This Row],[Name]],MountsByName[],12,FALSE)</f>
        <v>1</v>
      </c>
      <c r="N181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[43927] ={"Cenarion War Hippogryph", 43927, 33999, 2.8, 2.8, 0, "Hippogryph", "Exalted Cenarion Expedition", 1, 0},</v>
      </c>
    </row>
    <row r="182" spans="1:14" x14ac:dyDescent="0.35">
      <c r="A182" s="2">
        <v>63844</v>
      </c>
      <c r="B182" t="s">
        <v>5</v>
      </c>
      <c r="C182" s="1" t="str">
        <f>VLOOKUP(Table1[[#This Row],[Name]],MountsByName[],2,FALSE)</f>
        <v>Hippogryph</v>
      </c>
      <c r="D182" s="1">
        <f>VLOOKUP(Table1[[#This Row],[Name]],MountsByName[],3,FALSE)</f>
        <v>2.8</v>
      </c>
      <c r="E182" s="1">
        <f>VLOOKUP(Table1[[#This Row],[Name]],MountsByName[],4,FALSE)</f>
        <v>2.8</v>
      </c>
      <c r="F182" s="1">
        <f>VLOOKUP(Table1[[#This Row],[Name]],MountsByName[],5,FALSE)</f>
        <v>0</v>
      </c>
      <c r="G182" s="1">
        <f>VLOOKUP(Table1[[#This Row],[Name]],MountsByName[],6,FALSE)</f>
        <v>1</v>
      </c>
      <c r="H182" s="1">
        <f>VLOOKUP(Table1[[#This Row],[Name]],MountsByName[],7,FALSE)</f>
        <v>0</v>
      </c>
      <c r="I182" s="1">
        <f>VLOOKUP(Table1[[#This Row],[Name]],MountsByName[],8,FALSE)</f>
        <v>45725</v>
      </c>
      <c r="J182" s="1" t="str">
        <f>VLOOKUP(Table1[[#This Row],[Name]],MountsByName[],9,FALSE)</f>
        <v>Champion's Seals</v>
      </c>
      <c r="K182" s="1">
        <f>VLOOKUP(Table1[[#This Row],[Name]],MountsByName[],10,FALSE)</f>
        <v>1</v>
      </c>
      <c r="L182" s="1">
        <f>VLOOKUP(Table1[[#This Row],[Name]],MountsByName[],11,FALSE)</f>
        <v>1</v>
      </c>
      <c r="M182" s="1">
        <f>VLOOKUP(Table1[[#This Row],[Name]],MountsByName[],12,FALSE)</f>
        <v>1</v>
      </c>
      <c r="N18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[63844] ={"Argent Hippogryph", 63844, 45725, 2.8, 2.8, 0, "Hippogryph", "Champion's Seals", 1, 0},</v>
      </c>
    </row>
    <row r="183" spans="1:14" x14ac:dyDescent="0.35">
      <c r="A183" s="2">
        <v>66087</v>
      </c>
      <c r="B183" t="s">
        <v>54</v>
      </c>
      <c r="C183" s="1" t="str">
        <f>VLOOKUP(Table1[[#This Row],[Name]],MountsByName[],2,FALSE)</f>
        <v>Hippogryph</v>
      </c>
      <c r="D183" s="1">
        <f>VLOOKUP(Table1[[#This Row],[Name]],MountsByName[],3,FALSE)</f>
        <v>2.8</v>
      </c>
      <c r="E183" s="1">
        <f>VLOOKUP(Table1[[#This Row],[Name]],MountsByName[],4,FALSE)</f>
        <v>2.8</v>
      </c>
      <c r="F183" s="1">
        <f>VLOOKUP(Table1[[#This Row],[Name]],MountsByName[],5,FALSE)</f>
        <v>0</v>
      </c>
      <c r="G183" s="1">
        <f>VLOOKUP(Table1[[#This Row],[Name]],MountsByName[],6,FALSE)</f>
        <v>1</v>
      </c>
      <c r="H183" s="1">
        <f>VLOOKUP(Table1[[#This Row],[Name]],MountsByName[],7,FALSE)</f>
        <v>0</v>
      </c>
      <c r="I183" s="1">
        <f>VLOOKUP(Table1[[#This Row],[Name]],MountsByName[],8,FALSE)</f>
        <v>46813</v>
      </c>
      <c r="J183" s="1" t="str">
        <f>VLOOKUP(Table1[[#This Row],[Name]],MountsByName[],9,FALSE)</f>
        <v>Champion's Seals</v>
      </c>
      <c r="K183" s="1">
        <f>VLOOKUP(Table1[[#This Row],[Name]],MountsByName[],10,FALSE)</f>
        <v>1</v>
      </c>
      <c r="L183" s="1">
        <f>VLOOKUP(Table1[[#This Row],[Name]],MountsByName[],11,FALSE)</f>
        <v>0</v>
      </c>
      <c r="M183" s="1">
        <f>VLOOKUP(Table1[[#This Row],[Name]],MountsByName[],12,FALSE)</f>
        <v>1</v>
      </c>
      <c r="N18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[66087] ={"Silver Covenant Hippogryph", 66087, 46813, 2.8, 2.8, 0, "Hippogryph", "Champion's Seals", 1, 0},</v>
      </c>
    </row>
    <row r="184" spans="1:14" x14ac:dyDescent="0.35">
      <c r="A184" s="2">
        <v>74856</v>
      </c>
      <c r="B184" t="s">
        <v>360</v>
      </c>
      <c r="C184" s="1" t="str">
        <f>VLOOKUP(Table1[[#This Row],[Name]],MountsByName[],2,FALSE)</f>
        <v>Hippogryph</v>
      </c>
      <c r="D184" s="1">
        <f>VLOOKUP(Table1[[#This Row],[Name]],MountsByName[],3,FALSE)</f>
        <v>2.8</v>
      </c>
      <c r="E184" s="1">
        <f>VLOOKUP(Table1[[#This Row],[Name]],MountsByName[],4,FALSE)</f>
        <v>2.8</v>
      </c>
      <c r="F184" s="1">
        <f>VLOOKUP(Table1[[#This Row],[Name]],MountsByName[],5,FALSE)</f>
        <v>0</v>
      </c>
      <c r="G184" s="1">
        <f>VLOOKUP(Table1[[#This Row],[Name]],MountsByName[],6,FALSE)</f>
        <v>1</v>
      </c>
      <c r="H184" s="1">
        <f>VLOOKUP(Table1[[#This Row],[Name]],MountsByName[],7,FALSE)</f>
        <v>0</v>
      </c>
      <c r="I184" s="1">
        <f>VLOOKUP(Table1[[#This Row],[Name]],MountsByName[],8,FALSE)</f>
        <v>54069</v>
      </c>
      <c r="J184" s="1" t="str">
        <f>VLOOKUP(Table1[[#This Row],[Name]],MountsByName[],9,FALSE)</f>
        <v>TCG</v>
      </c>
      <c r="K184" s="1">
        <f>VLOOKUP(Table1[[#This Row],[Name]],MountsByName[],10,FALSE)</f>
        <v>1</v>
      </c>
      <c r="L184" s="1">
        <f>VLOOKUP(Table1[[#This Row],[Name]],MountsByName[],11,FALSE)</f>
        <v>1</v>
      </c>
      <c r="M184" s="1">
        <f>VLOOKUP(Table1[[#This Row],[Name]],MountsByName[],12,FALSE)</f>
        <v>1</v>
      </c>
      <c r="N18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[74856] ={"Blazing Hippogryph", 74856, 54069, 2.8, 2.8, 0, "Hippogryph", "TCG", 1, 0},</v>
      </c>
    </row>
    <row r="185" spans="1:14" x14ac:dyDescent="0.35">
      <c r="A185" s="2">
        <v>97359</v>
      </c>
      <c r="B185" t="s">
        <v>496</v>
      </c>
      <c r="C185" s="1" t="str">
        <f>VLOOKUP(Table1[[#This Row],[Name]],MountsByName[],2,FALSE)</f>
        <v>Hippogryph</v>
      </c>
      <c r="D185" s="1">
        <f>VLOOKUP(Table1[[#This Row],[Name]],MountsByName[],3,FALSE)</f>
        <v>2.8</v>
      </c>
      <c r="E185" s="1">
        <f>VLOOKUP(Table1[[#This Row],[Name]],MountsByName[],4,FALSE)</f>
        <v>2.8</v>
      </c>
      <c r="F185" s="1">
        <f>VLOOKUP(Table1[[#This Row],[Name]],MountsByName[],5,FALSE)</f>
        <v>0</v>
      </c>
      <c r="G185" s="1">
        <f>VLOOKUP(Table1[[#This Row],[Name]],MountsByName[],6,FALSE)</f>
        <v>1</v>
      </c>
      <c r="H185" s="1">
        <f>VLOOKUP(Table1[[#This Row],[Name]],MountsByName[],7,FALSE)</f>
        <v>0</v>
      </c>
      <c r="I185" s="1">
        <f>VLOOKUP(Table1[[#This Row],[Name]],MountsByName[],8,FALSE)</f>
        <v>0</v>
      </c>
      <c r="J185" s="1">
        <f>VLOOKUP(Table1[[#This Row],[Name]],MountsByName[],9,FALSE)</f>
        <v>0</v>
      </c>
      <c r="K185" s="1">
        <f>VLOOKUP(Table1[[#This Row],[Name]],MountsByName[],10,FALSE)</f>
        <v>0</v>
      </c>
      <c r="L185" s="1">
        <f>VLOOKUP(Table1[[#This Row],[Name]],MountsByName[],11,FALSE)</f>
        <v>0</v>
      </c>
      <c r="M185" s="1">
        <f>VLOOKUP(Table1[[#This Row],[Name]],MountsByName[],12,FALSE)</f>
        <v>1</v>
      </c>
      <c r="N18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[97359] ={"Flameward Hippogryph", 97359, 0, 2.8, 2.8, 0, "Hippogryph", "0", 1, 0},</v>
      </c>
    </row>
    <row r="186" spans="1:14" x14ac:dyDescent="0.35">
      <c r="A186" s="2">
        <v>102514</v>
      </c>
      <c r="B186" t="s">
        <v>497</v>
      </c>
      <c r="C186" s="1" t="str">
        <f>VLOOKUP(Table1[[#This Row],[Name]],MountsByName[],2,FALSE)</f>
        <v>Hippogryph</v>
      </c>
      <c r="D186" s="1">
        <f>VLOOKUP(Table1[[#This Row],[Name]],MountsByName[],3,FALSE)</f>
        <v>2.8</v>
      </c>
      <c r="E186" s="1">
        <f>VLOOKUP(Table1[[#This Row],[Name]],MountsByName[],4,FALSE)</f>
        <v>2.8</v>
      </c>
      <c r="F186" s="1">
        <f>VLOOKUP(Table1[[#This Row],[Name]],MountsByName[],5,FALSE)</f>
        <v>0</v>
      </c>
      <c r="G186" s="1">
        <f>VLOOKUP(Table1[[#This Row],[Name]],MountsByName[],6,FALSE)</f>
        <v>1</v>
      </c>
      <c r="H186" s="1">
        <f>VLOOKUP(Table1[[#This Row],[Name]],MountsByName[],7,FALSE)</f>
        <v>0</v>
      </c>
      <c r="I186" s="1">
        <f>VLOOKUP(Table1[[#This Row],[Name]],MountsByName[],8,FALSE)</f>
        <v>0</v>
      </c>
      <c r="J186" s="1">
        <f>VLOOKUP(Table1[[#This Row],[Name]],MountsByName[],9,FALSE)</f>
        <v>0</v>
      </c>
      <c r="K186" s="1">
        <f>VLOOKUP(Table1[[#This Row],[Name]],MountsByName[],10,FALSE)</f>
        <v>0</v>
      </c>
      <c r="L186" s="1">
        <f>VLOOKUP(Table1[[#This Row],[Name]],MountsByName[],11,FALSE)</f>
        <v>0</v>
      </c>
      <c r="M186" s="1">
        <f>VLOOKUP(Table1[[#This Row],[Name]],MountsByName[],12,FALSE)</f>
        <v>1</v>
      </c>
      <c r="N18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[102514] ={"Corrupted Hippogryph", 102514, 0, 2.8, 2.8, 0, "Hippogryph", "0", 1, 0},</v>
      </c>
    </row>
    <row r="187" spans="1:14" x14ac:dyDescent="0.35">
      <c r="A187" s="2">
        <v>139448</v>
      </c>
      <c r="B187" t="s">
        <v>1041</v>
      </c>
      <c r="C187" s="1" t="str">
        <f>VLOOKUP(Table1[[#This Row],[Name]],MountsByName[],2,FALSE)</f>
        <v>Hippogryph</v>
      </c>
      <c r="D187" s="1">
        <f>VLOOKUP(Table1[[#This Row],[Name]],MountsByName[],3,FALSE)</f>
        <v>2.8</v>
      </c>
      <c r="E187" s="1">
        <f>VLOOKUP(Table1[[#This Row],[Name]],MountsByName[],4,FALSE)</f>
        <v>2.8</v>
      </c>
      <c r="F187" s="1">
        <f>VLOOKUP(Table1[[#This Row],[Name]],MountsByName[],5,FALSE)</f>
        <v>0</v>
      </c>
      <c r="G187" s="1">
        <f>VLOOKUP(Table1[[#This Row],[Name]],MountsByName[],6,FALSE)</f>
        <v>1</v>
      </c>
      <c r="H187" s="1">
        <f>VLOOKUP(Table1[[#This Row],[Name]],MountsByName[],7,FALSE)</f>
        <v>0</v>
      </c>
      <c r="I187" s="1">
        <f>VLOOKUP(Table1[[#This Row],[Name]],MountsByName[],8,FALSE)</f>
        <v>0</v>
      </c>
      <c r="J187" s="1">
        <f>VLOOKUP(Table1[[#This Row],[Name]],MountsByName[],9,FALSE)</f>
        <v>0</v>
      </c>
      <c r="K187" s="1">
        <f>VLOOKUP(Table1[[#This Row],[Name]],MountsByName[],10,FALSE)</f>
        <v>0</v>
      </c>
      <c r="L187" s="1">
        <f>VLOOKUP(Table1[[#This Row],[Name]],MountsByName[],11,FALSE)</f>
        <v>0</v>
      </c>
      <c r="M187" s="1">
        <f>VLOOKUP(Table1[[#This Row],[Name]],MountsByName[],12,FALSE)</f>
        <v>1</v>
      </c>
      <c r="N18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[139448] ={"Clutch of Ji-Kun", 139448, 0, 2.8, 2.8, 0, "Hippogryph", "0", 1, 0},</v>
      </c>
    </row>
    <row r="188" spans="1:14" x14ac:dyDescent="0.35">
      <c r="A188" s="2">
        <v>149801</v>
      </c>
      <c r="B188" t="s">
        <v>1083</v>
      </c>
      <c r="C188" s="1" t="str">
        <f>VLOOKUP(Table1[[#This Row],[Name]],MountsByName[],2,FALSE)</f>
        <v>Hippogryph</v>
      </c>
      <c r="D188" s="1">
        <f>VLOOKUP(Table1[[#This Row],[Name]],MountsByName[],3,FALSE)</f>
        <v>2.8</v>
      </c>
      <c r="E188" s="1">
        <f>VLOOKUP(Table1[[#This Row],[Name]],MountsByName[],4,FALSE)</f>
        <v>2.8</v>
      </c>
      <c r="F188" s="1">
        <f>VLOOKUP(Table1[[#This Row],[Name]],MountsByName[],5,FALSE)</f>
        <v>0</v>
      </c>
      <c r="G188" s="1">
        <f>VLOOKUP(Table1[[#This Row],[Name]],MountsByName[],6,FALSE)</f>
        <v>1</v>
      </c>
      <c r="H188" s="1">
        <f>VLOOKUP(Table1[[#This Row],[Name]],MountsByName[],7,FALSE)</f>
        <v>0</v>
      </c>
      <c r="I188" s="1">
        <f>VLOOKUP(Table1[[#This Row],[Name]],MountsByName[],8,FALSE)</f>
        <v>0</v>
      </c>
      <c r="J188" s="1">
        <f>VLOOKUP(Table1[[#This Row],[Name]],MountsByName[],9,FALSE)</f>
        <v>0</v>
      </c>
      <c r="K188" s="1">
        <f>VLOOKUP(Table1[[#This Row],[Name]],MountsByName[],10,FALSE)</f>
        <v>0</v>
      </c>
      <c r="L188" s="1">
        <f>VLOOKUP(Table1[[#This Row],[Name]],MountsByName[],11,FALSE)</f>
        <v>0</v>
      </c>
      <c r="M188" s="1">
        <f>VLOOKUP(Table1[[#This Row],[Name]],MountsByName[],12,FALSE)</f>
        <v>1</v>
      </c>
      <c r="N18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[149801] ={"Emerald Hippogryph", 149801, 0, 2.8, 2.8, 0, "Hippogryph", "0", 1, 0},</v>
      </c>
    </row>
    <row r="189" spans="1:14" x14ac:dyDescent="0.35">
      <c r="A189" s="2">
        <v>387320</v>
      </c>
      <c r="B189" t="s">
        <v>360</v>
      </c>
      <c r="C189" s="1" t="str">
        <f>VLOOKUP(Table1[[#This Row],[Name]],MountsByName[],2,FALSE)</f>
        <v>Hippogryph</v>
      </c>
      <c r="D189" s="1">
        <f>VLOOKUP(Table1[[#This Row],[Name]],MountsByName[],3,FALSE)</f>
        <v>2.8</v>
      </c>
      <c r="E189" s="1">
        <f>VLOOKUP(Table1[[#This Row],[Name]],MountsByName[],4,FALSE)</f>
        <v>2.8</v>
      </c>
      <c r="F189" s="1">
        <f>VLOOKUP(Table1[[#This Row],[Name]],MountsByName[],5,FALSE)</f>
        <v>0</v>
      </c>
      <c r="G189" s="1">
        <f>VLOOKUP(Table1[[#This Row],[Name]],MountsByName[],6,FALSE)</f>
        <v>1</v>
      </c>
      <c r="H189" s="1">
        <f>VLOOKUP(Table1[[#This Row],[Name]],MountsByName[],7,FALSE)</f>
        <v>0</v>
      </c>
      <c r="I189" s="1">
        <f>VLOOKUP(Table1[[#This Row],[Name]],MountsByName[],8,FALSE)</f>
        <v>54069</v>
      </c>
      <c r="J189" s="1" t="str">
        <f>VLOOKUP(Table1[[#This Row],[Name]],MountsByName[],9,FALSE)</f>
        <v>TCG</v>
      </c>
      <c r="K189" s="1">
        <f>VLOOKUP(Table1[[#This Row],[Name]],MountsByName[],10,FALSE)</f>
        <v>1</v>
      </c>
      <c r="L189" s="1">
        <f>VLOOKUP(Table1[[#This Row],[Name]],MountsByName[],11,FALSE)</f>
        <v>1</v>
      </c>
      <c r="M189" s="1">
        <f>VLOOKUP(Table1[[#This Row],[Name]],MountsByName[],12,FALSE)</f>
        <v>1</v>
      </c>
      <c r="N18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[387320] ={"Blazing Hippogryph", 387320, 54069, 2.8, 2.8, 0, "Hippogryph", "TCG", 1, 0},</v>
      </c>
    </row>
    <row r="190" spans="1:14" x14ac:dyDescent="0.35">
      <c r="A190" s="2">
        <v>466980</v>
      </c>
      <c r="B190" t="s">
        <v>477</v>
      </c>
      <c r="C190" s="1" t="str">
        <f>VLOOKUP(Table1[[#This Row],[Name]],MountsByName[],2,FALSE)</f>
        <v>Hippogryph</v>
      </c>
      <c r="D190" s="1">
        <f>VLOOKUP(Table1[[#This Row],[Name]],MountsByName[],3,FALSE)</f>
        <v>2.8</v>
      </c>
      <c r="E190" s="1">
        <f>VLOOKUP(Table1[[#This Row],[Name]],MountsByName[],4,FALSE)</f>
        <v>2.8</v>
      </c>
      <c r="F190" s="1">
        <f>VLOOKUP(Table1[[#This Row],[Name]],MountsByName[],5,FALSE)</f>
        <v>0</v>
      </c>
      <c r="G190" s="1">
        <f>VLOOKUP(Table1[[#This Row],[Name]],MountsByName[],6,FALSE)</f>
        <v>1</v>
      </c>
      <c r="H190" s="1">
        <f>VLOOKUP(Table1[[#This Row],[Name]],MountsByName[],7,FALSE)</f>
        <v>0</v>
      </c>
      <c r="I190" s="1">
        <f>VLOOKUP(Table1[[#This Row],[Name]],MountsByName[],8,FALSE)</f>
        <v>0</v>
      </c>
      <c r="J190" s="1">
        <f>VLOOKUP(Table1[[#This Row],[Name]],MountsByName[],9,FALSE)</f>
        <v>0</v>
      </c>
      <c r="K190" s="1">
        <f>VLOOKUP(Table1[[#This Row],[Name]],MountsByName[],10,FALSE)</f>
        <v>0</v>
      </c>
      <c r="L190" s="1">
        <f>VLOOKUP(Table1[[#This Row],[Name]],MountsByName[],11,FALSE)</f>
        <v>0</v>
      </c>
      <c r="M190" s="1">
        <f>VLOOKUP(Table1[[#This Row],[Name]],MountsByName[],12,FALSE)</f>
        <v>1</v>
      </c>
      <c r="N19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[466980] ={"Chaos-Born Hippogryph", 466980, 0, 2.8, 2.8, 0, "Hippogryph", "0", 1, 0},</v>
      </c>
    </row>
    <row r="191" spans="1:14" x14ac:dyDescent="0.35">
      <c r="A191" s="2">
        <v>458</v>
      </c>
      <c r="B191" t="s">
        <v>116</v>
      </c>
      <c r="C191" s="1" t="str">
        <f>VLOOKUP(Table1[[#This Row],[Name]],MountsByName[],2,FALSE)</f>
        <v>Horse</v>
      </c>
      <c r="D191" s="1">
        <f>VLOOKUP(Table1[[#This Row],[Name]],MountsByName[],3,FALSE)</f>
        <v>0.6</v>
      </c>
      <c r="E191" s="1">
        <f>VLOOKUP(Table1[[#This Row],[Name]],MountsByName[],4,FALSE)</f>
        <v>0.6</v>
      </c>
      <c r="F191" s="1">
        <f>VLOOKUP(Table1[[#This Row],[Name]],MountsByName[],5,FALSE)</f>
        <v>0</v>
      </c>
      <c r="G191" s="1">
        <f>VLOOKUP(Table1[[#This Row],[Name]],MountsByName[],6,FALSE)</f>
        <v>1</v>
      </c>
      <c r="H191" s="1">
        <f>VLOOKUP(Table1[[#This Row],[Name]],MountsByName[],7,FALSE)</f>
        <v>0</v>
      </c>
      <c r="I191" s="1">
        <f>VLOOKUP(Table1[[#This Row],[Name]],MountsByName[],8,FALSE)</f>
        <v>5656</v>
      </c>
      <c r="J191" s="1" t="str">
        <f>VLOOKUP(Table1[[#This Row],[Name]],MountsByName[],9,FALSE)</f>
        <v>Exalted Stormwind</v>
      </c>
      <c r="K191" s="1">
        <f>VLOOKUP(Table1[[#This Row],[Name]],MountsByName[],10,FALSE)</f>
        <v>1</v>
      </c>
      <c r="L191" s="1">
        <f>VLOOKUP(Table1[[#This Row],[Name]],MountsByName[],11,FALSE)</f>
        <v>0</v>
      </c>
      <c r="M191" s="1">
        <f>VLOOKUP(Table1[[#This Row],[Name]],MountsByName[],12,FALSE)</f>
        <v>1</v>
      </c>
      <c r="N191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[458] ={"Brown Horse", 458, 5656, 0.6, 0.6, 0, "Horse", "Exalted Stormwind", 1, 0},</v>
      </c>
    </row>
    <row r="192" spans="1:14" x14ac:dyDescent="0.35">
      <c r="A192" s="2">
        <v>468</v>
      </c>
      <c r="B192" t="s">
        <v>269</v>
      </c>
      <c r="C192" s="1" t="str">
        <f>VLOOKUP(Table1[[#This Row],[Name]],MountsByName[],2,FALSE)</f>
        <v>Horse</v>
      </c>
      <c r="D192" s="1">
        <f>VLOOKUP(Table1[[#This Row],[Name]],MountsByName[],3,FALSE)</f>
        <v>1</v>
      </c>
      <c r="E192" s="1">
        <f>VLOOKUP(Table1[[#This Row],[Name]],MountsByName[],4,FALSE)</f>
        <v>1</v>
      </c>
      <c r="F192" s="1">
        <f>VLOOKUP(Table1[[#This Row],[Name]],MountsByName[],5,FALSE)</f>
        <v>0</v>
      </c>
      <c r="G192" s="1">
        <f>VLOOKUP(Table1[[#This Row],[Name]],MountsByName[],6,FALSE)</f>
        <v>1</v>
      </c>
      <c r="H192" s="1">
        <f>VLOOKUP(Table1[[#This Row],[Name]],MountsByName[],7,FALSE)</f>
        <v>0</v>
      </c>
      <c r="I192" s="1">
        <f>VLOOKUP(Table1[[#This Row],[Name]],MountsByName[],8,FALSE)</f>
        <v>12353</v>
      </c>
      <c r="J192" s="1" t="str">
        <f>VLOOKUP(Table1[[#This Row],[Name]],MountsByName[],9,FALSE)</f>
        <v>Exalted Stormwind</v>
      </c>
      <c r="K192" s="1">
        <f>VLOOKUP(Table1[[#This Row],[Name]],MountsByName[],10,FALSE)</f>
        <v>1</v>
      </c>
      <c r="L192" s="1">
        <f>VLOOKUP(Table1[[#This Row],[Name]],MountsByName[],11,FALSE)</f>
        <v>0</v>
      </c>
      <c r="M192" s="1">
        <f>VLOOKUP(Table1[[#This Row],[Name]],MountsByName[],12,FALSE)</f>
        <v>1</v>
      </c>
      <c r="N19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[468] ={"White Stallion", 468, 12353, 1, 1, 0, "Horse", "Exalted Stormwind", 1, 0},</v>
      </c>
    </row>
    <row r="193" spans="1:14" x14ac:dyDescent="0.35">
      <c r="A193" s="2">
        <v>470</v>
      </c>
      <c r="B193" t="s">
        <v>95</v>
      </c>
      <c r="C193" s="1" t="str">
        <f>VLOOKUP(Table1[[#This Row],[Name]],MountsByName[],2,FALSE)</f>
        <v>Horse</v>
      </c>
      <c r="D193" s="1">
        <f>VLOOKUP(Table1[[#This Row],[Name]],MountsByName[],3,FALSE)</f>
        <v>0.6</v>
      </c>
      <c r="E193" s="1">
        <f>VLOOKUP(Table1[[#This Row],[Name]],MountsByName[],4,FALSE)</f>
        <v>0.6</v>
      </c>
      <c r="F193" s="1">
        <f>VLOOKUP(Table1[[#This Row],[Name]],MountsByName[],5,FALSE)</f>
        <v>0</v>
      </c>
      <c r="G193" s="1">
        <f>VLOOKUP(Table1[[#This Row],[Name]],MountsByName[],6,FALSE)</f>
        <v>1</v>
      </c>
      <c r="H193" s="1">
        <f>VLOOKUP(Table1[[#This Row],[Name]],MountsByName[],7,FALSE)</f>
        <v>0</v>
      </c>
      <c r="I193" s="1">
        <f>VLOOKUP(Table1[[#This Row],[Name]],MountsByName[],8,FALSE)</f>
        <v>2411</v>
      </c>
      <c r="J193" s="1" t="str">
        <f>VLOOKUP(Table1[[#This Row],[Name]],MountsByName[],9,FALSE)</f>
        <v>Exalted Stormwind</v>
      </c>
      <c r="K193" s="1">
        <f>VLOOKUP(Table1[[#This Row],[Name]],MountsByName[],10,FALSE)</f>
        <v>1</v>
      </c>
      <c r="L193" s="1">
        <f>VLOOKUP(Table1[[#This Row],[Name]],MountsByName[],11,FALSE)</f>
        <v>0</v>
      </c>
      <c r="M193" s="1">
        <f>VLOOKUP(Table1[[#This Row],[Name]],MountsByName[],12,FALSE)</f>
        <v>1</v>
      </c>
      <c r="N19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[470] ={"Black Stallion", 470, 2411, 0.6, 0.6, 0, "Horse", "Exalted Stormwind", 1, 0},</v>
      </c>
    </row>
    <row r="194" spans="1:14" x14ac:dyDescent="0.35">
      <c r="A194" s="2">
        <v>472</v>
      </c>
      <c r="B194" t="s">
        <v>180</v>
      </c>
      <c r="C194" s="1" t="str">
        <f>VLOOKUP(Table1[[#This Row],[Name]],MountsByName[],2,FALSE)</f>
        <v>Horse</v>
      </c>
      <c r="D194" s="1">
        <f>VLOOKUP(Table1[[#This Row],[Name]],MountsByName[],3,FALSE)</f>
        <v>0.6</v>
      </c>
      <c r="E194" s="1">
        <f>VLOOKUP(Table1[[#This Row],[Name]],MountsByName[],4,FALSE)</f>
        <v>0.6</v>
      </c>
      <c r="F194" s="1">
        <f>VLOOKUP(Table1[[#This Row],[Name]],MountsByName[],5,FALSE)</f>
        <v>0</v>
      </c>
      <c r="G194" s="1">
        <f>VLOOKUP(Table1[[#This Row],[Name]],MountsByName[],6,FALSE)</f>
        <v>1</v>
      </c>
      <c r="H194" s="1">
        <f>VLOOKUP(Table1[[#This Row],[Name]],MountsByName[],7,FALSE)</f>
        <v>0</v>
      </c>
      <c r="I194" s="1">
        <f>VLOOKUP(Table1[[#This Row],[Name]],MountsByName[],8,FALSE)</f>
        <v>2414</v>
      </c>
      <c r="J194" s="1" t="str">
        <f>VLOOKUP(Table1[[#This Row],[Name]],MountsByName[],9,FALSE)</f>
        <v>Exalted Stormwind</v>
      </c>
      <c r="K194" s="1">
        <f>VLOOKUP(Table1[[#This Row],[Name]],MountsByName[],10,FALSE)</f>
        <v>1</v>
      </c>
      <c r="L194" s="1">
        <f>VLOOKUP(Table1[[#This Row],[Name]],MountsByName[],11,FALSE)</f>
        <v>0</v>
      </c>
      <c r="M194" s="1">
        <f>VLOOKUP(Table1[[#This Row],[Name]],MountsByName[],12,FALSE)</f>
        <v>1</v>
      </c>
      <c r="N19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[472] ={"Pinto", 472, 2414, 0.6, 0.6, 0, "Horse", "Exalted Stormwind", 1, 0},</v>
      </c>
    </row>
    <row r="195" spans="1:14" x14ac:dyDescent="0.35">
      <c r="A195" s="2">
        <v>6648</v>
      </c>
      <c r="B195" t="s">
        <v>123</v>
      </c>
      <c r="C195" s="1" t="str">
        <f>VLOOKUP(Table1[[#This Row],[Name]],MountsByName[],2,FALSE)</f>
        <v>Horse</v>
      </c>
      <c r="D195" s="1">
        <f>VLOOKUP(Table1[[#This Row],[Name]],MountsByName[],3,FALSE)</f>
        <v>0.6</v>
      </c>
      <c r="E195" s="1">
        <f>VLOOKUP(Table1[[#This Row],[Name]],MountsByName[],4,FALSE)</f>
        <v>0.6</v>
      </c>
      <c r="F195" s="1">
        <f>VLOOKUP(Table1[[#This Row],[Name]],MountsByName[],5,FALSE)</f>
        <v>0</v>
      </c>
      <c r="G195" s="1">
        <f>VLOOKUP(Table1[[#This Row],[Name]],MountsByName[],6,FALSE)</f>
        <v>1</v>
      </c>
      <c r="H195" s="1">
        <f>VLOOKUP(Table1[[#This Row],[Name]],MountsByName[],7,FALSE)</f>
        <v>0</v>
      </c>
      <c r="I195" s="1">
        <f>VLOOKUP(Table1[[#This Row],[Name]],MountsByName[],8,FALSE)</f>
        <v>5655</v>
      </c>
      <c r="J195" s="1" t="str">
        <f>VLOOKUP(Table1[[#This Row],[Name]],MountsByName[],9,FALSE)</f>
        <v>Exalted Stormwind</v>
      </c>
      <c r="K195" s="1">
        <f>VLOOKUP(Table1[[#This Row],[Name]],MountsByName[],10,FALSE)</f>
        <v>1</v>
      </c>
      <c r="L195" s="1">
        <f>VLOOKUP(Table1[[#This Row],[Name]],MountsByName[],11,FALSE)</f>
        <v>0</v>
      </c>
      <c r="M195" s="1">
        <f>VLOOKUP(Table1[[#This Row],[Name]],MountsByName[],12,FALSE)</f>
        <v>1</v>
      </c>
      <c r="N19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[6648] ={"Chestnut Mare", 6648, 5655, 0.6, 0.6, 0, "Horse", "Exalted Stormwind", 1, 0},</v>
      </c>
    </row>
    <row r="196" spans="1:14" x14ac:dyDescent="0.35">
      <c r="A196" s="2">
        <v>8980</v>
      </c>
      <c r="B196" t="s">
        <v>200</v>
      </c>
      <c r="C196" s="1" t="str">
        <f>VLOOKUP(Table1[[#This Row],[Name]],MountsByName[],2,FALSE)</f>
        <v>Horse</v>
      </c>
      <c r="D196" s="1">
        <f>VLOOKUP(Table1[[#This Row],[Name]],MountsByName[],3,FALSE)</f>
        <v>0.6</v>
      </c>
      <c r="E196" s="1">
        <f>VLOOKUP(Table1[[#This Row],[Name]],MountsByName[],4,FALSE)</f>
        <v>0.6</v>
      </c>
      <c r="F196" s="1">
        <f>VLOOKUP(Table1[[#This Row],[Name]],MountsByName[],5,FALSE)</f>
        <v>0</v>
      </c>
      <c r="G196" s="1">
        <f>VLOOKUP(Table1[[#This Row],[Name]],MountsByName[],6,FALSE)</f>
        <v>1</v>
      </c>
      <c r="H196" s="1">
        <f>VLOOKUP(Table1[[#This Row],[Name]],MountsByName[],7,FALSE)</f>
        <v>0</v>
      </c>
      <c r="I196" s="1">
        <f>VLOOKUP(Table1[[#This Row],[Name]],MountsByName[],8,FALSE)</f>
        <v>8583</v>
      </c>
      <c r="J196" s="1" t="str">
        <f>VLOOKUP(Table1[[#This Row],[Name]],MountsByName[],9,FALSE)</f>
        <v>removed</v>
      </c>
      <c r="K196" s="1">
        <f>VLOOKUP(Table1[[#This Row],[Name]],MountsByName[],10,FALSE)</f>
        <v>0</v>
      </c>
      <c r="L196" s="1">
        <f>VLOOKUP(Table1[[#This Row],[Name]],MountsByName[],11,FALSE)</f>
        <v>1</v>
      </c>
      <c r="M196" s="1">
        <f>VLOOKUP(Table1[[#This Row],[Name]],MountsByName[],12,FALSE)</f>
        <v>1</v>
      </c>
      <c r="N19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[8980] ={"Skeletal Horse", 8980, 8583, 0.6, 0.6, 0, "Horse", "removed", 1, 0},</v>
      </c>
    </row>
    <row r="197" spans="1:14" x14ac:dyDescent="0.35">
      <c r="A197" s="2">
        <v>16082</v>
      </c>
      <c r="B197" t="s">
        <v>179</v>
      </c>
      <c r="C197" s="1" t="str">
        <f>VLOOKUP(Table1[[#This Row],[Name]],MountsByName[],2,FALSE)</f>
        <v>Horse</v>
      </c>
      <c r="D197" s="1">
        <f>VLOOKUP(Table1[[#This Row],[Name]],MountsByName[],3,FALSE)</f>
        <v>1</v>
      </c>
      <c r="E197" s="1">
        <f>VLOOKUP(Table1[[#This Row],[Name]],MountsByName[],4,FALSE)</f>
        <v>1</v>
      </c>
      <c r="F197" s="1">
        <f>VLOOKUP(Table1[[#This Row],[Name]],MountsByName[],5,FALSE)</f>
        <v>0</v>
      </c>
      <c r="G197" s="1">
        <f>VLOOKUP(Table1[[#This Row],[Name]],MountsByName[],6,FALSE)</f>
        <v>1</v>
      </c>
      <c r="H197" s="1">
        <f>VLOOKUP(Table1[[#This Row],[Name]],MountsByName[],7,FALSE)</f>
        <v>0</v>
      </c>
      <c r="I197" s="1">
        <f>VLOOKUP(Table1[[#This Row],[Name]],MountsByName[],8,FALSE)</f>
        <v>12354</v>
      </c>
      <c r="J197" s="1" t="str">
        <f>VLOOKUP(Table1[[#This Row],[Name]],MountsByName[],9,FALSE)</f>
        <v>removed</v>
      </c>
      <c r="K197" s="1">
        <f>VLOOKUP(Table1[[#This Row],[Name]],MountsByName[],10,FALSE)</f>
        <v>1</v>
      </c>
      <c r="L197" s="1">
        <f>VLOOKUP(Table1[[#This Row],[Name]],MountsByName[],11,FALSE)</f>
        <v>0</v>
      </c>
      <c r="M197" s="1">
        <f>VLOOKUP(Table1[[#This Row],[Name]],MountsByName[],12,FALSE)</f>
        <v>1</v>
      </c>
      <c r="N19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[16082] ={"Palomino", 16082, 12354, 1, 1, 0, "Horse", "removed", 1, 0},</v>
      </c>
    </row>
    <row r="198" spans="1:14" x14ac:dyDescent="0.35">
      <c r="A198" s="2">
        <v>16083</v>
      </c>
      <c r="B198" t="s">
        <v>269</v>
      </c>
      <c r="C198" s="1" t="str">
        <f>VLOOKUP(Table1[[#This Row],[Name]],MountsByName[],2,FALSE)</f>
        <v>Horse</v>
      </c>
      <c r="D198" s="1">
        <f>VLOOKUP(Table1[[#This Row],[Name]],MountsByName[],3,FALSE)</f>
        <v>1</v>
      </c>
      <c r="E198" s="1">
        <f>VLOOKUP(Table1[[#This Row],[Name]],MountsByName[],4,FALSE)</f>
        <v>1</v>
      </c>
      <c r="F198" s="1">
        <f>VLOOKUP(Table1[[#This Row],[Name]],MountsByName[],5,FALSE)</f>
        <v>0</v>
      </c>
      <c r="G198" s="1">
        <f>VLOOKUP(Table1[[#This Row],[Name]],MountsByName[],6,FALSE)</f>
        <v>1</v>
      </c>
      <c r="H198" s="1">
        <f>VLOOKUP(Table1[[#This Row],[Name]],MountsByName[],7,FALSE)</f>
        <v>0</v>
      </c>
      <c r="I198" s="1">
        <f>VLOOKUP(Table1[[#This Row],[Name]],MountsByName[],8,FALSE)</f>
        <v>12353</v>
      </c>
      <c r="J198" s="1" t="str">
        <f>VLOOKUP(Table1[[#This Row],[Name]],MountsByName[],9,FALSE)</f>
        <v>Exalted Stormwind</v>
      </c>
      <c r="K198" s="1">
        <f>VLOOKUP(Table1[[#This Row],[Name]],MountsByName[],10,FALSE)</f>
        <v>1</v>
      </c>
      <c r="L198" s="1">
        <f>VLOOKUP(Table1[[#This Row],[Name]],MountsByName[],11,FALSE)</f>
        <v>0</v>
      </c>
      <c r="M198" s="1">
        <f>VLOOKUP(Table1[[#This Row],[Name]],MountsByName[],12,FALSE)</f>
        <v>1</v>
      </c>
      <c r="N19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[16083] ={"White Stallion", 16083, 12353, 1, 1, 0, "Horse", "Exalted Stormwind", 1, 0},</v>
      </c>
    </row>
    <row r="199" spans="1:14" x14ac:dyDescent="0.35">
      <c r="A199" s="2">
        <v>17462</v>
      </c>
      <c r="B199" t="s">
        <v>192</v>
      </c>
      <c r="C199" s="1" t="str">
        <f>VLOOKUP(Table1[[#This Row],[Name]],MountsByName[],2,FALSE)</f>
        <v>Horse</v>
      </c>
      <c r="D199" s="1">
        <f>VLOOKUP(Table1[[#This Row],[Name]],MountsByName[],3,FALSE)</f>
        <v>0.6</v>
      </c>
      <c r="E199" s="1">
        <f>VLOOKUP(Table1[[#This Row],[Name]],MountsByName[],4,FALSE)</f>
        <v>0.6</v>
      </c>
      <c r="F199" s="1">
        <f>VLOOKUP(Table1[[#This Row],[Name]],MountsByName[],5,FALSE)</f>
        <v>0</v>
      </c>
      <c r="G199" s="1">
        <f>VLOOKUP(Table1[[#This Row],[Name]],MountsByName[],6,FALSE)</f>
        <v>1</v>
      </c>
      <c r="H199" s="1">
        <f>VLOOKUP(Table1[[#This Row],[Name]],MountsByName[],7,FALSE)</f>
        <v>0</v>
      </c>
      <c r="I199" s="1">
        <f>VLOOKUP(Table1[[#This Row],[Name]],MountsByName[],8,FALSE)</f>
        <v>13331</v>
      </c>
      <c r="J199" s="1" t="str">
        <f>VLOOKUP(Table1[[#This Row],[Name]],MountsByName[],9,FALSE)</f>
        <v>Gold</v>
      </c>
      <c r="K199" s="1">
        <f>VLOOKUP(Table1[[#This Row],[Name]],MountsByName[],10,FALSE)</f>
        <v>0</v>
      </c>
      <c r="L199" s="1">
        <f>VLOOKUP(Table1[[#This Row],[Name]],MountsByName[],11,FALSE)</f>
        <v>1</v>
      </c>
      <c r="M199" s="1">
        <f>VLOOKUP(Table1[[#This Row],[Name]],MountsByName[],12,FALSE)</f>
        <v>1</v>
      </c>
      <c r="N19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[17462] ={"Red Skeletal Horse", 17462, 13331, 0.6, 0.6, 0, "Horse", "Gold", 1, 0},</v>
      </c>
    </row>
    <row r="200" spans="1:14" x14ac:dyDescent="0.35">
      <c r="A200" s="2">
        <v>17464</v>
      </c>
      <c r="B200" t="s">
        <v>120</v>
      </c>
      <c r="C200" s="1" t="str">
        <f>VLOOKUP(Table1[[#This Row],[Name]],MountsByName[],2,FALSE)</f>
        <v>Horse</v>
      </c>
      <c r="D200" s="1">
        <f>VLOOKUP(Table1[[#This Row],[Name]],MountsByName[],3,FALSE)</f>
        <v>0.6</v>
      </c>
      <c r="E200" s="1">
        <f>VLOOKUP(Table1[[#This Row],[Name]],MountsByName[],4,FALSE)</f>
        <v>0.6</v>
      </c>
      <c r="F200" s="1">
        <f>VLOOKUP(Table1[[#This Row],[Name]],MountsByName[],5,FALSE)</f>
        <v>0</v>
      </c>
      <c r="G200" s="1">
        <f>VLOOKUP(Table1[[#This Row],[Name]],MountsByName[],6,FALSE)</f>
        <v>1</v>
      </c>
      <c r="H200" s="1">
        <f>VLOOKUP(Table1[[#This Row],[Name]],MountsByName[],7,FALSE)</f>
        <v>0</v>
      </c>
      <c r="I200" s="1">
        <f>VLOOKUP(Table1[[#This Row],[Name]],MountsByName[],8,FALSE)</f>
        <v>13333</v>
      </c>
      <c r="J200" s="1" t="str">
        <f>VLOOKUP(Table1[[#This Row],[Name]],MountsByName[],9,FALSE)</f>
        <v>Gold</v>
      </c>
      <c r="K200" s="1">
        <f>VLOOKUP(Table1[[#This Row],[Name]],MountsByName[],10,FALSE)</f>
        <v>0</v>
      </c>
      <c r="L200" s="1">
        <f>VLOOKUP(Table1[[#This Row],[Name]],MountsByName[],11,FALSE)</f>
        <v>1</v>
      </c>
      <c r="M200" s="1">
        <f>VLOOKUP(Table1[[#This Row],[Name]],MountsByName[],12,FALSE)</f>
        <v>1</v>
      </c>
      <c r="N20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[17464] ={"Brown Skeletal Horse", 17464, 13333, 0.6, 0.6, 0, "Horse", "Gold", 1, 0},</v>
      </c>
    </row>
    <row r="201" spans="1:14" x14ac:dyDescent="0.35">
      <c r="A201" s="2">
        <v>22717</v>
      </c>
      <c r="B201" t="s">
        <v>102</v>
      </c>
      <c r="C201" s="1" t="str">
        <f>VLOOKUP(Table1[[#This Row],[Name]],MountsByName[],2,FALSE)</f>
        <v>Horse</v>
      </c>
      <c r="D201" s="1">
        <f>VLOOKUP(Table1[[#This Row],[Name]],MountsByName[],3,FALSE)</f>
        <v>1</v>
      </c>
      <c r="E201" s="1">
        <f>VLOOKUP(Table1[[#This Row],[Name]],MountsByName[],4,FALSE)</f>
        <v>1</v>
      </c>
      <c r="F201" s="1">
        <f>VLOOKUP(Table1[[#This Row],[Name]],MountsByName[],5,FALSE)</f>
        <v>0</v>
      </c>
      <c r="G201" s="1">
        <f>VLOOKUP(Table1[[#This Row],[Name]],MountsByName[],6,FALSE)</f>
        <v>1</v>
      </c>
      <c r="H201" s="1">
        <f>VLOOKUP(Table1[[#This Row],[Name]],MountsByName[],7,FALSE)</f>
        <v>0</v>
      </c>
      <c r="I201" s="1">
        <f>VLOOKUP(Table1[[#This Row],[Name]],MountsByName[],8,FALSE)</f>
        <v>29468</v>
      </c>
      <c r="J201" s="1" t="str">
        <f>VLOOKUP(Table1[[#This Row],[Name]],MountsByName[],9,FALSE)</f>
        <v>Honor</v>
      </c>
      <c r="K201" s="1">
        <f>VLOOKUP(Table1[[#This Row],[Name]],MountsByName[],10,FALSE)</f>
        <v>1</v>
      </c>
      <c r="L201" s="1">
        <f>VLOOKUP(Table1[[#This Row],[Name]],MountsByName[],11,FALSE)</f>
        <v>0</v>
      </c>
      <c r="M201" s="1">
        <f>VLOOKUP(Table1[[#This Row],[Name]],MountsByName[],12,FALSE)</f>
        <v>1</v>
      </c>
      <c r="N201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[22717] ={"Black War Steed", 22717, 29468, 1, 1, 0, "Horse", "Honor", 1, 0},</v>
      </c>
    </row>
    <row r="202" spans="1:14" x14ac:dyDescent="0.35">
      <c r="A202" s="2">
        <v>23227</v>
      </c>
      <c r="B202" t="s">
        <v>231</v>
      </c>
      <c r="C202" s="1" t="str">
        <f>VLOOKUP(Table1[[#This Row],[Name]],MountsByName[],2,FALSE)</f>
        <v>Horse</v>
      </c>
      <c r="D202" s="1">
        <f>VLOOKUP(Table1[[#This Row],[Name]],MountsByName[],3,FALSE)</f>
        <v>1</v>
      </c>
      <c r="E202" s="1">
        <f>VLOOKUP(Table1[[#This Row],[Name]],MountsByName[],4,FALSE)</f>
        <v>1</v>
      </c>
      <c r="F202" s="1">
        <f>VLOOKUP(Table1[[#This Row],[Name]],MountsByName[],5,FALSE)</f>
        <v>0</v>
      </c>
      <c r="G202" s="1">
        <f>VLOOKUP(Table1[[#This Row],[Name]],MountsByName[],6,FALSE)</f>
        <v>1</v>
      </c>
      <c r="H202" s="1">
        <f>VLOOKUP(Table1[[#This Row],[Name]],MountsByName[],7,FALSE)</f>
        <v>0</v>
      </c>
      <c r="I202" s="1">
        <f>VLOOKUP(Table1[[#This Row],[Name]],MountsByName[],8,FALSE)</f>
        <v>18776</v>
      </c>
      <c r="J202" s="1" t="str">
        <f>VLOOKUP(Table1[[#This Row],[Name]],MountsByName[],9,FALSE)</f>
        <v>Exalted Stormwind</v>
      </c>
      <c r="K202" s="1">
        <f>VLOOKUP(Table1[[#This Row],[Name]],MountsByName[],10,FALSE)</f>
        <v>1</v>
      </c>
      <c r="L202" s="1">
        <f>VLOOKUP(Table1[[#This Row],[Name]],MountsByName[],11,FALSE)</f>
        <v>0</v>
      </c>
      <c r="M202" s="1">
        <f>VLOOKUP(Table1[[#This Row],[Name]],MountsByName[],12,FALSE)</f>
        <v>1</v>
      </c>
      <c r="N20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[23227] ={"Swift Palomino", 23227, 18776, 1, 1, 0, "Horse", "Exalted Stormwind", 1, 0},</v>
      </c>
    </row>
    <row r="203" spans="1:14" x14ac:dyDescent="0.35">
      <c r="A203" s="2">
        <v>23228</v>
      </c>
      <c r="B203" t="s">
        <v>246</v>
      </c>
      <c r="C203" s="1" t="str">
        <f>VLOOKUP(Table1[[#This Row],[Name]],MountsByName[],2,FALSE)</f>
        <v>Horse</v>
      </c>
      <c r="D203" s="1">
        <f>VLOOKUP(Table1[[#This Row],[Name]],MountsByName[],3,FALSE)</f>
        <v>1</v>
      </c>
      <c r="E203" s="1">
        <f>VLOOKUP(Table1[[#This Row],[Name]],MountsByName[],4,FALSE)</f>
        <v>1</v>
      </c>
      <c r="F203" s="1">
        <f>VLOOKUP(Table1[[#This Row],[Name]],MountsByName[],5,FALSE)</f>
        <v>0</v>
      </c>
      <c r="G203" s="1">
        <f>VLOOKUP(Table1[[#This Row],[Name]],MountsByName[],6,FALSE)</f>
        <v>1</v>
      </c>
      <c r="H203" s="1">
        <f>VLOOKUP(Table1[[#This Row],[Name]],MountsByName[],7,FALSE)</f>
        <v>0</v>
      </c>
      <c r="I203" s="1">
        <f>VLOOKUP(Table1[[#This Row],[Name]],MountsByName[],8,FALSE)</f>
        <v>18778</v>
      </c>
      <c r="J203" s="1" t="str">
        <f>VLOOKUP(Table1[[#This Row],[Name]],MountsByName[],9,FALSE)</f>
        <v>Exalted Stormwind</v>
      </c>
      <c r="K203" s="1">
        <f>VLOOKUP(Table1[[#This Row],[Name]],MountsByName[],10,FALSE)</f>
        <v>1</v>
      </c>
      <c r="L203" s="1">
        <f>VLOOKUP(Table1[[#This Row],[Name]],MountsByName[],11,FALSE)</f>
        <v>0</v>
      </c>
      <c r="M203" s="1">
        <f>VLOOKUP(Table1[[#This Row],[Name]],MountsByName[],12,FALSE)</f>
        <v>1</v>
      </c>
      <c r="N20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[23228] ={"Swift White Steed", 23228, 18778, 1, 1, 0, "Horse", "Exalted Stormwind", 1, 0},</v>
      </c>
    </row>
    <row r="204" spans="1:14" x14ac:dyDescent="0.35">
      <c r="A204" s="2">
        <v>23229</v>
      </c>
      <c r="B204" t="s">
        <v>216</v>
      </c>
      <c r="C204" s="1" t="str">
        <f>VLOOKUP(Table1[[#This Row],[Name]],MountsByName[],2,FALSE)</f>
        <v>Horse</v>
      </c>
      <c r="D204" s="1">
        <f>VLOOKUP(Table1[[#This Row],[Name]],MountsByName[],3,FALSE)</f>
        <v>1</v>
      </c>
      <c r="E204" s="1">
        <f>VLOOKUP(Table1[[#This Row],[Name]],MountsByName[],4,FALSE)</f>
        <v>1</v>
      </c>
      <c r="F204" s="1">
        <f>VLOOKUP(Table1[[#This Row],[Name]],MountsByName[],5,FALSE)</f>
        <v>0</v>
      </c>
      <c r="G204" s="1">
        <f>VLOOKUP(Table1[[#This Row],[Name]],MountsByName[],6,FALSE)</f>
        <v>1</v>
      </c>
      <c r="H204" s="1">
        <f>VLOOKUP(Table1[[#This Row],[Name]],MountsByName[],7,FALSE)</f>
        <v>0</v>
      </c>
      <c r="I204" s="1">
        <f>VLOOKUP(Table1[[#This Row],[Name]],MountsByName[],8,FALSE)</f>
        <v>18777</v>
      </c>
      <c r="J204" s="1" t="str">
        <f>VLOOKUP(Table1[[#This Row],[Name]],MountsByName[],9,FALSE)</f>
        <v>Exalted Stormwind</v>
      </c>
      <c r="K204" s="1">
        <f>VLOOKUP(Table1[[#This Row],[Name]],MountsByName[],10,FALSE)</f>
        <v>1</v>
      </c>
      <c r="L204" s="1">
        <f>VLOOKUP(Table1[[#This Row],[Name]],MountsByName[],11,FALSE)</f>
        <v>0</v>
      </c>
      <c r="M204" s="1">
        <f>VLOOKUP(Table1[[#This Row],[Name]],MountsByName[],12,FALSE)</f>
        <v>1</v>
      </c>
      <c r="N20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[23229] ={"Swift Brown Steed", 23229, 18777, 1, 1, 0, "Horse", "Exalted Stormwind", 1, 0},</v>
      </c>
    </row>
    <row r="205" spans="1:14" x14ac:dyDescent="0.35">
      <c r="A205" s="2">
        <v>34767</v>
      </c>
      <c r="B205" t="s">
        <v>431</v>
      </c>
      <c r="C205" s="1" t="str">
        <f>VLOOKUP(Table1[[#This Row],[Name]],MountsByName[],2,FALSE)</f>
        <v>Horse</v>
      </c>
      <c r="D205" s="1">
        <f>VLOOKUP(Table1[[#This Row],[Name]],MountsByName[],3,FALSE)</f>
        <v>1</v>
      </c>
      <c r="E205" s="1">
        <f>VLOOKUP(Table1[[#This Row],[Name]],MountsByName[],4,FALSE)</f>
        <v>1</v>
      </c>
      <c r="F205" s="1">
        <f>VLOOKUP(Table1[[#This Row],[Name]],MountsByName[],5,FALSE)</f>
        <v>0</v>
      </c>
      <c r="G205" s="1">
        <f>VLOOKUP(Table1[[#This Row],[Name]],MountsByName[],6,FALSE)</f>
        <v>1</v>
      </c>
      <c r="H205" s="1">
        <f>VLOOKUP(Table1[[#This Row],[Name]],MountsByName[],7,FALSE)</f>
        <v>0</v>
      </c>
      <c r="I205" s="1">
        <f>VLOOKUP(Table1[[#This Row],[Name]],MountsByName[],8,FALSE)</f>
        <v>0</v>
      </c>
      <c r="J205" s="1">
        <f>VLOOKUP(Table1[[#This Row],[Name]],MountsByName[],9,FALSE)</f>
        <v>0</v>
      </c>
      <c r="K205" s="1">
        <f>VLOOKUP(Table1[[#This Row],[Name]],MountsByName[],10,FALSE)</f>
        <v>0</v>
      </c>
      <c r="L205" s="1">
        <f>VLOOKUP(Table1[[#This Row],[Name]],MountsByName[],11,FALSE)</f>
        <v>0</v>
      </c>
      <c r="M205" s="1">
        <f>VLOOKUP(Table1[[#This Row],[Name]],MountsByName[],12,FALSE)</f>
        <v>1</v>
      </c>
      <c r="N20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[34767] ={"Thalassian Charger", 34767, 0, 1, 1, 0, "Horse", "0", 1, 0},</v>
      </c>
    </row>
    <row r="206" spans="1:14" x14ac:dyDescent="0.35">
      <c r="A206" s="2">
        <v>34769</v>
      </c>
      <c r="B206" t="s">
        <v>427</v>
      </c>
      <c r="C206" s="1" t="str">
        <f>VLOOKUP(Table1[[#This Row],[Name]],MountsByName[],2,FALSE)</f>
        <v>Horse</v>
      </c>
      <c r="D206" s="1">
        <f>VLOOKUP(Table1[[#This Row],[Name]],MountsByName[],3,FALSE)</f>
        <v>1</v>
      </c>
      <c r="E206" s="1">
        <f>VLOOKUP(Table1[[#This Row],[Name]],MountsByName[],4,FALSE)</f>
        <v>1</v>
      </c>
      <c r="F206" s="1">
        <f>VLOOKUP(Table1[[#This Row],[Name]],MountsByName[],5,FALSE)</f>
        <v>0</v>
      </c>
      <c r="G206" s="1">
        <f>VLOOKUP(Table1[[#This Row],[Name]],MountsByName[],6,FALSE)</f>
        <v>1</v>
      </c>
      <c r="H206" s="1">
        <f>VLOOKUP(Table1[[#This Row],[Name]],MountsByName[],7,FALSE)</f>
        <v>0</v>
      </c>
      <c r="I206" s="1">
        <f>VLOOKUP(Table1[[#This Row],[Name]],MountsByName[],8,FALSE)</f>
        <v>0</v>
      </c>
      <c r="J206" s="1">
        <f>VLOOKUP(Table1[[#This Row],[Name]],MountsByName[],9,FALSE)</f>
        <v>0</v>
      </c>
      <c r="K206" s="1">
        <f>VLOOKUP(Table1[[#This Row],[Name]],MountsByName[],10,FALSE)</f>
        <v>0</v>
      </c>
      <c r="L206" s="1">
        <f>VLOOKUP(Table1[[#This Row],[Name]],MountsByName[],11,FALSE)</f>
        <v>0</v>
      </c>
      <c r="M206" s="1">
        <f>VLOOKUP(Table1[[#This Row],[Name]],MountsByName[],12,FALSE)</f>
        <v>1</v>
      </c>
      <c r="N20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[34769] ={"Thalassian Warhorse", 34769, 0, 1, 1, 0, "Horse", "0", 1, 0},</v>
      </c>
    </row>
    <row r="207" spans="1:14" x14ac:dyDescent="0.35">
      <c r="A207" s="2">
        <v>36702</v>
      </c>
      <c r="B207" t="s">
        <v>138</v>
      </c>
      <c r="C207" s="1" t="str">
        <f>VLOOKUP(Table1[[#This Row],[Name]],MountsByName[],2,FALSE)</f>
        <v>Horse</v>
      </c>
      <c r="D207" s="1">
        <f>VLOOKUP(Table1[[#This Row],[Name]],MountsByName[],3,FALSE)</f>
        <v>1</v>
      </c>
      <c r="E207" s="1">
        <f>VLOOKUP(Table1[[#This Row],[Name]],MountsByName[],4,FALSE)</f>
        <v>1</v>
      </c>
      <c r="F207" s="1">
        <f>VLOOKUP(Table1[[#This Row],[Name]],MountsByName[],5,FALSE)</f>
        <v>0</v>
      </c>
      <c r="G207" s="1">
        <f>VLOOKUP(Table1[[#This Row],[Name]],MountsByName[],6,FALSE)</f>
        <v>1</v>
      </c>
      <c r="H207" s="1">
        <f>VLOOKUP(Table1[[#This Row],[Name]],MountsByName[],7,FALSE)</f>
        <v>0</v>
      </c>
      <c r="I207" s="1">
        <f>VLOOKUP(Table1[[#This Row],[Name]],MountsByName[],8,FALSE)</f>
        <v>30480</v>
      </c>
      <c r="J207" s="1" t="str">
        <f>VLOOKUP(Table1[[#This Row],[Name]],MountsByName[],9,FALSE)</f>
        <v>Drop Kara</v>
      </c>
      <c r="K207" s="1">
        <f>VLOOKUP(Table1[[#This Row],[Name]],MountsByName[],10,FALSE)</f>
        <v>1</v>
      </c>
      <c r="L207" s="1">
        <f>VLOOKUP(Table1[[#This Row],[Name]],MountsByName[],11,FALSE)</f>
        <v>1</v>
      </c>
      <c r="M207" s="1">
        <f>VLOOKUP(Table1[[#This Row],[Name]],MountsByName[],12,FALSE)</f>
        <v>1</v>
      </c>
      <c r="N20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[36702] ={"Fiery Warhorse", 36702, 30480, 1, 1, 0, "Horse", "Drop Kara", 1, 0},</v>
      </c>
    </row>
    <row r="208" spans="1:14" x14ac:dyDescent="0.35">
      <c r="A208" s="2">
        <v>48025</v>
      </c>
      <c r="B208" t="s">
        <v>348</v>
      </c>
      <c r="C208" s="1" t="str">
        <f>VLOOKUP(Table1[[#This Row],[Name]],MountsByName[],2,FALSE)</f>
        <v>Horse</v>
      </c>
      <c r="D208" s="1">
        <f>VLOOKUP(Table1[[#This Row],[Name]],MountsByName[],3,FALSE)</f>
        <v>2.8</v>
      </c>
      <c r="E208" s="1">
        <f>VLOOKUP(Table1[[#This Row],[Name]],MountsByName[],4,FALSE)</f>
        <v>0.6</v>
      </c>
      <c r="F208" s="1">
        <f>VLOOKUP(Table1[[#This Row],[Name]],MountsByName[],5,FALSE)</f>
        <v>0</v>
      </c>
      <c r="G208" s="1">
        <f>VLOOKUP(Table1[[#This Row],[Name]],MountsByName[],6,FALSE)</f>
        <v>1</v>
      </c>
      <c r="H208" s="1">
        <f>VLOOKUP(Table1[[#This Row],[Name]],MountsByName[],7,FALSE)</f>
        <v>0</v>
      </c>
      <c r="I208" s="1">
        <f>VLOOKUP(Table1[[#This Row],[Name]],MountsByName[],8,FALSE)</f>
        <v>37012</v>
      </c>
      <c r="J208" s="1" t="str">
        <f>VLOOKUP(Table1[[#This Row],[Name]],MountsByName[],9,FALSE)</f>
        <v>Drop, Halloween</v>
      </c>
      <c r="K208" s="1">
        <f>VLOOKUP(Table1[[#This Row],[Name]],MountsByName[],10,FALSE)</f>
        <v>1</v>
      </c>
      <c r="L208" s="1">
        <f>VLOOKUP(Table1[[#This Row],[Name]],MountsByName[],11,FALSE)</f>
        <v>1</v>
      </c>
      <c r="M208" s="1">
        <f>VLOOKUP(Table1[[#This Row],[Name]],MountsByName[],12,FALSE)</f>
        <v>1</v>
      </c>
      <c r="N20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[48025] ={"Headless Horseman's Mount", 48025, 37012, 2.8, 0.6, 0, "Horse", "Drop, Halloween", 1, 0},</v>
      </c>
    </row>
    <row r="209" spans="1:14" x14ac:dyDescent="0.35">
      <c r="A209" s="2">
        <v>63232</v>
      </c>
      <c r="B209" t="s">
        <v>205</v>
      </c>
      <c r="C209" s="1" t="str">
        <f>VLOOKUP(Table1[[#This Row],[Name]],MountsByName[],2,FALSE)</f>
        <v>Horse</v>
      </c>
      <c r="D209" s="1">
        <f>VLOOKUP(Table1[[#This Row],[Name]],MountsByName[],3,FALSE)</f>
        <v>1</v>
      </c>
      <c r="E209" s="1">
        <f>VLOOKUP(Table1[[#This Row],[Name]],MountsByName[],4,FALSE)</f>
        <v>1</v>
      </c>
      <c r="F209" s="1">
        <f>VLOOKUP(Table1[[#This Row],[Name]],MountsByName[],5,FALSE)</f>
        <v>0</v>
      </c>
      <c r="G209" s="1">
        <f>VLOOKUP(Table1[[#This Row],[Name]],MountsByName[],6,FALSE)</f>
        <v>1</v>
      </c>
      <c r="H209" s="1">
        <f>VLOOKUP(Table1[[#This Row],[Name]],MountsByName[],7,FALSE)</f>
        <v>0</v>
      </c>
      <c r="I209" s="1">
        <f>VLOOKUP(Table1[[#This Row],[Name]],MountsByName[],8,FALSE)</f>
        <v>45125</v>
      </c>
      <c r="J209" s="1" t="str">
        <f>VLOOKUP(Table1[[#This Row],[Name]],MountsByName[],9,FALSE)</f>
        <v>Champion's Seals</v>
      </c>
      <c r="K209" s="1">
        <f>VLOOKUP(Table1[[#This Row],[Name]],MountsByName[],10,FALSE)</f>
        <v>1</v>
      </c>
      <c r="L209" s="1">
        <f>VLOOKUP(Table1[[#This Row],[Name]],MountsByName[],11,FALSE)</f>
        <v>0</v>
      </c>
      <c r="M209" s="1">
        <f>VLOOKUP(Table1[[#This Row],[Name]],MountsByName[],12,FALSE)</f>
        <v>1</v>
      </c>
      <c r="N20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[63232] ={"Stormwind Steed", 63232, 45125, 1, 1, 0, "Horse", "Champion's Seals", 1, 0},</v>
      </c>
    </row>
    <row r="210" spans="1:14" x14ac:dyDescent="0.35">
      <c r="A210" s="2">
        <v>63643</v>
      </c>
      <c r="B210" t="s">
        <v>140</v>
      </c>
      <c r="C210" s="1" t="str">
        <f>VLOOKUP(Table1[[#This Row],[Name]],MountsByName[],2,FALSE)</f>
        <v>Horse</v>
      </c>
      <c r="D210" s="1">
        <f>VLOOKUP(Table1[[#This Row],[Name]],MountsByName[],3,FALSE)</f>
        <v>1</v>
      </c>
      <c r="E210" s="1">
        <f>VLOOKUP(Table1[[#This Row],[Name]],MountsByName[],4,FALSE)</f>
        <v>1</v>
      </c>
      <c r="F210" s="1">
        <f>VLOOKUP(Table1[[#This Row],[Name]],MountsByName[],5,FALSE)</f>
        <v>0</v>
      </c>
      <c r="G210" s="1">
        <f>VLOOKUP(Table1[[#This Row],[Name]],MountsByName[],6,FALSE)</f>
        <v>1</v>
      </c>
      <c r="H210" s="1">
        <f>VLOOKUP(Table1[[#This Row],[Name]],MountsByName[],7,FALSE)</f>
        <v>0</v>
      </c>
      <c r="I210" s="1">
        <f>VLOOKUP(Table1[[#This Row],[Name]],MountsByName[],8,FALSE)</f>
        <v>45597</v>
      </c>
      <c r="J210" s="1" t="str">
        <f>VLOOKUP(Table1[[#This Row],[Name]],MountsByName[],9,FALSE)</f>
        <v>Champion's Seals</v>
      </c>
      <c r="K210" s="1">
        <f>VLOOKUP(Table1[[#This Row],[Name]],MountsByName[],10,FALSE)</f>
        <v>0</v>
      </c>
      <c r="L210" s="1">
        <f>VLOOKUP(Table1[[#This Row],[Name]],MountsByName[],11,FALSE)</f>
        <v>1</v>
      </c>
      <c r="M210" s="1">
        <f>VLOOKUP(Table1[[#This Row],[Name]],MountsByName[],12,FALSE)</f>
        <v>1</v>
      </c>
      <c r="N21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[63643] ={"Forsaken Warhorse", 63643, 45597, 1, 1, 0, "Horse", "Champion's Seals", 1, 0},</v>
      </c>
    </row>
    <row r="211" spans="1:14" x14ac:dyDescent="0.35">
      <c r="A211" s="2">
        <v>65640</v>
      </c>
      <c r="B211" t="s">
        <v>222</v>
      </c>
      <c r="C211" s="1" t="str">
        <f>VLOOKUP(Table1[[#This Row],[Name]],MountsByName[],2,FALSE)</f>
        <v>Horse</v>
      </c>
      <c r="D211" s="1">
        <f>VLOOKUP(Table1[[#This Row],[Name]],MountsByName[],3,FALSE)</f>
        <v>1</v>
      </c>
      <c r="E211" s="1">
        <f>VLOOKUP(Table1[[#This Row],[Name]],MountsByName[],4,FALSE)</f>
        <v>1</v>
      </c>
      <c r="F211" s="1">
        <f>VLOOKUP(Table1[[#This Row],[Name]],MountsByName[],5,FALSE)</f>
        <v>0</v>
      </c>
      <c r="G211" s="1">
        <f>VLOOKUP(Table1[[#This Row],[Name]],MountsByName[],6,FALSE)</f>
        <v>1</v>
      </c>
      <c r="H211" s="1">
        <f>VLOOKUP(Table1[[#This Row],[Name]],MountsByName[],7,FALSE)</f>
        <v>0</v>
      </c>
      <c r="I211" s="1">
        <f>VLOOKUP(Table1[[#This Row],[Name]],MountsByName[],8,FALSE)</f>
        <v>46752</v>
      </c>
      <c r="J211" s="1" t="str">
        <f>VLOOKUP(Table1[[#This Row],[Name]],MountsByName[],9,FALSE)</f>
        <v>Champion's Seals</v>
      </c>
      <c r="K211" s="1">
        <f>VLOOKUP(Table1[[#This Row],[Name]],MountsByName[],10,FALSE)</f>
        <v>1</v>
      </c>
      <c r="L211" s="1">
        <f>VLOOKUP(Table1[[#This Row],[Name]],MountsByName[],11,FALSE)</f>
        <v>0</v>
      </c>
      <c r="M211" s="1">
        <f>VLOOKUP(Table1[[#This Row],[Name]],MountsByName[],12,FALSE)</f>
        <v>1</v>
      </c>
      <c r="N211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[65640] ={"Swift Gray Steed", 65640, 46752, 1, 1, 0, "Horse", "Champion's Seals", 1, 0},</v>
      </c>
    </row>
    <row r="212" spans="1:14" x14ac:dyDescent="0.35">
      <c r="A212" s="2">
        <v>66090</v>
      </c>
      <c r="B212" t="s">
        <v>186</v>
      </c>
      <c r="C212" s="1" t="str">
        <f>VLOOKUP(Table1[[#This Row],[Name]],MountsByName[],2,FALSE)</f>
        <v>Horse</v>
      </c>
      <c r="D212" s="1">
        <f>VLOOKUP(Table1[[#This Row],[Name]],MountsByName[],3,FALSE)</f>
        <v>1</v>
      </c>
      <c r="E212" s="1">
        <f>VLOOKUP(Table1[[#This Row],[Name]],MountsByName[],4,FALSE)</f>
        <v>1</v>
      </c>
      <c r="F212" s="1">
        <f>VLOOKUP(Table1[[#This Row],[Name]],MountsByName[],5,FALSE)</f>
        <v>0</v>
      </c>
      <c r="G212" s="1">
        <f>VLOOKUP(Table1[[#This Row],[Name]],MountsByName[],6,FALSE)</f>
        <v>1</v>
      </c>
      <c r="H212" s="1">
        <f>VLOOKUP(Table1[[#This Row],[Name]],MountsByName[],7,FALSE)</f>
        <v>0</v>
      </c>
      <c r="I212" s="1">
        <f>VLOOKUP(Table1[[#This Row],[Name]],MountsByName[],8,FALSE)</f>
        <v>46815</v>
      </c>
      <c r="J212" s="1" t="str">
        <f>VLOOKUP(Table1[[#This Row],[Name]],MountsByName[],9,FALSE)</f>
        <v>Exalted Argent Tournament</v>
      </c>
      <c r="K212" s="1">
        <f>VLOOKUP(Table1[[#This Row],[Name]],MountsByName[],10,FALSE)</f>
        <v>1</v>
      </c>
      <c r="L212" s="1">
        <f>VLOOKUP(Table1[[#This Row],[Name]],MountsByName[],11,FALSE)</f>
        <v>1</v>
      </c>
      <c r="M212" s="1">
        <f>VLOOKUP(Table1[[#This Row],[Name]],MountsByName[],12,FALSE)</f>
        <v>1</v>
      </c>
      <c r="N21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[66090] ={"Quel'dorei Steed", 66090, 46815, 1, 1, 0, "Horse", "Exalted Argent Tournament", 1, 0},</v>
      </c>
    </row>
    <row r="213" spans="1:14" x14ac:dyDescent="0.35">
      <c r="A213" s="2">
        <v>66906</v>
      </c>
      <c r="B213" t="s">
        <v>84</v>
      </c>
      <c r="C213" s="1" t="str">
        <f>VLOOKUP(Table1[[#This Row],[Name]],MountsByName[],2,FALSE)</f>
        <v>Horse</v>
      </c>
      <c r="D213" s="1">
        <f>VLOOKUP(Table1[[#This Row],[Name]],MountsByName[],3,FALSE)</f>
        <v>1</v>
      </c>
      <c r="E213" s="1">
        <f>VLOOKUP(Table1[[#This Row],[Name]],MountsByName[],4,FALSE)</f>
        <v>1</v>
      </c>
      <c r="F213" s="1">
        <f>VLOOKUP(Table1[[#This Row],[Name]],MountsByName[],5,FALSE)</f>
        <v>0</v>
      </c>
      <c r="G213" s="1">
        <f>VLOOKUP(Table1[[#This Row],[Name]],MountsByName[],6,FALSE)</f>
        <v>1</v>
      </c>
      <c r="H213" s="1">
        <f>VLOOKUP(Table1[[#This Row],[Name]],MountsByName[],7,FALSE)</f>
        <v>0</v>
      </c>
      <c r="I213" s="1">
        <f>VLOOKUP(Table1[[#This Row],[Name]],MountsByName[],8,FALSE)</f>
        <v>47179</v>
      </c>
      <c r="J213" s="1" t="str">
        <f>VLOOKUP(Table1[[#This Row],[Name]],MountsByName[],9,FALSE)</f>
        <v>Daily</v>
      </c>
      <c r="K213" s="1">
        <f>VLOOKUP(Table1[[#This Row],[Name]],MountsByName[],10,FALSE)</f>
        <v>1</v>
      </c>
      <c r="L213" s="1">
        <f>VLOOKUP(Table1[[#This Row],[Name]],MountsByName[],11,FALSE)</f>
        <v>1</v>
      </c>
      <c r="M213" s="1">
        <f>VLOOKUP(Table1[[#This Row],[Name]],MountsByName[],12,FALSE)</f>
        <v>1</v>
      </c>
      <c r="N21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[66906] ={"Argent Charger", 66906, 47179, 1, 1, 0, "Horse", "Daily", 1, 0},</v>
      </c>
    </row>
    <row r="214" spans="1:14" x14ac:dyDescent="0.35">
      <c r="A214" s="2">
        <v>67466</v>
      </c>
      <c r="B214" t="s">
        <v>85</v>
      </c>
      <c r="C214" s="1" t="str">
        <f>VLOOKUP(Table1[[#This Row],[Name]],MountsByName[],2,FALSE)</f>
        <v>Horse</v>
      </c>
      <c r="D214" s="1">
        <f>VLOOKUP(Table1[[#This Row],[Name]],MountsByName[],3,FALSE)</f>
        <v>1</v>
      </c>
      <c r="E214" s="1">
        <f>VLOOKUP(Table1[[#This Row],[Name]],MountsByName[],4,FALSE)</f>
        <v>1</v>
      </c>
      <c r="F214" s="1">
        <f>VLOOKUP(Table1[[#This Row],[Name]],MountsByName[],5,FALSE)</f>
        <v>0</v>
      </c>
      <c r="G214" s="1">
        <f>VLOOKUP(Table1[[#This Row],[Name]],MountsByName[],6,FALSE)</f>
        <v>1</v>
      </c>
      <c r="H214" s="1">
        <f>VLOOKUP(Table1[[#This Row],[Name]],MountsByName[],7,FALSE)</f>
        <v>0</v>
      </c>
      <c r="I214" s="1">
        <f>VLOOKUP(Table1[[#This Row],[Name]],MountsByName[],8,FALSE)</f>
        <v>47180</v>
      </c>
      <c r="J214" s="1" t="str">
        <f>VLOOKUP(Table1[[#This Row],[Name]],MountsByName[],9,FALSE)</f>
        <v>Exalted Argent Champion</v>
      </c>
      <c r="K214" s="1">
        <f>VLOOKUP(Table1[[#This Row],[Name]],MountsByName[],10,FALSE)</f>
        <v>1</v>
      </c>
      <c r="L214" s="1">
        <f>VLOOKUP(Table1[[#This Row],[Name]],MountsByName[],11,FALSE)</f>
        <v>1</v>
      </c>
      <c r="M214" s="1">
        <f>VLOOKUP(Table1[[#This Row],[Name]],MountsByName[],12,FALSE)</f>
        <v>1</v>
      </c>
      <c r="N21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[67466] ={"Argent Warhorse", 67466, 47180, 1, 1, 0, "Horse", "Exalted Argent Champion", 1, 0},</v>
      </c>
    </row>
    <row r="215" spans="1:14" x14ac:dyDescent="0.35">
      <c r="A215" s="2">
        <v>68057</v>
      </c>
      <c r="B215" t="s">
        <v>212</v>
      </c>
      <c r="C215" s="1" t="str">
        <f>VLOOKUP(Table1[[#This Row],[Name]],MountsByName[],2,FALSE)</f>
        <v>Horse</v>
      </c>
      <c r="D215" s="1">
        <f>VLOOKUP(Table1[[#This Row],[Name]],MountsByName[],3,FALSE)</f>
        <v>1</v>
      </c>
      <c r="E215" s="1">
        <f>VLOOKUP(Table1[[#This Row],[Name]],MountsByName[],4,FALSE)</f>
        <v>1</v>
      </c>
      <c r="F215" s="1">
        <f>VLOOKUP(Table1[[#This Row],[Name]],MountsByName[],5,FALSE)</f>
        <v>0</v>
      </c>
      <c r="G215" s="1">
        <f>VLOOKUP(Table1[[#This Row],[Name]],MountsByName[],6,FALSE)</f>
        <v>1</v>
      </c>
      <c r="H215" s="1">
        <f>VLOOKUP(Table1[[#This Row],[Name]],MountsByName[],7,FALSE)</f>
        <v>0</v>
      </c>
      <c r="I215" s="1">
        <f>VLOOKUP(Table1[[#This Row],[Name]],MountsByName[],8,FALSE)</f>
        <v>49044</v>
      </c>
      <c r="J215" s="1" t="str">
        <f>VLOOKUP(Table1[[#This Row],[Name]],MountsByName[],9,FALSE)</f>
        <v>Champion's Seals</v>
      </c>
      <c r="K215" s="1">
        <f>VLOOKUP(Table1[[#This Row],[Name]],MountsByName[],10,FALSE)</f>
        <v>1</v>
      </c>
      <c r="L215" s="1">
        <f>VLOOKUP(Table1[[#This Row],[Name]],MountsByName[],11,FALSE)</f>
        <v>0</v>
      </c>
      <c r="M215" s="1">
        <f>VLOOKUP(Table1[[#This Row],[Name]],MountsByName[],12,FALSE)</f>
        <v>1</v>
      </c>
      <c r="N21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[68057] ={"Swift Alliance Steed", 68057, 49044, 1, 1, 0, "Horse", "Champion's Seals", 1, 0},</v>
      </c>
    </row>
    <row r="216" spans="1:14" x14ac:dyDescent="0.35">
      <c r="A216" s="2">
        <v>68187</v>
      </c>
      <c r="B216" t="s">
        <v>128</v>
      </c>
      <c r="C216" s="1" t="str">
        <f>VLOOKUP(Table1[[#This Row],[Name]],MountsByName[],2,FALSE)</f>
        <v>Horse</v>
      </c>
      <c r="D216" s="1">
        <f>VLOOKUP(Table1[[#This Row],[Name]],MountsByName[],3,FALSE)</f>
        <v>1</v>
      </c>
      <c r="E216" s="1">
        <f>VLOOKUP(Table1[[#This Row],[Name]],MountsByName[],4,FALSE)</f>
        <v>1</v>
      </c>
      <c r="F216" s="1">
        <f>VLOOKUP(Table1[[#This Row],[Name]],MountsByName[],5,FALSE)</f>
        <v>0</v>
      </c>
      <c r="G216" s="1">
        <f>VLOOKUP(Table1[[#This Row],[Name]],MountsByName[],6,FALSE)</f>
        <v>1</v>
      </c>
      <c r="H216" s="1">
        <f>VLOOKUP(Table1[[#This Row],[Name]],MountsByName[],7,FALSE)</f>
        <v>0</v>
      </c>
      <c r="I216" s="1">
        <f>VLOOKUP(Table1[[#This Row],[Name]],MountsByName[],8,FALSE)</f>
        <v>49096</v>
      </c>
      <c r="J216" s="1" t="str">
        <f>VLOOKUP(Table1[[#This Row],[Name]],MountsByName[],9,FALSE)</f>
        <v>Achievment</v>
      </c>
      <c r="K216" s="1">
        <f>VLOOKUP(Table1[[#This Row],[Name]],MountsByName[],10,FALSE)</f>
        <v>1</v>
      </c>
      <c r="L216" s="1">
        <f>VLOOKUP(Table1[[#This Row],[Name]],MountsByName[],11,FALSE)</f>
        <v>0</v>
      </c>
      <c r="M216" s="1">
        <f>VLOOKUP(Table1[[#This Row],[Name]],MountsByName[],12,FALSE)</f>
        <v>1</v>
      </c>
      <c r="N21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[68187] ={"Crusader's White Warhorse", 68187, 49096, 1, 1, 0, "Horse", "Achievment", 1, 0},</v>
      </c>
    </row>
    <row r="217" spans="1:14" x14ac:dyDescent="0.35">
      <c r="A217" s="2">
        <v>68188</v>
      </c>
      <c r="B217" t="s">
        <v>127</v>
      </c>
      <c r="C217" s="1" t="str">
        <f>VLOOKUP(Table1[[#This Row],[Name]],MountsByName[],2,FALSE)</f>
        <v>Horse</v>
      </c>
      <c r="D217" s="1">
        <f>VLOOKUP(Table1[[#This Row],[Name]],MountsByName[],3,FALSE)</f>
        <v>1</v>
      </c>
      <c r="E217" s="1">
        <f>VLOOKUP(Table1[[#This Row],[Name]],MountsByName[],4,FALSE)</f>
        <v>1</v>
      </c>
      <c r="F217" s="1">
        <f>VLOOKUP(Table1[[#This Row],[Name]],MountsByName[],5,FALSE)</f>
        <v>0</v>
      </c>
      <c r="G217" s="1">
        <f>VLOOKUP(Table1[[#This Row],[Name]],MountsByName[],6,FALSE)</f>
        <v>1</v>
      </c>
      <c r="H217" s="1">
        <f>VLOOKUP(Table1[[#This Row],[Name]],MountsByName[],7,FALSE)</f>
        <v>0</v>
      </c>
      <c r="I217" s="1">
        <f>VLOOKUP(Table1[[#This Row],[Name]],MountsByName[],8,FALSE)</f>
        <v>49098</v>
      </c>
      <c r="J217" s="1" t="str">
        <f>VLOOKUP(Table1[[#This Row],[Name]],MountsByName[],9,FALSE)</f>
        <v>Achievment</v>
      </c>
      <c r="K217" s="1">
        <f>VLOOKUP(Table1[[#This Row],[Name]],MountsByName[],10,FALSE)</f>
        <v>0</v>
      </c>
      <c r="L217" s="1">
        <f>VLOOKUP(Table1[[#This Row],[Name]],MountsByName[],11,FALSE)</f>
        <v>1</v>
      </c>
      <c r="M217" s="1">
        <f>VLOOKUP(Table1[[#This Row],[Name]],MountsByName[],12,FALSE)</f>
        <v>1</v>
      </c>
      <c r="N21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[68188] ={"Crusader's Black Warhorse", 68188, 49098, 1, 1, 0, "Horse", "Achievment", 1, 0},</v>
      </c>
    </row>
    <row r="218" spans="1:14" x14ac:dyDescent="0.35">
      <c r="A218" s="2">
        <v>92231</v>
      </c>
      <c r="B218" t="s">
        <v>525</v>
      </c>
      <c r="C218" s="1" t="str">
        <f>VLOOKUP(Table1[[#This Row],[Name]],MountsByName[],2,FALSE)</f>
        <v>Horse</v>
      </c>
      <c r="D218" s="1">
        <f>VLOOKUP(Table1[[#This Row],[Name]],MountsByName[],3,FALSE)</f>
        <v>1</v>
      </c>
      <c r="E218" s="1">
        <f>VLOOKUP(Table1[[#This Row],[Name]],MountsByName[],4,FALSE)</f>
        <v>1</v>
      </c>
      <c r="F218" s="1">
        <f>VLOOKUP(Table1[[#This Row],[Name]],MountsByName[],5,FALSE)</f>
        <v>0</v>
      </c>
      <c r="G218" s="1">
        <f>VLOOKUP(Table1[[#This Row],[Name]],MountsByName[],6,FALSE)</f>
        <v>1</v>
      </c>
      <c r="H218" s="1">
        <f>VLOOKUP(Table1[[#This Row],[Name]],MountsByName[],7,FALSE)</f>
        <v>0</v>
      </c>
      <c r="I218" s="1">
        <f>VLOOKUP(Table1[[#This Row],[Name]],MountsByName[],8,FALSE)</f>
        <v>0</v>
      </c>
      <c r="J218" s="1">
        <f>VLOOKUP(Table1[[#This Row],[Name]],MountsByName[],9,FALSE)</f>
        <v>0</v>
      </c>
      <c r="K218" s="1">
        <f>VLOOKUP(Table1[[#This Row],[Name]],MountsByName[],10,FALSE)</f>
        <v>0</v>
      </c>
      <c r="L218" s="1">
        <f>VLOOKUP(Table1[[#This Row],[Name]],MountsByName[],11,FALSE)</f>
        <v>0</v>
      </c>
      <c r="M218" s="1">
        <f>VLOOKUP(Table1[[#This Row],[Name]],MountsByName[],12,FALSE)</f>
        <v>1</v>
      </c>
      <c r="N21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[92231] ={"Spectral Steed", 92231, 0, 1, 1, 0, "Horse", "0", 1, 0},</v>
      </c>
    </row>
    <row r="219" spans="1:14" x14ac:dyDescent="0.35">
      <c r="A219" s="2">
        <v>100332</v>
      </c>
      <c r="B219" t="s">
        <v>490</v>
      </c>
      <c r="C219" s="1" t="str">
        <f>VLOOKUP(Table1[[#This Row],[Name]],MountsByName[],2,FALSE)</f>
        <v>Horse</v>
      </c>
      <c r="D219" s="1">
        <f>VLOOKUP(Table1[[#This Row],[Name]],MountsByName[],3,FALSE)</f>
        <v>1</v>
      </c>
      <c r="E219" s="1">
        <f>VLOOKUP(Table1[[#This Row],[Name]],MountsByName[],4,FALSE)</f>
        <v>1</v>
      </c>
      <c r="F219" s="1">
        <f>VLOOKUP(Table1[[#This Row],[Name]],MountsByName[],5,FALSE)</f>
        <v>0</v>
      </c>
      <c r="G219" s="1">
        <f>VLOOKUP(Table1[[#This Row],[Name]],MountsByName[],6,FALSE)</f>
        <v>1</v>
      </c>
      <c r="H219" s="1">
        <f>VLOOKUP(Table1[[#This Row],[Name]],MountsByName[],7,FALSE)</f>
        <v>0</v>
      </c>
      <c r="I219" s="1">
        <f>VLOOKUP(Table1[[#This Row],[Name]],MountsByName[],8,FALSE)</f>
        <v>0</v>
      </c>
      <c r="J219" s="1">
        <f>VLOOKUP(Table1[[#This Row],[Name]],MountsByName[],9,FALSE)</f>
        <v>0</v>
      </c>
      <c r="K219" s="1">
        <f>VLOOKUP(Table1[[#This Row],[Name]],MountsByName[],10,FALSE)</f>
        <v>0</v>
      </c>
      <c r="L219" s="1">
        <f>VLOOKUP(Table1[[#This Row],[Name]],MountsByName[],11,FALSE)</f>
        <v>0</v>
      </c>
      <c r="M219" s="1">
        <f>VLOOKUP(Table1[[#This Row],[Name]],MountsByName[],12,FALSE)</f>
        <v>1</v>
      </c>
      <c r="N21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[100332] ={"Vicious War Steed", 100332, 0, 1, 1, 0, "Horse", "0", 1, 0},</v>
      </c>
    </row>
    <row r="220" spans="1:14" x14ac:dyDescent="0.35">
      <c r="A220" s="2">
        <v>103195</v>
      </c>
      <c r="B220" t="s">
        <v>521</v>
      </c>
      <c r="C220" s="1" t="str">
        <f>VLOOKUP(Table1[[#This Row],[Name]],MountsByName[],2,FALSE)</f>
        <v>Horse</v>
      </c>
      <c r="D220" s="1">
        <f>VLOOKUP(Table1[[#This Row],[Name]],MountsByName[],3,FALSE)</f>
        <v>1</v>
      </c>
      <c r="E220" s="1">
        <f>VLOOKUP(Table1[[#This Row],[Name]],MountsByName[],4,FALSE)</f>
        <v>1</v>
      </c>
      <c r="F220" s="1">
        <f>VLOOKUP(Table1[[#This Row],[Name]],MountsByName[],5,FALSE)</f>
        <v>0</v>
      </c>
      <c r="G220" s="1">
        <f>VLOOKUP(Table1[[#This Row],[Name]],MountsByName[],6,FALSE)</f>
        <v>1</v>
      </c>
      <c r="H220" s="1">
        <f>VLOOKUP(Table1[[#This Row],[Name]],MountsByName[],7,FALSE)</f>
        <v>0</v>
      </c>
      <c r="I220" s="1">
        <f>VLOOKUP(Table1[[#This Row],[Name]],MountsByName[],8,FALSE)</f>
        <v>0</v>
      </c>
      <c r="J220" s="1">
        <f>VLOOKUP(Table1[[#This Row],[Name]],MountsByName[],9,FALSE)</f>
        <v>0</v>
      </c>
      <c r="K220" s="1">
        <f>VLOOKUP(Table1[[#This Row],[Name]],MountsByName[],10,FALSE)</f>
        <v>0</v>
      </c>
      <c r="L220" s="1">
        <f>VLOOKUP(Table1[[#This Row],[Name]],MountsByName[],11,FALSE)</f>
        <v>0</v>
      </c>
      <c r="M220" s="1">
        <f>VLOOKUP(Table1[[#This Row],[Name]],MountsByName[],12,FALSE)</f>
        <v>1</v>
      </c>
      <c r="N22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[103195] ={"Mountain Horse", 103195, 0, 1, 1, 0, "Horse", "0", 1, 0},</v>
      </c>
    </row>
    <row r="221" spans="1:14" x14ac:dyDescent="0.35">
      <c r="A221" s="2">
        <v>103196</v>
      </c>
      <c r="B221" t="s">
        <v>495</v>
      </c>
      <c r="C221" s="1" t="str">
        <f>VLOOKUP(Table1[[#This Row],[Name]],MountsByName[],2,FALSE)</f>
        <v>Horse</v>
      </c>
      <c r="D221" s="1">
        <f>VLOOKUP(Table1[[#This Row],[Name]],MountsByName[],3,FALSE)</f>
        <v>1</v>
      </c>
      <c r="E221" s="1">
        <f>VLOOKUP(Table1[[#This Row],[Name]],MountsByName[],4,FALSE)</f>
        <v>1</v>
      </c>
      <c r="F221" s="1">
        <f>VLOOKUP(Table1[[#This Row],[Name]],MountsByName[],5,FALSE)</f>
        <v>0</v>
      </c>
      <c r="G221" s="1">
        <f>VLOOKUP(Table1[[#This Row],[Name]],MountsByName[],6,FALSE)</f>
        <v>1</v>
      </c>
      <c r="H221" s="1">
        <f>VLOOKUP(Table1[[#This Row],[Name]],MountsByName[],7,FALSE)</f>
        <v>0</v>
      </c>
      <c r="I221" s="1">
        <f>VLOOKUP(Table1[[#This Row],[Name]],MountsByName[],8,FALSE)</f>
        <v>0</v>
      </c>
      <c r="J221" s="1">
        <f>VLOOKUP(Table1[[#This Row],[Name]],MountsByName[],9,FALSE)</f>
        <v>0</v>
      </c>
      <c r="K221" s="1">
        <f>VLOOKUP(Table1[[#This Row],[Name]],MountsByName[],10,FALSE)</f>
        <v>0</v>
      </c>
      <c r="L221" s="1">
        <f>VLOOKUP(Table1[[#This Row],[Name]],MountsByName[],11,FALSE)</f>
        <v>0</v>
      </c>
      <c r="M221" s="1">
        <f>VLOOKUP(Table1[[#This Row],[Name]],MountsByName[],12,FALSE)</f>
        <v>1</v>
      </c>
      <c r="N221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[103196] ={"Swift Mountain Horse", 103196, 0, 1, 1, 0, "Horse", "0", 1, 0},</v>
      </c>
    </row>
    <row r="222" spans="1:14" x14ac:dyDescent="0.35">
      <c r="A222" s="2">
        <v>142910</v>
      </c>
      <c r="B222" t="s">
        <v>1099</v>
      </c>
      <c r="C222" s="1" t="str">
        <f>VLOOKUP(Table1[[#This Row],[Name]],MountsByName[],2,FALSE)</f>
        <v>Horse</v>
      </c>
      <c r="D222" s="1">
        <f>VLOOKUP(Table1[[#This Row],[Name]],MountsByName[],3,FALSE)</f>
        <v>1</v>
      </c>
      <c r="E222" s="1">
        <f>VLOOKUP(Table1[[#This Row],[Name]],MountsByName[],4,FALSE)</f>
        <v>1</v>
      </c>
      <c r="F222" s="1">
        <f>VLOOKUP(Table1[[#This Row],[Name]],MountsByName[],5,FALSE)</f>
        <v>0</v>
      </c>
      <c r="G222" s="1">
        <f>VLOOKUP(Table1[[#This Row],[Name]],MountsByName[],6,FALSE)</f>
        <v>1</v>
      </c>
      <c r="H222" s="1">
        <f>VLOOKUP(Table1[[#This Row],[Name]],MountsByName[],7,FALSE)</f>
        <v>0</v>
      </c>
      <c r="I222" s="1">
        <f>VLOOKUP(Table1[[#This Row],[Name]],MountsByName[],8,FALSE)</f>
        <v>0</v>
      </c>
      <c r="J222" s="1">
        <f>VLOOKUP(Table1[[#This Row],[Name]],MountsByName[],9,FALSE)</f>
        <v>0</v>
      </c>
      <c r="K222" s="1">
        <f>VLOOKUP(Table1[[#This Row],[Name]],MountsByName[],10,FALSE)</f>
        <v>0</v>
      </c>
      <c r="L222" s="1">
        <f>VLOOKUP(Table1[[#This Row],[Name]],MountsByName[],11,FALSE)</f>
        <v>0</v>
      </c>
      <c r="M222" s="1">
        <f>VLOOKUP(Table1[[#This Row],[Name]],MountsByName[],12,FALSE)</f>
        <v>1</v>
      </c>
      <c r="N22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[142910] ={"Iron Warhorse", 142910, 0, 1, 1, 0, "Horse", "0", 1, 0},</v>
      </c>
    </row>
    <row r="223" spans="1:14" x14ac:dyDescent="0.35">
      <c r="A223" s="2">
        <v>18363</v>
      </c>
      <c r="B223" t="s">
        <v>195</v>
      </c>
      <c r="C223" s="1" t="str">
        <f>VLOOKUP(Table1[[#This Row],[Name]],MountsByName[],2,FALSE)</f>
        <v>Kodo</v>
      </c>
      <c r="D223" s="1">
        <f>VLOOKUP(Table1[[#This Row],[Name]],MountsByName[],3,FALSE)</f>
        <v>0.6</v>
      </c>
      <c r="E223" s="1">
        <f>VLOOKUP(Table1[[#This Row],[Name]],MountsByName[],4,FALSE)</f>
        <v>0.6</v>
      </c>
      <c r="F223" s="1">
        <f>VLOOKUP(Table1[[#This Row],[Name]],MountsByName[],5,FALSE)</f>
        <v>0</v>
      </c>
      <c r="G223" s="1">
        <f>VLOOKUP(Table1[[#This Row],[Name]],MountsByName[],6,FALSE)</f>
        <v>1</v>
      </c>
      <c r="H223" s="1">
        <f>VLOOKUP(Table1[[#This Row],[Name]],MountsByName[],7,FALSE)</f>
        <v>0</v>
      </c>
      <c r="I223" s="1">
        <f>VLOOKUP(Table1[[#This Row],[Name]],MountsByName[],8,FALSE)</f>
        <v>14062</v>
      </c>
      <c r="J223" s="1" t="str">
        <f>VLOOKUP(Table1[[#This Row],[Name]],MountsByName[],9,FALSE)</f>
        <v>removed</v>
      </c>
      <c r="K223" s="1">
        <f>VLOOKUP(Table1[[#This Row],[Name]],MountsByName[],10,FALSE)</f>
        <v>0</v>
      </c>
      <c r="L223" s="1">
        <f>VLOOKUP(Table1[[#This Row],[Name]],MountsByName[],11,FALSE)</f>
        <v>1</v>
      </c>
      <c r="M223" s="1">
        <f>VLOOKUP(Table1[[#This Row],[Name]],MountsByName[],12,FALSE)</f>
        <v>1</v>
      </c>
      <c r="N22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[18363] ={"Riding Kodo", 18363, 14062, 0.6, 0.6, 0, "Kodo", "removed", 1, 0},</v>
      </c>
    </row>
    <row r="224" spans="1:14" x14ac:dyDescent="0.35">
      <c r="A224" s="2">
        <v>18989</v>
      </c>
      <c r="B224" t="s">
        <v>149</v>
      </c>
      <c r="C224" s="1" t="str">
        <f>VLOOKUP(Table1[[#This Row],[Name]],MountsByName[],2,FALSE)</f>
        <v>Kodo</v>
      </c>
      <c r="D224" s="1">
        <f>VLOOKUP(Table1[[#This Row],[Name]],MountsByName[],3,FALSE)</f>
        <v>0.6</v>
      </c>
      <c r="E224" s="1">
        <f>VLOOKUP(Table1[[#This Row],[Name]],MountsByName[],4,FALSE)</f>
        <v>0.6</v>
      </c>
      <c r="F224" s="1">
        <f>VLOOKUP(Table1[[#This Row],[Name]],MountsByName[],5,FALSE)</f>
        <v>0</v>
      </c>
      <c r="G224" s="1">
        <f>VLOOKUP(Table1[[#This Row],[Name]],MountsByName[],6,FALSE)</f>
        <v>1</v>
      </c>
      <c r="H224" s="1">
        <f>VLOOKUP(Table1[[#This Row],[Name]],MountsByName[],7,FALSE)</f>
        <v>0</v>
      </c>
      <c r="I224" s="1">
        <f>VLOOKUP(Table1[[#This Row],[Name]],MountsByName[],8,FALSE)</f>
        <v>15277</v>
      </c>
      <c r="J224" s="1" t="str">
        <f>VLOOKUP(Table1[[#This Row],[Name]],MountsByName[],9,FALSE)</f>
        <v>Gold</v>
      </c>
      <c r="K224" s="1">
        <f>VLOOKUP(Table1[[#This Row],[Name]],MountsByName[],10,FALSE)</f>
        <v>0</v>
      </c>
      <c r="L224" s="1">
        <f>VLOOKUP(Table1[[#This Row],[Name]],MountsByName[],11,FALSE)</f>
        <v>1</v>
      </c>
      <c r="M224" s="1">
        <f>VLOOKUP(Table1[[#This Row],[Name]],MountsByName[],12,FALSE)</f>
        <v>1</v>
      </c>
      <c r="N22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[18989] ={"Gray Kodo", 18989, 15277, 0.6, 0.6, 0, "Kodo", "Gold", 1, 0},</v>
      </c>
    </row>
    <row r="225" spans="1:14" x14ac:dyDescent="0.35">
      <c r="A225" s="2">
        <v>18990</v>
      </c>
      <c r="B225" t="s">
        <v>117</v>
      </c>
      <c r="C225" s="1" t="str">
        <f>VLOOKUP(Table1[[#This Row],[Name]],MountsByName[],2,FALSE)</f>
        <v>Kodo</v>
      </c>
      <c r="D225" s="1">
        <f>VLOOKUP(Table1[[#This Row],[Name]],MountsByName[],3,FALSE)</f>
        <v>0.6</v>
      </c>
      <c r="E225" s="1">
        <f>VLOOKUP(Table1[[#This Row],[Name]],MountsByName[],4,FALSE)</f>
        <v>0.6</v>
      </c>
      <c r="F225" s="1">
        <f>VLOOKUP(Table1[[#This Row],[Name]],MountsByName[],5,FALSE)</f>
        <v>0</v>
      </c>
      <c r="G225" s="1">
        <f>VLOOKUP(Table1[[#This Row],[Name]],MountsByName[],6,FALSE)</f>
        <v>1</v>
      </c>
      <c r="H225" s="1">
        <f>VLOOKUP(Table1[[#This Row],[Name]],MountsByName[],7,FALSE)</f>
        <v>0</v>
      </c>
      <c r="I225" s="1">
        <f>VLOOKUP(Table1[[#This Row],[Name]],MountsByName[],8,FALSE)</f>
        <v>15290</v>
      </c>
      <c r="J225" s="1" t="str">
        <f>VLOOKUP(Table1[[#This Row],[Name]],MountsByName[],9,FALSE)</f>
        <v>Gold</v>
      </c>
      <c r="K225" s="1">
        <f>VLOOKUP(Table1[[#This Row],[Name]],MountsByName[],10,FALSE)</f>
        <v>0</v>
      </c>
      <c r="L225" s="1">
        <f>VLOOKUP(Table1[[#This Row],[Name]],MountsByName[],11,FALSE)</f>
        <v>1</v>
      </c>
      <c r="M225" s="1">
        <f>VLOOKUP(Table1[[#This Row],[Name]],MountsByName[],12,FALSE)</f>
        <v>1</v>
      </c>
      <c r="N22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[18990] ={"Brown Kodo", 18990, 15290, 0.6, 0.6, 0, "Kodo", "Gold", 1, 0},</v>
      </c>
    </row>
    <row r="226" spans="1:14" x14ac:dyDescent="0.35">
      <c r="A226" s="2">
        <v>18991</v>
      </c>
      <c r="B226" t="s">
        <v>162</v>
      </c>
      <c r="C226" s="1" t="str">
        <f>VLOOKUP(Table1[[#This Row],[Name]],MountsByName[],2,FALSE)</f>
        <v>Kodo</v>
      </c>
      <c r="D226" s="1">
        <f>VLOOKUP(Table1[[#This Row],[Name]],MountsByName[],3,FALSE)</f>
        <v>1</v>
      </c>
      <c r="E226" s="1">
        <f>VLOOKUP(Table1[[#This Row],[Name]],MountsByName[],4,FALSE)</f>
        <v>1</v>
      </c>
      <c r="F226" s="1">
        <f>VLOOKUP(Table1[[#This Row],[Name]],MountsByName[],5,FALSE)</f>
        <v>0</v>
      </c>
      <c r="G226" s="1">
        <f>VLOOKUP(Table1[[#This Row],[Name]],MountsByName[],6,FALSE)</f>
        <v>1</v>
      </c>
      <c r="H226" s="1">
        <f>VLOOKUP(Table1[[#This Row],[Name]],MountsByName[],7,FALSE)</f>
        <v>0</v>
      </c>
      <c r="I226" s="1">
        <f>VLOOKUP(Table1[[#This Row],[Name]],MountsByName[],8,FALSE)</f>
        <v>15292</v>
      </c>
      <c r="J226" s="1" t="str">
        <f>VLOOKUP(Table1[[#This Row],[Name]],MountsByName[],9,FALSE)</f>
        <v>Gold</v>
      </c>
      <c r="K226" s="1">
        <f>VLOOKUP(Table1[[#This Row],[Name]],MountsByName[],10,FALSE)</f>
        <v>0</v>
      </c>
      <c r="L226" s="1">
        <f>VLOOKUP(Table1[[#This Row],[Name]],MountsByName[],11,FALSE)</f>
        <v>1</v>
      </c>
      <c r="M226" s="1">
        <f>VLOOKUP(Table1[[#This Row],[Name]],MountsByName[],12,FALSE)</f>
        <v>1</v>
      </c>
      <c r="N22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[18991] ={"Green Kodo", 18991, 15292, 1, 1, 0, "Kodo", "Gold", 1, 0},</v>
      </c>
    </row>
    <row r="227" spans="1:14" x14ac:dyDescent="0.35">
      <c r="A227" s="2">
        <v>18992</v>
      </c>
      <c r="B227" t="s">
        <v>253</v>
      </c>
      <c r="C227" s="1" t="str">
        <f>VLOOKUP(Table1[[#This Row],[Name]],MountsByName[],2,FALSE)</f>
        <v>Kodo</v>
      </c>
      <c r="D227" s="1">
        <f>VLOOKUP(Table1[[#This Row],[Name]],MountsByName[],3,FALSE)</f>
        <v>1</v>
      </c>
      <c r="E227" s="1">
        <f>VLOOKUP(Table1[[#This Row],[Name]],MountsByName[],4,FALSE)</f>
        <v>1</v>
      </c>
      <c r="F227" s="1">
        <f>VLOOKUP(Table1[[#This Row],[Name]],MountsByName[],5,FALSE)</f>
        <v>0</v>
      </c>
      <c r="G227" s="1">
        <f>VLOOKUP(Table1[[#This Row],[Name]],MountsByName[],6,FALSE)</f>
        <v>1</v>
      </c>
      <c r="H227" s="1">
        <f>VLOOKUP(Table1[[#This Row],[Name]],MountsByName[],7,FALSE)</f>
        <v>0</v>
      </c>
      <c r="I227" s="1">
        <f>VLOOKUP(Table1[[#This Row],[Name]],MountsByName[],8,FALSE)</f>
        <v>15293</v>
      </c>
      <c r="J227" s="1" t="str">
        <f>VLOOKUP(Table1[[#This Row],[Name]],MountsByName[],9,FALSE)</f>
        <v>removed</v>
      </c>
      <c r="K227" s="1">
        <f>VLOOKUP(Table1[[#This Row],[Name]],MountsByName[],10,FALSE)</f>
        <v>0</v>
      </c>
      <c r="L227" s="1">
        <f>VLOOKUP(Table1[[#This Row],[Name]],MountsByName[],11,FALSE)</f>
        <v>1</v>
      </c>
      <c r="M227" s="1">
        <f>VLOOKUP(Table1[[#This Row],[Name]],MountsByName[],12,FALSE)</f>
        <v>1</v>
      </c>
      <c r="N22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[18992] ={"Teal Kodo", 18992, 15293, 1, 1, 0, "Kodo", "removed", 1, 0},</v>
      </c>
    </row>
    <row r="228" spans="1:14" x14ac:dyDescent="0.35">
      <c r="A228" s="2">
        <v>22718</v>
      </c>
      <c r="B228" t="s">
        <v>98</v>
      </c>
      <c r="C228" s="1" t="str">
        <f>VLOOKUP(Table1[[#This Row],[Name]],MountsByName[],2,FALSE)</f>
        <v>Kodo</v>
      </c>
      <c r="D228" s="1">
        <f>VLOOKUP(Table1[[#This Row],[Name]],MountsByName[],3,FALSE)</f>
        <v>1</v>
      </c>
      <c r="E228" s="1">
        <f>VLOOKUP(Table1[[#This Row],[Name]],MountsByName[],4,FALSE)</f>
        <v>1</v>
      </c>
      <c r="F228" s="1">
        <f>VLOOKUP(Table1[[#This Row],[Name]],MountsByName[],5,FALSE)</f>
        <v>0</v>
      </c>
      <c r="G228" s="1">
        <f>VLOOKUP(Table1[[#This Row],[Name]],MountsByName[],6,FALSE)</f>
        <v>1</v>
      </c>
      <c r="H228" s="1">
        <f>VLOOKUP(Table1[[#This Row],[Name]],MountsByName[],7,FALSE)</f>
        <v>0</v>
      </c>
      <c r="I228" s="1">
        <f>VLOOKUP(Table1[[#This Row],[Name]],MountsByName[],8,FALSE)</f>
        <v>29466</v>
      </c>
      <c r="J228" s="1" t="str">
        <f>VLOOKUP(Table1[[#This Row],[Name]],MountsByName[],9,FALSE)</f>
        <v>Honor</v>
      </c>
      <c r="K228" s="1">
        <f>VLOOKUP(Table1[[#This Row],[Name]],MountsByName[],10,FALSE)</f>
        <v>0</v>
      </c>
      <c r="L228" s="1">
        <f>VLOOKUP(Table1[[#This Row],[Name]],MountsByName[],11,FALSE)</f>
        <v>1</v>
      </c>
      <c r="M228" s="1">
        <f>VLOOKUP(Table1[[#This Row],[Name]],MountsByName[],12,FALSE)</f>
        <v>1</v>
      </c>
      <c r="N22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[22718] ={"Black War Kodo", 22718, 29466, 1, 1, 0, "Kodo", "Honor", 1, 0},</v>
      </c>
    </row>
    <row r="229" spans="1:14" x14ac:dyDescent="0.35">
      <c r="A229" s="2">
        <v>23247</v>
      </c>
      <c r="B229" t="s">
        <v>161</v>
      </c>
      <c r="C229" s="1" t="str">
        <f>VLOOKUP(Table1[[#This Row],[Name]],MountsByName[],2,FALSE)</f>
        <v>Kodo</v>
      </c>
      <c r="D229" s="1">
        <f>VLOOKUP(Table1[[#This Row],[Name]],MountsByName[],3,FALSE)</f>
        <v>1</v>
      </c>
      <c r="E229" s="1">
        <f>VLOOKUP(Table1[[#This Row],[Name]],MountsByName[],4,FALSE)</f>
        <v>1</v>
      </c>
      <c r="F229" s="1">
        <f>VLOOKUP(Table1[[#This Row],[Name]],MountsByName[],5,FALSE)</f>
        <v>0</v>
      </c>
      <c r="G229" s="1">
        <f>VLOOKUP(Table1[[#This Row],[Name]],MountsByName[],6,FALSE)</f>
        <v>1</v>
      </c>
      <c r="H229" s="1">
        <f>VLOOKUP(Table1[[#This Row],[Name]],MountsByName[],7,FALSE)</f>
        <v>0</v>
      </c>
      <c r="I229" s="1">
        <f>VLOOKUP(Table1[[#This Row],[Name]],MountsByName[],8,FALSE)</f>
        <v>18793</v>
      </c>
      <c r="J229" s="1" t="str">
        <f>VLOOKUP(Table1[[#This Row],[Name]],MountsByName[],9,FALSE)</f>
        <v>Gold</v>
      </c>
      <c r="K229" s="1">
        <f>VLOOKUP(Table1[[#This Row],[Name]],MountsByName[],10,FALSE)</f>
        <v>0</v>
      </c>
      <c r="L229" s="1">
        <f>VLOOKUP(Table1[[#This Row],[Name]],MountsByName[],11,FALSE)</f>
        <v>1</v>
      </c>
      <c r="M229" s="1">
        <f>VLOOKUP(Table1[[#This Row],[Name]],MountsByName[],12,FALSE)</f>
        <v>1</v>
      </c>
      <c r="N22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[23247] ={"Great White Kodo", 23247, 18793, 1, 1, 0, "Kodo", "Gold", 1, 0},</v>
      </c>
    </row>
    <row r="230" spans="1:14" x14ac:dyDescent="0.35">
      <c r="A230" s="2">
        <v>23248</v>
      </c>
      <c r="B230" t="s">
        <v>157</v>
      </c>
      <c r="C230" s="1" t="str">
        <f>VLOOKUP(Table1[[#This Row],[Name]],MountsByName[],2,FALSE)</f>
        <v>Kodo</v>
      </c>
      <c r="D230" s="1">
        <f>VLOOKUP(Table1[[#This Row],[Name]],MountsByName[],3,FALSE)</f>
        <v>1</v>
      </c>
      <c r="E230" s="1">
        <f>VLOOKUP(Table1[[#This Row],[Name]],MountsByName[],4,FALSE)</f>
        <v>1</v>
      </c>
      <c r="F230" s="1">
        <f>VLOOKUP(Table1[[#This Row],[Name]],MountsByName[],5,FALSE)</f>
        <v>0</v>
      </c>
      <c r="G230" s="1">
        <f>VLOOKUP(Table1[[#This Row],[Name]],MountsByName[],6,FALSE)</f>
        <v>1</v>
      </c>
      <c r="H230" s="1">
        <f>VLOOKUP(Table1[[#This Row],[Name]],MountsByName[],7,FALSE)</f>
        <v>0</v>
      </c>
      <c r="I230" s="1">
        <f>VLOOKUP(Table1[[#This Row],[Name]],MountsByName[],8,FALSE)</f>
        <v>18795</v>
      </c>
      <c r="J230" s="1" t="str">
        <f>VLOOKUP(Table1[[#This Row],[Name]],MountsByName[],9,FALSE)</f>
        <v>Gold</v>
      </c>
      <c r="K230" s="1">
        <f>VLOOKUP(Table1[[#This Row],[Name]],MountsByName[],10,FALSE)</f>
        <v>0</v>
      </c>
      <c r="L230" s="1">
        <f>VLOOKUP(Table1[[#This Row],[Name]],MountsByName[],11,FALSE)</f>
        <v>1</v>
      </c>
      <c r="M230" s="1">
        <f>VLOOKUP(Table1[[#This Row],[Name]],MountsByName[],12,FALSE)</f>
        <v>1</v>
      </c>
      <c r="N23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[23248] ={"Great Gray Kodo", 23248, 18795, 1, 1, 0, "Kodo", "Gold", 1, 0},</v>
      </c>
    </row>
    <row r="231" spans="1:14" x14ac:dyDescent="0.35">
      <c r="A231" s="2">
        <v>23249</v>
      </c>
      <c r="B231" t="s">
        <v>154</v>
      </c>
      <c r="C231" s="1" t="str">
        <f>VLOOKUP(Table1[[#This Row],[Name]],MountsByName[],2,FALSE)</f>
        <v>Kodo</v>
      </c>
      <c r="D231" s="1">
        <f>VLOOKUP(Table1[[#This Row],[Name]],MountsByName[],3,FALSE)</f>
        <v>1</v>
      </c>
      <c r="E231" s="1">
        <f>VLOOKUP(Table1[[#This Row],[Name]],MountsByName[],4,FALSE)</f>
        <v>1</v>
      </c>
      <c r="F231" s="1">
        <f>VLOOKUP(Table1[[#This Row],[Name]],MountsByName[],5,FALSE)</f>
        <v>0</v>
      </c>
      <c r="G231" s="1">
        <f>VLOOKUP(Table1[[#This Row],[Name]],MountsByName[],6,FALSE)</f>
        <v>1</v>
      </c>
      <c r="H231" s="1">
        <f>VLOOKUP(Table1[[#This Row],[Name]],MountsByName[],7,FALSE)</f>
        <v>0</v>
      </c>
      <c r="I231" s="1">
        <f>VLOOKUP(Table1[[#This Row],[Name]],MountsByName[],8,FALSE)</f>
        <v>18794</v>
      </c>
      <c r="J231" s="1" t="str">
        <f>VLOOKUP(Table1[[#This Row],[Name]],MountsByName[],9,FALSE)</f>
        <v>Gold</v>
      </c>
      <c r="K231" s="1">
        <f>VLOOKUP(Table1[[#This Row],[Name]],MountsByName[],10,FALSE)</f>
        <v>0</v>
      </c>
      <c r="L231" s="1">
        <f>VLOOKUP(Table1[[#This Row],[Name]],MountsByName[],11,FALSE)</f>
        <v>1</v>
      </c>
      <c r="M231" s="1">
        <f>VLOOKUP(Table1[[#This Row],[Name]],MountsByName[],12,FALSE)</f>
        <v>1</v>
      </c>
      <c r="N231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[23249] ={"Great Brown Kodo", 23249, 18794, 1, 1, 0, "Kodo", "Gold", 1, 0},</v>
      </c>
    </row>
    <row r="232" spans="1:14" x14ac:dyDescent="0.35">
      <c r="A232" s="2">
        <v>49378</v>
      </c>
      <c r="B232" t="s">
        <v>114</v>
      </c>
      <c r="C232" s="1" t="str">
        <f>VLOOKUP(Table1[[#This Row],[Name]],MountsByName[],2,FALSE)</f>
        <v>Kodo</v>
      </c>
      <c r="D232" s="1">
        <f>VLOOKUP(Table1[[#This Row],[Name]],MountsByName[],3,FALSE)</f>
        <v>0.6</v>
      </c>
      <c r="E232" s="1">
        <f>VLOOKUP(Table1[[#This Row],[Name]],MountsByName[],4,FALSE)</f>
        <v>0.6</v>
      </c>
      <c r="F232" s="1">
        <f>VLOOKUP(Table1[[#This Row],[Name]],MountsByName[],5,FALSE)</f>
        <v>0</v>
      </c>
      <c r="G232" s="1">
        <f>VLOOKUP(Table1[[#This Row],[Name]],MountsByName[],6,FALSE)</f>
        <v>1</v>
      </c>
      <c r="H232" s="1">
        <f>VLOOKUP(Table1[[#This Row],[Name]],MountsByName[],7,FALSE)</f>
        <v>0</v>
      </c>
      <c r="I232" s="1">
        <f>VLOOKUP(Table1[[#This Row],[Name]],MountsByName[],8,FALSE)</f>
        <v>37827</v>
      </c>
      <c r="J232" s="1" t="str">
        <f>VLOOKUP(Table1[[#This Row],[Name]],MountsByName[],9,FALSE)</f>
        <v>Duplicate</v>
      </c>
      <c r="K232" s="1">
        <f>VLOOKUP(Table1[[#This Row],[Name]],MountsByName[],10,FALSE)</f>
        <v>1</v>
      </c>
      <c r="L232" s="1">
        <f>VLOOKUP(Table1[[#This Row],[Name]],MountsByName[],11,FALSE)</f>
        <v>1</v>
      </c>
      <c r="M232" s="1">
        <f>VLOOKUP(Table1[[#This Row],[Name]],MountsByName[],12,FALSE)</f>
        <v>1</v>
      </c>
      <c r="N23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[49378] ={"Brewfest Riding Kodo", 49378, 37827, 0.6, 0.6, 0, "Kodo", "Duplicate", 1, 0},</v>
      </c>
    </row>
    <row r="233" spans="1:14" x14ac:dyDescent="0.35">
      <c r="A233" s="2">
        <v>49379</v>
      </c>
      <c r="B233" t="s">
        <v>153</v>
      </c>
      <c r="C233" s="1" t="str">
        <f>VLOOKUP(Table1[[#This Row],[Name]],MountsByName[],2,FALSE)</f>
        <v>Kodo</v>
      </c>
      <c r="D233" s="1">
        <f>VLOOKUP(Table1[[#This Row],[Name]],MountsByName[],3,FALSE)</f>
        <v>1</v>
      </c>
      <c r="E233" s="1">
        <f>VLOOKUP(Table1[[#This Row],[Name]],MountsByName[],4,FALSE)</f>
        <v>1</v>
      </c>
      <c r="F233" s="1">
        <f>VLOOKUP(Table1[[#This Row],[Name]],MountsByName[],5,FALSE)</f>
        <v>0</v>
      </c>
      <c r="G233" s="1">
        <f>VLOOKUP(Table1[[#This Row],[Name]],MountsByName[],6,FALSE)</f>
        <v>1</v>
      </c>
      <c r="H233" s="1">
        <f>VLOOKUP(Table1[[#This Row],[Name]],MountsByName[],7,FALSE)</f>
        <v>0</v>
      </c>
      <c r="I233" s="1">
        <f>VLOOKUP(Table1[[#This Row],[Name]],MountsByName[],8,FALSE)</f>
        <v>37828</v>
      </c>
      <c r="J233" s="1" t="str">
        <f>VLOOKUP(Table1[[#This Row],[Name]],MountsByName[],9,FALSE)</f>
        <v>Drop Brewfest</v>
      </c>
      <c r="K233" s="1">
        <f>VLOOKUP(Table1[[#This Row],[Name]],MountsByName[],10,FALSE)</f>
        <v>1</v>
      </c>
      <c r="L233" s="1">
        <f>VLOOKUP(Table1[[#This Row],[Name]],MountsByName[],11,FALSE)</f>
        <v>1</v>
      </c>
      <c r="M233" s="1">
        <f>VLOOKUP(Table1[[#This Row],[Name]],MountsByName[],12,FALSE)</f>
        <v>1</v>
      </c>
      <c r="N23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[49379] ={"Great Brewfest Kodo", 49379, 37828, 1, 1, 0, "Kodo", "Drop Brewfest", 1, 0},</v>
      </c>
    </row>
    <row r="234" spans="1:14" x14ac:dyDescent="0.35">
      <c r="A234" s="2">
        <v>63641</v>
      </c>
      <c r="B234" t="s">
        <v>254</v>
      </c>
      <c r="C234" s="1" t="str">
        <f>VLOOKUP(Table1[[#This Row],[Name]],MountsByName[],2,FALSE)</f>
        <v>Kodo</v>
      </c>
      <c r="D234" s="1">
        <f>VLOOKUP(Table1[[#This Row],[Name]],MountsByName[],3,FALSE)</f>
        <v>1</v>
      </c>
      <c r="E234" s="1">
        <f>VLOOKUP(Table1[[#This Row],[Name]],MountsByName[],4,FALSE)</f>
        <v>1</v>
      </c>
      <c r="F234" s="1">
        <f>VLOOKUP(Table1[[#This Row],[Name]],MountsByName[],5,FALSE)</f>
        <v>0</v>
      </c>
      <c r="G234" s="1">
        <f>VLOOKUP(Table1[[#This Row],[Name]],MountsByName[],6,FALSE)</f>
        <v>1</v>
      </c>
      <c r="H234" s="1">
        <f>VLOOKUP(Table1[[#This Row],[Name]],MountsByName[],7,FALSE)</f>
        <v>0</v>
      </c>
      <c r="I234" s="1">
        <f>VLOOKUP(Table1[[#This Row],[Name]],MountsByName[],8,FALSE)</f>
        <v>45592</v>
      </c>
      <c r="J234" s="1" t="str">
        <f>VLOOKUP(Table1[[#This Row],[Name]],MountsByName[],9,FALSE)</f>
        <v>Champion's Seals</v>
      </c>
      <c r="K234" s="1">
        <f>VLOOKUP(Table1[[#This Row],[Name]],MountsByName[],10,FALSE)</f>
        <v>0</v>
      </c>
      <c r="L234" s="1">
        <f>VLOOKUP(Table1[[#This Row],[Name]],MountsByName[],11,FALSE)</f>
        <v>1</v>
      </c>
      <c r="M234" s="1">
        <f>VLOOKUP(Table1[[#This Row],[Name]],MountsByName[],12,FALSE)</f>
        <v>1</v>
      </c>
      <c r="N23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[63641] ={"Thunder Bluff Kodo", 63641, 45592, 1, 1, 0, "Kodo", "Champion's Seals", 1, 0},</v>
      </c>
    </row>
    <row r="235" spans="1:14" x14ac:dyDescent="0.35">
      <c r="A235" s="2">
        <v>64657</v>
      </c>
      <c r="B235" t="s">
        <v>263</v>
      </c>
      <c r="C235" s="1" t="str">
        <f>VLOOKUP(Table1[[#This Row],[Name]],MountsByName[],2,FALSE)</f>
        <v>Kodo</v>
      </c>
      <c r="D235" s="1">
        <f>VLOOKUP(Table1[[#This Row],[Name]],MountsByName[],3,FALSE)</f>
        <v>0.6</v>
      </c>
      <c r="E235" s="1">
        <f>VLOOKUP(Table1[[#This Row],[Name]],MountsByName[],4,FALSE)</f>
        <v>0.6</v>
      </c>
      <c r="F235" s="1">
        <f>VLOOKUP(Table1[[#This Row],[Name]],MountsByName[],5,FALSE)</f>
        <v>0</v>
      </c>
      <c r="G235" s="1">
        <f>VLOOKUP(Table1[[#This Row],[Name]],MountsByName[],6,FALSE)</f>
        <v>1</v>
      </c>
      <c r="H235" s="1">
        <f>VLOOKUP(Table1[[#This Row],[Name]],MountsByName[],7,FALSE)</f>
        <v>0</v>
      </c>
      <c r="I235" s="1">
        <f>VLOOKUP(Table1[[#This Row],[Name]],MountsByName[],8,FALSE)</f>
        <v>46100</v>
      </c>
      <c r="J235" s="1" t="str">
        <f>VLOOKUP(Table1[[#This Row],[Name]],MountsByName[],9,FALSE)</f>
        <v>Gold</v>
      </c>
      <c r="K235" s="1">
        <f>VLOOKUP(Table1[[#This Row],[Name]],MountsByName[],10,FALSE)</f>
        <v>0</v>
      </c>
      <c r="L235" s="1">
        <f>VLOOKUP(Table1[[#This Row],[Name]],MountsByName[],11,FALSE)</f>
        <v>1</v>
      </c>
      <c r="M235" s="1">
        <f>VLOOKUP(Table1[[#This Row],[Name]],MountsByName[],12,FALSE)</f>
        <v>1</v>
      </c>
      <c r="N23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[64657] ={"White Kodo", 64657, 46100, 0.6, 0.6, 0, "Kodo", "Gold", 1, 0},</v>
      </c>
    </row>
    <row r="236" spans="1:14" x14ac:dyDescent="0.35">
      <c r="A236" s="2">
        <v>65641</v>
      </c>
      <c r="B236" t="s">
        <v>156</v>
      </c>
      <c r="C236" s="1" t="str">
        <f>VLOOKUP(Table1[[#This Row],[Name]],MountsByName[],2,FALSE)</f>
        <v>Kodo</v>
      </c>
      <c r="D236" s="1">
        <f>VLOOKUP(Table1[[#This Row],[Name]],MountsByName[],3,FALSE)</f>
        <v>1</v>
      </c>
      <c r="E236" s="1">
        <f>VLOOKUP(Table1[[#This Row],[Name]],MountsByName[],4,FALSE)</f>
        <v>1</v>
      </c>
      <c r="F236" s="1">
        <f>VLOOKUP(Table1[[#This Row],[Name]],MountsByName[],5,FALSE)</f>
        <v>0</v>
      </c>
      <c r="G236" s="1">
        <f>VLOOKUP(Table1[[#This Row],[Name]],MountsByName[],6,FALSE)</f>
        <v>1</v>
      </c>
      <c r="H236" s="1">
        <f>VLOOKUP(Table1[[#This Row],[Name]],MountsByName[],7,FALSE)</f>
        <v>0</v>
      </c>
      <c r="I236" s="1">
        <f>VLOOKUP(Table1[[#This Row],[Name]],MountsByName[],8,FALSE)</f>
        <v>46755</v>
      </c>
      <c r="J236" s="1" t="str">
        <f>VLOOKUP(Table1[[#This Row],[Name]],MountsByName[],9,FALSE)</f>
        <v>Champion's Seals</v>
      </c>
      <c r="K236" s="1">
        <f>VLOOKUP(Table1[[#This Row],[Name]],MountsByName[],10,FALSE)</f>
        <v>0</v>
      </c>
      <c r="L236" s="1">
        <f>VLOOKUP(Table1[[#This Row],[Name]],MountsByName[],11,FALSE)</f>
        <v>1</v>
      </c>
      <c r="M236" s="1">
        <f>VLOOKUP(Table1[[#This Row],[Name]],MountsByName[],12,FALSE)</f>
        <v>1</v>
      </c>
      <c r="N23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[65641] ={"Great Golden Kodo", 65641, 46755, 1, 1, 0, "Kodo", "Champion's Seals", 1, 0},</v>
      </c>
    </row>
    <row r="237" spans="1:14" x14ac:dyDescent="0.35">
      <c r="A237" s="2">
        <v>69820</v>
      </c>
      <c r="B237" t="s">
        <v>520</v>
      </c>
      <c r="C237" s="1" t="str">
        <f>VLOOKUP(Table1[[#This Row],[Name]],MountsByName[],2,FALSE)</f>
        <v>Kodo</v>
      </c>
      <c r="D237" s="1">
        <f>VLOOKUP(Table1[[#This Row],[Name]],MountsByName[],3,FALSE)</f>
        <v>1</v>
      </c>
      <c r="E237" s="1">
        <f>VLOOKUP(Table1[[#This Row],[Name]],MountsByName[],4,FALSE)</f>
        <v>1</v>
      </c>
      <c r="F237" s="1">
        <f>VLOOKUP(Table1[[#This Row],[Name]],MountsByName[],5,FALSE)</f>
        <v>0</v>
      </c>
      <c r="G237" s="1">
        <f>VLOOKUP(Table1[[#This Row],[Name]],MountsByName[],6,FALSE)</f>
        <v>1</v>
      </c>
      <c r="H237" s="1">
        <f>VLOOKUP(Table1[[#This Row],[Name]],MountsByName[],7,FALSE)</f>
        <v>0</v>
      </c>
      <c r="I237" s="1">
        <f>VLOOKUP(Table1[[#This Row],[Name]],MountsByName[],8,FALSE)</f>
        <v>0</v>
      </c>
      <c r="J237" s="1">
        <f>VLOOKUP(Table1[[#This Row],[Name]],MountsByName[],9,FALSE)</f>
        <v>0</v>
      </c>
      <c r="K237" s="1">
        <f>VLOOKUP(Table1[[#This Row],[Name]],MountsByName[],10,FALSE)</f>
        <v>0</v>
      </c>
      <c r="L237" s="1">
        <f>VLOOKUP(Table1[[#This Row],[Name]],MountsByName[],11,FALSE)</f>
        <v>0</v>
      </c>
      <c r="M237" s="1">
        <f>VLOOKUP(Table1[[#This Row],[Name]],MountsByName[],12,FALSE)</f>
        <v>1</v>
      </c>
      <c r="N23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[69820] ={"Summon Sunwalker Kodo", 69820, 0, 1, 1, 0, "Kodo", "0", 1, 0},</v>
      </c>
    </row>
    <row r="238" spans="1:14" x14ac:dyDescent="0.35">
      <c r="A238" s="2">
        <v>69826</v>
      </c>
      <c r="B238" t="s">
        <v>469</v>
      </c>
      <c r="C238" s="1" t="str">
        <f>VLOOKUP(Table1[[#This Row],[Name]],MountsByName[],2,FALSE)</f>
        <v>Kodo</v>
      </c>
      <c r="D238" s="1">
        <f>VLOOKUP(Table1[[#This Row],[Name]],MountsByName[],3,FALSE)</f>
        <v>1</v>
      </c>
      <c r="E238" s="1">
        <f>VLOOKUP(Table1[[#This Row],[Name]],MountsByName[],4,FALSE)</f>
        <v>1</v>
      </c>
      <c r="F238" s="1">
        <f>VLOOKUP(Table1[[#This Row],[Name]],MountsByName[],5,FALSE)</f>
        <v>0</v>
      </c>
      <c r="G238" s="1">
        <f>VLOOKUP(Table1[[#This Row],[Name]],MountsByName[],6,FALSE)</f>
        <v>1</v>
      </c>
      <c r="H238" s="1">
        <f>VLOOKUP(Table1[[#This Row],[Name]],MountsByName[],7,FALSE)</f>
        <v>0</v>
      </c>
      <c r="I238" s="1">
        <f>VLOOKUP(Table1[[#This Row],[Name]],MountsByName[],8,FALSE)</f>
        <v>0</v>
      </c>
      <c r="J238" s="1">
        <f>VLOOKUP(Table1[[#This Row],[Name]],MountsByName[],9,FALSE)</f>
        <v>0</v>
      </c>
      <c r="K238" s="1">
        <f>VLOOKUP(Table1[[#This Row],[Name]],MountsByName[],10,FALSE)</f>
        <v>0</v>
      </c>
      <c r="L238" s="1">
        <f>VLOOKUP(Table1[[#This Row],[Name]],MountsByName[],11,FALSE)</f>
        <v>0</v>
      </c>
      <c r="M238" s="1">
        <f>VLOOKUP(Table1[[#This Row],[Name]],MountsByName[],12,FALSE)</f>
        <v>1</v>
      </c>
      <c r="N23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[69826] ={"Summon Great Sunwalker Kodo", 69826, 0, 1, 1, 0, "Kodo", "0", 1, 0},</v>
      </c>
    </row>
    <row r="239" spans="1:14" x14ac:dyDescent="0.35">
      <c r="A239" s="2">
        <v>90621</v>
      </c>
      <c r="B239" t="s">
        <v>527</v>
      </c>
      <c r="C239" s="1" t="str">
        <f>VLOOKUP(Table1[[#This Row],[Name]],MountsByName[],2,FALSE)</f>
        <v>Lion</v>
      </c>
      <c r="D239" s="1">
        <f>VLOOKUP(Table1[[#This Row],[Name]],MountsByName[],3,FALSE)</f>
        <v>1</v>
      </c>
      <c r="E239" s="1">
        <f>VLOOKUP(Table1[[#This Row],[Name]],MountsByName[],4,FALSE)</f>
        <v>1</v>
      </c>
      <c r="F239" s="1">
        <f>VLOOKUP(Table1[[#This Row],[Name]],MountsByName[],5,FALSE)</f>
        <v>0</v>
      </c>
      <c r="G239" s="1">
        <f>VLOOKUP(Table1[[#This Row],[Name]],MountsByName[],6,FALSE)</f>
        <v>1</v>
      </c>
      <c r="H239" s="1">
        <f>VLOOKUP(Table1[[#This Row],[Name]],MountsByName[],7,FALSE)</f>
        <v>0</v>
      </c>
      <c r="I239" s="1">
        <f>VLOOKUP(Table1[[#This Row],[Name]],MountsByName[],8,FALSE)</f>
        <v>0</v>
      </c>
      <c r="J239" s="1">
        <f>VLOOKUP(Table1[[#This Row],[Name]],MountsByName[],9,FALSE)</f>
        <v>0</v>
      </c>
      <c r="K239" s="1">
        <f>VLOOKUP(Table1[[#This Row],[Name]],MountsByName[],10,FALSE)</f>
        <v>0</v>
      </c>
      <c r="L239" s="1">
        <f>VLOOKUP(Table1[[#This Row],[Name]],MountsByName[],11,FALSE)</f>
        <v>0</v>
      </c>
      <c r="M239" s="1">
        <f>VLOOKUP(Table1[[#This Row],[Name]],MountsByName[],12,FALSE)</f>
        <v>1</v>
      </c>
      <c r="N23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[90621] ={"Golden King", 90621, 0, 1, 1, 0, "Lion", "0", 1, 0},</v>
      </c>
    </row>
    <row r="240" spans="1:14" x14ac:dyDescent="0.35">
      <c r="A240" s="2">
        <v>44151</v>
      </c>
      <c r="B240" t="s">
        <v>69</v>
      </c>
      <c r="C240" s="1" t="str">
        <f>VLOOKUP(Table1[[#This Row],[Name]],MountsByName[],2,FALSE)</f>
        <v>Machine</v>
      </c>
      <c r="D240" s="1">
        <f>VLOOKUP(Table1[[#This Row],[Name]],MountsByName[],3,FALSE)</f>
        <v>2.8</v>
      </c>
      <c r="E240" s="1">
        <f>VLOOKUP(Table1[[#This Row],[Name]],MountsByName[],4,FALSE)</f>
        <v>2.8</v>
      </c>
      <c r="F240" s="1">
        <f>VLOOKUP(Table1[[#This Row],[Name]],MountsByName[],5,FALSE)</f>
        <v>0</v>
      </c>
      <c r="G240" s="1">
        <f>VLOOKUP(Table1[[#This Row],[Name]],MountsByName[],6,FALSE)</f>
        <v>1</v>
      </c>
      <c r="H240" s="1">
        <f>VLOOKUP(Table1[[#This Row],[Name]],MountsByName[],7,FALSE)</f>
        <v>0</v>
      </c>
      <c r="I240" s="1">
        <f>VLOOKUP(Table1[[#This Row],[Name]],MountsByName[],8,FALSE)</f>
        <v>34061</v>
      </c>
      <c r="J240" s="1" t="str">
        <f>VLOOKUP(Table1[[#This Row],[Name]],MountsByName[],9,FALSE)</f>
        <v>Engineering</v>
      </c>
      <c r="K240" s="1">
        <f>VLOOKUP(Table1[[#This Row],[Name]],MountsByName[],10,FALSE)</f>
        <v>1</v>
      </c>
      <c r="L240" s="1">
        <f>VLOOKUP(Table1[[#This Row],[Name]],MountsByName[],11,FALSE)</f>
        <v>1</v>
      </c>
      <c r="M240" s="1">
        <f>VLOOKUP(Table1[[#This Row],[Name]],MountsByName[],12,FALSE)</f>
        <v>1</v>
      </c>
      <c r="N24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[44151] ={"Turbo-Charged Flying Machine", 44151, 34061, 2.8, 2.8, 0, "Machine", "Engineering", 1, 0},</v>
      </c>
    </row>
    <row r="241" spans="1:14" x14ac:dyDescent="0.35">
      <c r="A241" s="2">
        <v>44153</v>
      </c>
      <c r="B241" t="s">
        <v>27</v>
      </c>
      <c r="C241" s="1" t="str">
        <f>VLOOKUP(Table1[[#This Row],[Name]],MountsByName[],2,FALSE)</f>
        <v>Machine</v>
      </c>
      <c r="D241" s="1">
        <f>VLOOKUP(Table1[[#This Row],[Name]],MountsByName[],3,FALSE)</f>
        <v>1.5</v>
      </c>
      <c r="E241" s="1">
        <f>VLOOKUP(Table1[[#This Row],[Name]],MountsByName[],4,FALSE)</f>
        <v>1.5</v>
      </c>
      <c r="F241" s="1">
        <f>VLOOKUP(Table1[[#This Row],[Name]],MountsByName[],5,FALSE)</f>
        <v>0</v>
      </c>
      <c r="G241" s="1">
        <f>VLOOKUP(Table1[[#This Row],[Name]],MountsByName[],6,FALSE)</f>
        <v>1</v>
      </c>
      <c r="H241" s="1">
        <f>VLOOKUP(Table1[[#This Row],[Name]],MountsByName[],7,FALSE)</f>
        <v>0</v>
      </c>
      <c r="I241" s="1">
        <f>VLOOKUP(Table1[[#This Row],[Name]],MountsByName[],8,FALSE)</f>
        <v>34060</v>
      </c>
      <c r="J241" s="1" t="str">
        <f>VLOOKUP(Table1[[#This Row],[Name]],MountsByName[],9,FALSE)</f>
        <v>Engineering</v>
      </c>
      <c r="K241" s="1">
        <f>VLOOKUP(Table1[[#This Row],[Name]],MountsByName[],10,FALSE)</f>
        <v>1</v>
      </c>
      <c r="L241" s="1">
        <f>VLOOKUP(Table1[[#This Row],[Name]],MountsByName[],11,FALSE)</f>
        <v>1</v>
      </c>
      <c r="M241" s="1">
        <f>VLOOKUP(Table1[[#This Row],[Name]],MountsByName[],12,FALSE)</f>
        <v>1</v>
      </c>
      <c r="N241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[44153] ={"Flying Machine", 44153, 34060, 1.5, 1.5, 0, "Machine", "Engineering", 1, 0},</v>
      </c>
    </row>
    <row r="242" spans="1:14" x14ac:dyDescent="0.35">
      <c r="A242" s="2">
        <v>55531</v>
      </c>
      <c r="B242" t="s">
        <v>425</v>
      </c>
      <c r="C242" s="1" t="str">
        <f>VLOOKUP(Table1[[#This Row],[Name]],MountsByName[],2,FALSE)</f>
        <v>Machine</v>
      </c>
      <c r="D242" s="1">
        <f>VLOOKUP(Table1[[#This Row],[Name]],MountsByName[],3,FALSE)</f>
        <v>1</v>
      </c>
      <c r="E242" s="1">
        <f>VLOOKUP(Table1[[#This Row],[Name]],MountsByName[],4,FALSE)</f>
        <v>1</v>
      </c>
      <c r="F242" s="1">
        <f>VLOOKUP(Table1[[#This Row],[Name]],MountsByName[],5,FALSE)</f>
        <v>0</v>
      </c>
      <c r="G242" s="1">
        <f>VLOOKUP(Table1[[#This Row],[Name]],MountsByName[],6,FALSE)</f>
        <v>1</v>
      </c>
      <c r="H242" s="1">
        <f>VLOOKUP(Table1[[#This Row],[Name]],MountsByName[],7,FALSE)</f>
        <v>0</v>
      </c>
      <c r="I242" s="1">
        <f>VLOOKUP(Table1[[#This Row],[Name]],MountsByName[],8,FALSE)</f>
        <v>41508</v>
      </c>
      <c r="J242" s="1" t="str">
        <f>VLOOKUP(Table1[[#This Row],[Name]],MountsByName[],9,FALSE)</f>
        <v>Engineering</v>
      </c>
      <c r="K242" s="1">
        <f>VLOOKUP(Table1[[#This Row],[Name]],MountsByName[],10,FALSE)</f>
        <v>0</v>
      </c>
      <c r="L242" s="1">
        <f>VLOOKUP(Table1[[#This Row],[Name]],MountsByName[],11,FALSE)</f>
        <v>1</v>
      </c>
      <c r="M242" s="1">
        <f>VLOOKUP(Table1[[#This Row],[Name]],MountsByName[],12,FALSE)</f>
        <v>1</v>
      </c>
      <c r="N24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[55531] ={"Mechano-Hog", 55531, 41508, 1, 1, 0, "Machine", "Engineering", 1, 0},</v>
      </c>
    </row>
    <row r="243" spans="1:14" x14ac:dyDescent="0.35">
      <c r="A243" s="2">
        <v>60424</v>
      </c>
      <c r="B243" t="s">
        <v>172</v>
      </c>
      <c r="C243" s="1" t="str">
        <f>VLOOKUP(Table1[[#This Row],[Name]],MountsByName[],2,FALSE)</f>
        <v>Machine</v>
      </c>
      <c r="D243" s="1">
        <f>VLOOKUP(Table1[[#This Row],[Name]],MountsByName[],3,FALSE)</f>
        <v>1</v>
      </c>
      <c r="E243" s="1">
        <f>VLOOKUP(Table1[[#This Row],[Name]],MountsByName[],4,FALSE)</f>
        <v>1</v>
      </c>
      <c r="F243" s="1">
        <f>VLOOKUP(Table1[[#This Row],[Name]],MountsByName[],5,FALSE)</f>
        <v>0</v>
      </c>
      <c r="G243" s="1">
        <f>VLOOKUP(Table1[[#This Row],[Name]],MountsByName[],6,FALSE)</f>
        <v>1</v>
      </c>
      <c r="H243" s="1">
        <f>VLOOKUP(Table1[[#This Row],[Name]],MountsByName[],7,FALSE)</f>
        <v>0</v>
      </c>
      <c r="I243" s="1">
        <f>VLOOKUP(Table1[[#This Row],[Name]],MountsByName[],8,FALSE)</f>
        <v>44413</v>
      </c>
      <c r="J243" s="1" t="str">
        <f>VLOOKUP(Table1[[#This Row],[Name]],MountsByName[],9,FALSE)</f>
        <v>Engineering</v>
      </c>
      <c r="K243" s="1">
        <f>VLOOKUP(Table1[[#This Row],[Name]],MountsByName[],10,FALSE)</f>
        <v>1</v>
      </c>
      <c r="L243" s="1">
        <f>VLOOKUP(Table1[[#This Row],[Name]],MountsByName[],11,FALSE)</f>
        <v>0</v>
      </c>
      <c r="M243" s="1">
        <f>VLOOKUP(Table1[[#This Row],[Name]],MountsByName[],12,FALSE)</f>
        <v>1</v>
      </c>
      <c r="N24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[60424] ={"Mekgineer's Chopper", 60424, 44413, 1, 1, 0, "Machine", "Engineering", 1, 0},</v>
      </c>
    </row>
    <row r="244" spans="1:14" x14ac:dyDescent="0.35">
      <c r="A244" s="2">
        <v>63796</v>
      </c>
      <c r="B244" t="s">
        <v>40</v>
      </c>
      <c r="C244" s="1" t="str">
        <f>VLOOKUP(Table1[[#This Row],[Name]],MountsByName[],2,FALSE)</f>
        <v>Machine</v>
      </c>
      <c r="D244" s="1">
        <f>VLOOKUP(Table1[[#This Row],[Name]],MountsByName[],3,FALSE)</f>
        <v>3.1</v>
      </c>
      <c r="E244" s="1">
        <f>VLOOKUP(Table1[[#This Row],[Name]],MountsByName[],4,FALSE)</f>
        <v>3.1</v>
      </c>
      <c r="F244" s="1">
        <f>VLOOKUP(Table1[[#This Row],[Name]],MountsByName[],5,FALSE)</f>
        <v>0</v>
      </c>
      <c r="G244" s="1">
        <f>VLOOKUP(Table1[[#This Row],[Name]],MountsByName[],6,FALSE)</f>
        <v>1</v>
      </c>
      <c r="H244" s="1">
        <f>VLOOKUP(Table1[[#This Row],[Name]],MountsByName[],7,FALSE)</f>
        <v>0</v>
      </c>
      <c r="I244" s="1">
        <f>VLOOKUP(Table1[[#This Row],[Name]],MountsByName[],8,FALSE)</f>
        <v>45693</v>
      </c>
      <c r="J244" s="1" t="str">
        <f>VLOOKUP(Table1[[#This Row],[Name]],MountsByName[],9,FALSE)</f>
        <v>Drop Ulduar</v>
      </c>
      <c r="K244" s="1">
        <f>VLOOKUP(Table1[[#This Row],[Name]],MountsByName[],10,FALSE)</f>
        <v>1</v>
      </c>
      <c r="L244" s="1">
        <f>VLOOKUP(Table1[[#This Row],[Name]],MountsByName[],11,FALSE)</f>
        <v>1</v>
      </c>
      <c r="M244" s="1">
        <f>VLOOKUP(Table1[[#This Row],[Name]],MountsByName[],12,FALSE)</f>
        <v>1</v>
      </c>
      <c r="N24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[63796] ={"Mimiron's Head", 63796, 45693, 3.1, 3.1, 0, "Machine", "Drop Ulduar", 1, 0},</v>
      </c>
    </row>
    <row r="245" spans="1:14" x14ac:dyDescent="0.35">
      <c r="A245" s="2">
        <v>59785</v>
      </c>
      <c r="B245" t="s">
        <v>99</v>
      </c>
      <c r="C245" s="1" t="str">
        <f>VLOOKUP(Table1[[#This Row],[Name]],MountsByName[],2,FALSE)</f>
        <v>Mammoth</v>
      </c>
      <c r="D245" s="1">
        <f>VLOOKUP(Table1[[#This Row],[Name]],MountsByName[],3,FALSE)</f>
        <v>1</v>
      </c>
      <c r="E245" s="1">
        <f>VLOOKUP(Table1[[#This Row],[Name]],MountsByName[],4,FALSE)</f>
        <v>1</v>
      </c>
      <c r="F245" s="1">
        <f>VLOOKUP(Table1[[#This Row],[Name]],MountsByName[],5,FALSE)</f>
        <v>0</v>
      </c>
      <c r="G245" s="1">
        <f>VLOOKUP(Table1[[#This Row],[Name]],MountsByName[],6,FALSE)</f>
        <v>1</v>
      </c>
      <c r="H245" s="1">
        <f>VLOOKUP(Table1[[#This Row],[Name]],MountsByName[],7,FALSE)</f>
        <v>0</v>
      </c>
      <c r="I245" s="1">
        <f>VLOOKUP(Table1[[#This Row],[Name]],MountsByName[],8,FALSE)</f>
        <v>44077</v>
      </c>
      <c r="J245" s="1" t="str">
        <f>VLOOKUP(Table1[[#This Row],[Name]],MountsByName[],9,FALSE)</f>
        <v>Stone Keeper's Shard</v>
      </c>
      <c r="K245" s="1">
        <f>VLOOKUP(Table1[[#This Row],[Name]],MountsByName[],10,FALSE)</f>
        <v>0</v>
      </c>
      <c r="L245" s="1">
        <f>VLOOKUP(Table1[[#This Row],[Name]],MountsByName[],11,FALSE)</f>
        <v>1</v>
      </c>
      <c r="M245" s="1">
        <f>VLOOKUP(Table1[[#This Row],[Name]],MountsByName[],12,FALSE)</f>
        <v>1</v>
      </c>
      <c r="N24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[59785] ={"Black War Mammoth", 59785, 44077, 1, 1, 0, "Mammoth", "Stone Keeper's Shard", 1, 0},</v>
      </c>
    </row>
    <row r="246" spans="1:14" x14ac:dyDescent="0.35">
      <c r="A246" s="2">
        <v>59788</v>
      </c>
      <c r="B246" t="s">
        <v>99</v>
      </c>
      <c r="C246" s="1" t="str">
        <f>VLOOKUP(Table1[[#This Row],[Name]],MountsByName[],2,FALSE)</f>
        <v>Mammoth</v>
      </c>
      <c r="D246" s="1">
        <f>VLOOKUP(Table1[[#This Row],[Name]],MountsByName[],3,FALSE)</f>
        <v>1</v>
      </c>
      <c r="E246" s="1">
        <f>VLOOKUP(Table1[[#This Row],[Name]],MountsByName[],4,FALSE)</f>
        <v>1</v>
      </c>
      <c r="F246" s="1">
        <f>VLOOKUP(Table1[[#This Row],[Name]],MountsByName[],5,FALSE)</f>
        <v>0</v>
      </c>
      <c r="G246" s="1">
        <f>VLOOKUP(Table1[[#This Row],[Name]],MountsByName[],6,FALSE)</f>
        <v>1</v>
      </c>
      <c r="H246" s="1">
        <f>VLOOKUP(Table1[[#This Row],[Name]],MountsByName[],7,FALSE)</f>
        <v>0</v>
      </c>
      <c r="I246" s="1">
        <f>VLOOKUP(Table1[[#This Row],[Name]],MountsByName[],8,FALSE)</f>
        <v>44077</v>
      </c>
      <c r="J246" s="1" t="str">
        <f>VLOOKUP(Table1[[#This Row],[Name]],MountsByName[],9,FALSE)</f>
        <v>Stone Keeper's Shard</v>
      </c>
      <c r="K246" s="1">
        <f>VLOOKUP(Table1[[#This Row],[Name]],MountsByName[],10,FALSE)</f>
        <v>0</v>
      </c>
      <c r="L246" s="1">
        <f>VLOOKUP(Table1[[#This Row],[Name]],MountsByName[],11,FALSE)</f>
        <v>1</v>
      </c>
      <c r="M246" s="1">
        <f>VLOOKUP(Table1[[#This Row],[Name]],MountsByName[],12,FALSE)</f>
        <v>1</v>
      </c>
      <c r="N24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[59788] ={"Black War Mammoth", 59788, 44077, 1, 1, 0, "Mammoth", "Stone Keeper's Shard", 1, 0},</v>
      </c>
    </row>
    <row r="247" spans="1:14" x14ac:dyDescent="0.35">
      <c r="A247" s="2">
        <v>59791</v>
      </c>
      <c r="B247" t="s">
        <v>273</v>
      </c>
      <c r="C247" s="1" t="str">
        <f>VLOOKUP(Table1[[#This Row],[Name]],MountsByName[],2,FALSE)</f>
        <v>Mammoth</v>
      </c>
      <c r="D247" s="1">
        <f>VLOOKUP(Table1[[#This Row],[Name]],MountsByName[],3,FALSE)</f>
        <v>1</v>
      </c>
      <c r="E247" s="1">
        <f>VLOOKUP(Table1[[#This Row],[Name]],MountsByName[],4,FALSE)</f>
        <v>1</v>
      </c>
      <c r="F247" s="1">
        <f>VLOOKUP(Table1[[#This Row],[Name]],MountsByName[],5,FALSE)</f>
        <v>0</v>
      </c>
      <c r="G247" s="1">
        <f>VLOOKUP(Table1[[#This Row],[Name]],MountsByName[],6,FALSE)</f>
        <v>1</v>
      </c>
      <c r="H247" s="1">
        <f>VLOOKUP(Table1[[#This Row],[Name]],MountsByName[],7,FALSE)</f>
        <v>0</v>
      </c>
      <c r="I247" s="1">
        <f>VLOOKUP(Table1[[#This Row],[Name]],MountsByName[],8,FALSE)</f>
        <v>44231</v>
      </c>
      <c r="J247" s="1" t="str">
        <f>VLOOKUP(Table1[[#This Row],[Name]],MountsByName[],9,FALSE)</f>
        <v>Embelm of Heroism</v>
      </c>
      <c r="K247" s="1">
        <f>VLOOKUP(Table1[[#This Row],[Name]],MountsByName[],10,FALSE)</f>
        <v>0</v>
      </c>
      <c r="L247" s="1">
        <f>VLOOKUP(Table1[[#This Row],[Name]],MountsByName[],11,FALSE)</f>
        <v>1</v>
      </c>
      <c r="M247" s="1">
        <f>VLOOKUP(Table1[[#This Row],[Name]],MountsByName[],12,FALSE)</f>
        <v>1</v>
      </c>
      <c r="N24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[59791] ={"Wooly Mammoth", 59791, 44231, 1, 1, 0, "Mammoth", "Embelm of Heroism", 1, 0},</v>
      </c>
    </row>
    <row r="248" spans="1:14" x14ac:dyDescent="0.35">
      <c r="A248" s="2">
        <v>59793</v>
      </c>
      <c r="B248" t="s">
        <v>273</v>
      </c>
      <c r="C248" s="1" t="str">
        <f>VLOOKUP(Table1[[#This Row],[Name]],MountsByName[],2,FALSE)</f>
        <v>Mammoth</v>
      </c>
      <c r="D248" s="1">
        <f>VLOOKUP(Table1[[#This Row],[Name]],MountsByName[],3,FALSE)</f>
        <v>1</v>
      </c>
      <c r="E248" s="1">
        <f>VLOOKUP(Table1[[#This Row],[Name]],MountsByName[],4,FALSE)</f>
        <v>1</v>
      </c>
      <c r="F248" s="1">
        <f>VLOOKUP(Table1[[#This Row],[Name]],MountsByName[],5,FALSE)</f>
        <v>0</v>
      </c>
      <c r="G248" s="1">
        <f>VLOOKUP(Table1[[#This Row],[Name]],MountsByName[],6,FALSE)</f>
        <v>1</v>
      </c>
      <c r="H248" s="1">
        <f>VLOOKUP(Table1[[#This Row],[Name]],MountsByName[],7,FALSE)</f>
        <v>0</v>
      </c>
      <c r="I248" s="1">
        <f>VLOOKUP(Table1[[#This Row],[Name]],MountsByName[],8,FALSE)</f>
        <v>44231</v>
      </c>
      <c r="J248" s="1" t="str">
        <f>VLOOKUP(Table1[[#This Row],[Name]],MountsByName[],9,FALSE)</f>
        <v>Embelm of Heroism</v>
      </c>
      <c r="K248" s="1">
        <f>VLOOKUP(Table1[[#This Row],[Name]],MountsByName[],10,FALSE)</f>
        <v>0</v>
      </c>
      <c r="L248" s="1">
        <f>VLOOKUP(Table1[[#This Row],[Name]],MountsByName[],11,FALSE)</f>
        <v>1</v>
      </c>
      <c r="M248" s="1">
        <f>VLOOKUP(Table1[[#This Row],[Name]],MountsByName[],12,FALSE)</f>
        <v>1</v>
      </c>
      <c r="N24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[59793] ={"Wooly Mammoth", 59793, 44231, 1, 1, 0, "Mammoth", "Embelm of Heroism", 1, 0},</v>
      </c>
    </row>
    <row r="249" spans="1:14" x14ac:dyDescent="0.35">
      <c r="A249" s="2">
        <v>59797</v>
      </c>
      <c r="B249" t="s">
        <v>166</v>
      </c>
      <c r="C249" s="1" t="str">
        <f>VLOOKUP(Table1[[#This Row],[Name]],MountsByName[],2,FALSE)</f>
        <v>Mammoth</v>
      </c>
      <c r="D249" s="1">
        <f>VLOOKUP(Table1[[#This Row],[Name]],MountsByName[],3,FALSE)</f>
        <v>1</v>
      </c>
      <c r="E249" s="1">
        <f>VLOOKUP(Table1[[#This Row],[Name]],MountsByName[],4,FALSE)</f>
        <v>1</v>
      </c>
      <c r="F249" s="1">
        <f>VLOOKUP(Table1[[#This Row],[Name]],MountsByName[],5,FALSE)</f>
        <v>0</v>
      </c>
      <c r="G249" s="1">
        <f>VLOOKUP(Table1[[#This Row],[Name]],MountsByName[],6,FALSE)</f>
        <v>1</v>
      </c>
      <c r="H249" s="1">
        <f>VLOOKUP(Table1[[#This Row],[Name]],MountsByName[],7,FALSE)</f>
        <v>0</v>
      </c>
      <c r="I249" s="1">
        <f>VLOOKUP(Table1[[#This Row],[Name]],MountsByName[],8,FALSE)</f>
        <v>44080</v>
      </c>
      <c r="J249" s="1" t="str">
        <f>VLOOKUP(Table1[[#This Row],[Name]],MountsByName[],9,FALSE)</f>
        <v>Revered Sons of Hodir</v>
      </c>
      <c r="K249" s="1">
        <f>VLOOKUP(Table1[[#This Row],[Name]],MountsByName[],10,FALSE)</f>
        <v>0</v>
      </c>
      <c r="L249" s="1">
        <f>VLOOKUP(Table1[[#This Row],[Name]],MountsByName[],11,FALSE)</f>
        <v>1</v>
      </c>
      <c r="M249" s="1">
        <f>VLOOKUP(Table1[[#This Row],[Name]],MountsByName[],12,FALSE)</f>
        <v>1</v>
      </c>
      <c r="N24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[59797] ={"Ice Mammoth", 59797, 44080, 1, 1, 0, "Mammoth", "Revered Sons of Hodir", 1, 0},</v>
      </c>
    </row>
    <row r="250" spans="1:14" x14ac:dyDescent="0.35">
      <c r="A250" s="2">
        <v>59799</v>
      </c>
      <c r="B250" t="s">
        <v>166</v>
      </c>
      <c r="C250" s="1" t="str">
        <f>VLOOKUP(Table1[[#This Row],[Name]],MountsByName[],2,FALSE)</f>
        <v>Mammoth</v>
      </c>
      <c r="D250" s="1">
        <f>VLOOKUP(Table1[[#This Row],[Name]],MountsByName[],3,FALSE)</f>
        <v>1</v>
      </c>
      <c r="E250" s="1">
        <f>VLOOKUP(Table1[[#This Row],[Name]],MountsByName[],4,FALSE)</f>
        <v>1</v>
      </c>
      <c r="F250" s="1">
        <f>VLOOKUP(Table1[[#This Row],[Name]],MountsByName[],5,FALSE)</f>
        <v>0</v>
      </c>
      <c r="G250" s="1">
        <f>VLOOKUP(Table1[[#This Row],[Name]],MountsByName[],6,FALSE)</f>
        <v>1</v>
      </c>
      <c r="H250" s="1">
        <f>VLOOKUP(Table1[[#This Row],[Name]],MountsByName[],7,FALSE)</f>
        <v>0</v>
      </c>
      <c r="I250" s="1">
        <f>VLOOKUP(Table1[[#This Row],[Name]],MountsByName[],8,FALSE)</f>
        <v>44080</v>
      </c>
      <c r="J250" s="1" t="str">
        <f>VLOOKUP(Table1[[#This Row],[Name]],MountsByName[],9,FALSE)</f>
        <v>Revered Sons of Hodir</v>
      </c>
      <c r="K250" s="1">
        <f>VLOOKUP(Table1[[#This Row],[Name]],MountsByName[],10,FALSE)</f>
        <v>0</v>
      </c>
      <c r="L250" s="1">
        <f>VLOOKUP(Table1[[#This Row],[Name]],MountsByName[],11,FALSE)</f>
        <v>1</v>
      </c>
      <c r="M250" s="1">
        <f>VLOOKUP(Table1[[#This Row],[Name]],MountsByName[],12,FALSE)</f>
        <v>1</v>
      </c>
      <c r="N25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[59799] ={"Ice Mammoth", 59799, 44080, 1, 1, 0, "Mammoth", "Revered Sons of Hodir", 1, 0},</v>
      </c>
    </row>
    <row r="251" spans="1:14" x14ac:dyDescent="0.35">
      <c r="A251" s="2">
        <v>60136</v>
      </c>
      <c r="B251" t="s">
        <v>146</v>
      </c>
      <c r="C251" s="1" t="str">
        <f>VLOOKUP(Table1[[#This Row],[Name]],MountsByName[],2,FALSE)</f>
        <v>Mammoth</v>
      </c>
      <c r="D251" s="1">
        <f>VLOOKUP(Table1[[#This Row],[Name]],MountsByName[],3,FALSE)</f>
        <v>1</v>
      </c>
      <c r="E251" s="1">
        <f>VLOOKUP(Table1[[#This Row],[Name]],MountsByName[],4,FALSE)</f>
        <v>1</v>
      </c>
      <c r="F251" s="1">
        <f>VLOOKUP(Table1[[#This Row],[Name]],MountsByName[],5,FALSE)</f>
        <v>0</v>
      </c>
      <c r="G251" s="1">
        <f>VLOOKUP(Table1[[#This Row],[Name]],MountsByName[],6,FALSE)</f>
        <v>1</v>
      </c>
      <c r="H251" s="1">
        <f>VLOOKUP(Table1[[#This Row],[Name]],MountsByName[],7,FALSE)</f>
        <v>0</v>
      </c>
      <c r="I251" s="1">
        <f>VLOOKUP(Table1[[#This Row],[Name]],MountsByName[],8,FALSE)</f>
        <v>0</v>
      </c>
      <c r="J251" s="1" t="str">
        <f>VLOOKUP(Table1[[#This Row],[Name]],MountsByName[],9,FALSE)</f>
        <v>removed</v>
      </c>
      <c r="K251" s="1">
        <f>VLOOKUP(Table1[[#This Row],[Name]],MountsByName[],10,FALSE)</f>
        <v>1</v>
      </c>
      <c r="L251" s="1">
        <f>VLOOKUP(Table1[[#This Row],[Name]],MountsByName[],11,FALSE)</f>
        <v>1</v>
      </c>
      <c r="M251" s="1">
        <f>VLOOKUP(Table1[[#This Row],[Name]],MountsByName[],12,FALSE)</f>
        <v>1</v>
      </c>
      <c r="N251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[60136] ={"Grand Caravan Mammoth", 60136, 0, 1, 1, 0, "Mammoth", "removed", 1, 0},</v>
      </c>
    </row>
    <row r="252" spans="1:14" x14ac:dyDescent="0.35">
      <c r="A252" s="2">
        <v>60140</v>
      </c>
      <c r="B252" t="s">
        <v>146</v>
      </c>
      <c r="C252" s="1" t="str">
        <f>VLOOKUP(Table1[[#This Row],[Name]],MountsByName[],2,FALSE)</f>
        <v>Mammoth</v>
      </c>
      <c r="D252" s="1">
        <f>VLOOKUP(Table1[[#This Row],[Name]],MountsByName[],3,FALSE)</f>
        <v>1</v>
      </c>
      <c r="E252" s="1">
        <f>VLOOKUP(Table1[[#This Row],[Name]],MountsByName[],4,FALSE)</f>
        <v>1</v>
      </c>
      <c r="F252" s="1">
        <f>VLOOKUP(Table1[[#This Row],[Name]],MountsByName[],5,FALSE)</f>
        <v>0</v>
      </c>
      <c r="G252" s="1">
        <f>VLOOKUP(Table1[[#This Row],[Name]],MountsByName[],6,FALSE)</f>
        <v>1</v>
      </c>
      <c r="H252" s="1">
        <f>VLOOKUP(Table1[[#This Row],[Name]],MountsByName[],7,FALSE)</f>
        <v>0</v>
      </c>
      <c r="I252" s="1">
        <f>VLOOKUP(Table1[[#This Row],[Name]],MountsByName[],8,FALSE)</f>
        <v>0</v>
      </c>
      <c r="J252" s="1" t="str">
        <f>VLOOKUP(Table1[[#This Row],[Name]],MountsByName[],9,FALSE)</f>
        <v>removed</v>
      </c>
      <c r="K252" s="1">
        <f>VLOOKUP(Table1[[#This Row],[Name]],MountsByName[],10,FALSE)</f>
        <v>1</v>
      </c>
      <c r="L252" s="1">
        <f>VLOOKUP(Table1[[#This Row],[Name]],MountsByName[],11,FALSE)</f>
        <v>1</v>
      </c>
      <c r="M252" s="1">
        <f>VLOOKUP(Table1[[#This Row],[Name]],MountsByName[],12,FALSE)</f>
        <v>1</v>
      </c>
      <c r="N25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[60140] ={"Grand Caravan Mammoth", 60140, 0, 1, 1, 0, "Mammoth", "removed", 1, 0},</v>
      </c>
    </row>
    <row r="253" spans="1:14" x14ac:dyDescent="0.35">
      <c r="A253" s="2">
        <v>61425</v>
      </c>
      <c r="B253" t="s">
        <v>256</v>
      </c>
      <c r="C253" s="1" t="str">
        <f>VLOOKUP(Table1[[#This Row],[Name]],MountsByName[],2,FALSE)</f>
        <v>Mammoth</v>
      </c>
      <c r="D253" s="1">
        <f>VLOOKUP(Table1[[#This Row],[Name]],MountsByName[],3,FALSE)</f>
        <v>1</v>
      </c>
      <c r="E253" s="1">
        <f>VLOOKUP(Table1[[#This Row],[Name]],MountsByName[],4,FALSE)</f>
        <v>1</v>
      </c>
      <c r="F253" s="1">
        <f>VLOOKUP(Table1[[#This Row],[Name]],MountsByName[],5,FALSE)</f>
        <v>0</v>
      </c>
      <c r="G253" s="1">
        <f>VLOOKUP(Table1[[#This Row],[Name]],MountsByName[],6,FALSE)</f>
        <v>1</v>
      </c>
      <c r="H253" s="1">
        <f>VLOOKUP(Table1[[#This Row],[Name]],MountsByName[],7,FALSE)</f>
        <v>0</v>
      </c>
      <c r="I253" s="1">
        <f>VLOOKUP(Table1[[#This Row],[Name]],MountsByName[],8,FALSE)</f>
        <v>44235</v>
      </c>
      <c r="J253" s="1" t="str">
        <f>VLOOKUP(Table1[[#This Row],[Name]],MountsByName[],9,FALSE)</f>
        <v>Gold</v>
      </c>
      <c r="K253" s="1">
        <f>VLOOKUP(Table1[[#This Row],[Name]],MountsByName[],10,FALSE)</f>
        <v>1</v>
      </c>
      <c r="L253" s="1">
        <f>VLOOKUP(Table1[[#This Row],[Name]],MountsByName[],11,FALSE)</f>
        <v>0</v>
      </c>
      <c r="M253" s="1">
        <f>VLOOKUP(Table1[[#This Row],[Name]],MountsByName[],12,FALSE)</f>
        <v>1</v>
      </c>
      <c r="N25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[61425] ={"Traveler's Tundra Mammoth", 61425, 44235, 1, 1, 0, "Mammoth", "Gold", 1, 0},</v>
      </c>
    </row>
    <row r="254" spans="1:14" x14ac:dyDescent="0.35">
      <c r="A254" s="2">
        <v>61447</v>
      </c>
      <c r="B254" t="s">
        <v>256</v>
      </c>
      <c r="C254" s="1" t="str">
        <f>VLOOKUP(Table1[[#This Row],[Name]],MountsByName[],2,FALSE)</f>
        <v>Mammoth</v>
      </c>
      <c r="D254" s="1">
        <f>VLOOKUP(Table1[[#This Row],[Name]],MountsByName[],3,FALSE)</f>
        <v>1</v>
      </c>
      <c r="E254" s="1">
        <f>VLOOKUP(Table1[[#This Row],[Name]],MountsByName[],4,FALSE)</f>
        <v>1</v>
      </c>
      <c r="F254" s="1">
        <f>VLOOKUP(Table1[[#This Row],[Name]],MountsByName[],5,FALSE)</f>
        <v>0</v>
      </c>
      <c r="G254" s="1">
        <f>VLOOKUP(Table1[[#This Row],[Name]],MountsByName[],6,FALSE)</f>
        <v>1</v>
      </c>
      <c r="H254" s="1">
        <f>VLOOKUP(Table1[[#This Row],[Name]],MountsByName[],7,FALSE)</f>
        <v>0</v>
      </c>
      <c r="I254" s="1">
        <f>VLOOKUP(Table1[[#This Row],[Name]],MountsByName[],8,FALSE)</f>
        <v>44235</v>
      </c>
      <c r="J254" s="1" t="str">
        <f>VLOOKUP(Table1[[#This Row],[Name]],MountsByName[],9,FALSE)</f>
        <v>Gold</v>
      </c>
      <c r="K254" s="1">
        <f>VLOOKUP(Table1[[#This Row],[Name]],MountsByName[],10,FALSE)</f>
        <v>1</v>
      </c>
      <c r="L254" s="1">
        <f>VLOOKUP(Table1[[#This Row],[Name]],MountsByName[],11,FALSE)</f>
        <v>0</v>
      </c>
      <c r="M254" s="1">
        <f>VLOOKUP(Table1[[#This Row],[Name]],MountsByName[],12,FALSE)</f>
        <v>1</v>
      </c>
      <c r="N25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[61447] ={"Traveler's Tundra Mammoth", 61447, 44235, 1, 1, 0, "Mammoth", "Gold", 1, 0},</v>
      </c>
    </row>
    <row r="255" spans="1:14" x14ac:dyDescent="0.35">
      <c r="A255" s="2">
        <v>61465</v>
      </c>
      <c r="B255" t="s">
        <v>145</v>
      </c>
      <c r="C255" s="1" t="str">
        <f>VLOOKUP(Table1[[#This Row],[Name]],MountsByName[],2,FALSE)</f>
        <v>Mammoth</v>
      </c>
      <c r="D255" s="1">
        <f>VLOOKUP(Table1[[#This Row],[Name]],MountsByName[],3,FALSE)</f>
        <v>1</v>
      </c>
      <c r="E255" s="1">
        <f>VLOOKUP(Table1[[#This Row],[Name]],MountsByName[],4,FALSE)</f>
        <v>1</v>
      </c>
      <c r="F255" s="1">
        <f>VLOOKUP(Table1[[#This Row],[Name]],MountsByName[],5,FALSE)</f>
        <v>0</v>
      </c>
      <c r="G255" s="1">
        <f>VLOOKUP(Table1[[#This Row],[Name]],MountsByName[],6,FALSE)</f>
        <v>1</v>
      </c>
      <c r="H255" s="1">
        <f>VLOOKUP(Table1[[#This Row],[Name]],MountsByName[],7,FALSE)</f>
        <v>0</v>
      </c>
      <c r="I255" s="1">
        <f>VLOOKUP(Table1[[#This Row],[Name]],MountsByName[],8,FALSE)</f>
        <v>44083</v>
      </c>
      <c r="J255" s="1" t="str">
        <f>VLOOKUP(Table1[[#This Row],[Name]],MountsByName[],9,FALSE)</f>
        <v>Drop Vault</v>
      </c>
      <c r="K255" s="1">
        <f>VLOOKUP(Table1[[#This Row],[Name]],MountsByName[],10,FALSE)</f>
        <v>0</v>
      </c>
      <c r="L255" s="1">
        <f>VLOOKUP(Table1[[#This Row],[Name]],MountsByName[],11,FALSE)</f>
        <v>1</v>
      </c>
      <c r="M255" s="1">
        <f>VLOOKUP(Table1[[#This Row],[Name]],MountsByName[],12,FALSE)</f>
        <v>1</v>
      </c>
      <c r="N25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[61465] ={"Grand Black War Mammoth", 61465, 44083, 1, 1, 0, "Mammoth", "Drop Vault", 1, 0},</v>
      </c>
    </row>
    <row r="256" spans="1:14" x14ac:dyDescent="0.35">
      <c r="A256" s="2">
        <v>61467</v>
      </c>
      <c r="B256" t="s">
        <v>145</v>
      </c>
      <c r="C256" s="1" t="str">
        <f>VLOOKUP(Table1[[#This Row],[Name]],MountsByName[],2,FALSE)</f>
        <v>Mammoth</v>
      </c>
      <c r="D256" s="1">
        <f>VLOOKUP(Table1[[#This Row],[Name]],MountsByName[],3,FALSE)</f>
        <v>1</v>
      </c>
      <c r="E256" s="1">
        <f>VLOOKUP(Table1[[#This Row],[Name]],MountsByName[],4,FALSE)</f>
        <v>1</v>
      </c>
      <c r="F256" s="1">
        <f>VLOOKUP(Table1[[#This Row],[Name]],MountsByName[],5,FALSE)</f>
        <v>0</v>
      </c>
      <c r="G256" s="1">
        <f>VLOOKUP(Table1[[#This Row],[Name]],MountsByName[],6,FALSE)</f>
        <v>1</v>
      </c>
      <c r="H256" s="1">
        <f>VLOOKUP(Table1[[#This Row],[Name]],MountsByName[],7,FALSE)</f>
        <v>0</v>
      </c>
      <c r="I256" s="1">
        <f>VLOOKUP(Table1[[#This Row],[Name]],MountsByName[],8,FALSE)</f>
        <v>44083</v>
      </c>
      <c r="J256" s="1" t="str">
        <f>VLOOKUP(Table1[[#This Row],[Name]],MountsByName[],9,FALSE)</f>
        <v>Drop Vault</v>
      </c>
      <c r="K256" s="1">
        <f>VLOOKUP(Table1[[#This Row],[Name]],MountsByName[],10,FALSE)</f>
        <v>0</v>
      </c>
      <c r="L256" s="1">
        <f>VLOOKUP(Table1[[#This Row],[Name]],MountsByName[],11,FALSE)</f>
        <v>1</v>
      </c>
      <c r="M256" s="1">
        <f>VLOOKUP(Table1[[#This Row],[Name]],MountsByName[],12,FALSE)</f>
        <v>1</v>
      </c>
      <c r="N25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[61467] ={"Grand Black War Mammoth", 61467, 44083, 1, 1, 0, "Mammoth", "Drop Vault", 1, 0},</v>
      </c>
    </row>
    <row r="257" spans="1:14" x14ac:dyDescent="0.35">
      <c r="A257" s="2">
        <v>61469</v>
      </c>
      <c r="B257" t="s">
        <v>147</v>
      </c>
      <c r="C257" s="1" t="str">
        <f>VLOOKUP(Table1[[#This Row],[Name]],MountsByName[],2,FALSE)</f>
        <v>Mammoth</v>
      </c>
      <c r="D257" s="1">
        <f>VLOOKUP(Table1[[#This Row],[Name]],MountsByName[],3,FALSE)</f>
        <v>1</v>
      </c>
      <c r="E257" s="1">
        <f>VLOOKUP(Table1[[#This Row],[Name]],MountsByName[],4,FALSE)</f>
        <v>1</v>
      </c>
      <c r="F257" s="1">
        <f>VLOOKUP(Table1[[#This Row],[Name]],MountsByName[],5,FALSE)</f>
        <v>0</v>
      </c>
      <c r="G257" s="1">
        <f>VLOOKUP(Table1[[#This Row],[Name]],MountsByName[],6,FALSE)</f>
        <v>1</v>
      </c>
      <c r="H257" s="1">
        <f>VLOOKUP(Table1[[#This Row],[Name]],MountsByName[],7,FALSE)</f>
        <v>0</v>
      </c>
      <c r="I257" s="1">
        <f>VLOOKUP(Table1[[#This Row],[Name]],MountsByName[],8,FALSE)</f>
        <v>44086</v>
      </c>
      <c r="J257" s="1" t="str">
        <f>VLOOKUP(Table1[[#This Row],[Name]],MountsByName[],9,FALSE)</f>
        <v>Exalted Sons of Hodir</v>
      </c>
      <c r="K257" s="1">
        <f>VLOOKUP(Table1[[#This Row],[Name]],MountsByName[],10,FALSE)</f>
        <v>0</v>
      </c>
      <c r="L257" s="1">
        <f>VLOOKUP(Table1[[#This Row],[Name]],MountsByName[],11,FALSE)</f>
        <v>1</v>
      </c>
      <c r="M257" s="1">
        <f>VLOOKUP(Table1[[#This Row],[Name]],MountsByName[],12,FALSE)</f>
        <v>1</v>
      </c>
      <c r="N25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[61469] ={"Grand Ice Mammoth", 61469, 44086, 1, 1, 0, "Mammoth", "Exalted Sons of Hodir", 1, 0},</v>
      </c>
    </row>
    <row r="258" spans="1:14" x14ac:dyDescent="0.35">
      <c r="A258" s="2">
        <v>61470</v>
      </c>
      <c r="B258" t="s">
        <v>147</v>
      </c>
      <c r="C258" s="1" t="str">
        <f>VLOOKUP(Table1[[#This Row],[Name]],MountsByName[],2,FALSE)</f>
        <v>Mammoth</v>
      </c>
      <c r="D258" s="1">
        <f>VLOOKUP(Table1[[#This Row],[Name]],MountsByName[],3,FALSE)</f>
        <v>1</v>
      </c>
      <c r="E258" s="1">
        <f>VLOOKUP(Table1[[#This Row],[Name]],MountsByName[],4,FALSE)</f>
        <v>1</v>
      </c>
      <c r="F258" s="1">
        <f>VLOOKUP(Table1[[#This Row],[Name]],MountsByName[],5,FALSE)</f>
        <v>0</v>
      </c>
      <c r="G258" s="1">
        <f>VLOOKUP(Table1[[#This Row],[Name]],MountsByName[],6,FALSE)</f>
        <v>1</v>
      </c>
      <c r="H258" s="1">
        <f>VLOOKUP(Table1[[#This Row],[Name]],MountsByName[],7,FALSE)</f>
        <v>0</v>
      </c>
      <c r="I258" s="1">
        <f>VLOOKUP(Table1[[#This Row],[Name]],MountsByName[],8,FALSE)</f>
        <v>44086</v>
      </c>
      <c r="J258" s="1" t="str">
        <f>VLOOKUP(Table1[[#This Row],[Name]],MountsByName[],9,FALSE)</f>
        <v>Exalted Sons of Hodir</v>
      </c>
      <c r="K258" s="1">
        <f>VLOOKUP(Table1[[#This Row],[Name]],MountsByName[],10,FALSE)</f>
        <v>0</v>
      </c>
      <c r="L258" s="1">
        <f>VLOOKUP(Table1[[#This Row],[Name]],MountsByName[],11,FALSE)</f>
        <v>1</v>
      </c>
      <c r="M258" s="1">
        <f>VLOOKUP(Table1[[#This Row],[Name]],MountsByName[],12,FALSE)</f>
        <v>1</v>
      </c>
      <c r="N25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[61470] ={"Grand Ice Mammoth", 61470, 44086, 1, 1, 0, "Mammoth", "Exalted Sons of Hodir", 1, 0},</v>
      </c>
    </row>
    <row r="259" spans="1:14" x14ac:dyDescent="0.35">
      <c r="A259" s="2">
        <v>10873</v>
      </c>
      <c r="B259" t="s">
        <v>190</v>
      </c>
      <c r="C259" s="1" t="str">
        <f>VLOOKUP(Table1[[#This Row],[Name]],MountsByName[],2,FALSE)</f>
        <v>Mechanostrider</v>
      </c>
      <c r="D259" s="1">
        <f>VLOOKUP(Table1[[#This Row],[Name]],MountsByName[],3,FALSE)</f>
        <v>0.6</v>
      </c>
      <c r="E259" s="1">
        <f>VLOOKUP(Table1[[#This Row],[Name]],MountsByName[],4,FALSE)</f>
        <v>0.6</v>
      </c>
      <c r="F259" s="1">
        <f>VLOOKUP(Table1[[#This Row],[Name]],MountsByName[],5,FALSE)</f>
        <v>0</v>
      </c>
      <c r="G259" s="1">
        <f>VLOOKUP(Table1[[#This Row],[Name]],MountsByName[],6,FALSE)</f>
        <v>1</v>
      </c>
      <c r="H259" s="1">
        <f>VLOOKUP(Table1[[#This Row],[Name]],MountsByName[],7,FALSE)</f>
        <v>0</v>
      </c>
      <c r="I259" s="1">
        <f>VLOOKUP(Table1[[#This Row],[Name]],MountsByName[],8,FALSE)</f>
        <v>8563</v>
      </c>
      <c r="J259" s="1" t="str">
        <f>VLOOKUP(Table1[[#This Row],[Name]],MountsByName[],9,FALSE)</f>
        <v>Exalted Gnomeragan</v>
      </c>
      <c r="K259" s="1">
        <f>VLOOKUP(Table1[[#This Row],[Name]],MountsByName[],10,FALSE)</f>
        <v>1</v>
      </c>
      <c r="L259" s="1">
        <f>VLOOKUP(Table1[[#This Row],[Name]],MountsByName[],11,FALSE)</f>
        <v>0</v>
      </c>
      <c r="M259" s="1">
        <f>VLOOKUP(Table1[[#This Row],[Name]],MountsByName[],12,FALSE)</f>
        <v>1</v>
      </c>
      <c r="N25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[10873] ={"Red Mechanostrider", 10873, 8563, 0.6, 0.6, 0, "Mechanostrider", "Exalted Gnomeragan", 1, 0},</v>
      </c>
    </row>
    <row r="260" spans="1:14" x14ac:dyDescent="0.35">
      <c r="A260" s="2">
        <v>10969</v>
      </c>
      <c r="B260" t="s">
        <v>107</v>
      </c>
      <c r="C260" s="1" t="str">
        <f>VLOOKUP(Table1[[#This Row],[Name]],MountsByName[],2,FALSE)</f>
        <v>Mechanostrider</v>
      </c>
      <c r="D260" s="1">
        <f>VLOOKUP(Table1[[#This Row],[Name]],MountsByName[],3,FALSE)</f>
        <v>0.6</v>
      </c>
      <c r="E260" s="1">
        <f>VLOOKUP(Table1[[#This Row],[Name]],MountsByName[],4,FALSE)</f>
        <v>0.6</v>
      </c>
      <c r="F260" s="1">
        <f>VLOOKUP(Table1[[#This Row],[Name]],MountsByName[],5,FALSE)</f>
        <v>0</v>
      </c>
      <c r="G260" s="1">
        <f>VLOOKUP(Table1[[#This Row],[Name]],MountsByName[],6,FALSE)</f>
        <v>1</v>
      </c>
      <c r="H260" s="1">
        <f>VLOOKUP(Table1[[#This Row],[Name]],MountsByName[],7,FALSE)</f>
        <v>0</v>
      </c>
      <c r="I260" s="1">
        <f>VLOOKUP(Table1[[#This Row],[Name]],MountsByName[],8,FALSE)</f>
        <v>8595</v>
      </c>
      <c r="J260" s="1" t="str">
        <f>VLOOKUP(Table1[[#This Row],[Name]],MountsByName[],9,FALSE)</f>
        <v>Exalted Gnomeragan</v>
      </c>
      <c r="K260" s="1">
        <f>VLOOKUP(Table1[[#This Row],[Name]],MountsByName[],10,FALSE)</f>
        <v>1</v>
      </c>
      <c r="L260" s="1">
        <f>VLOOKUP(Table1[[#This Row],[Name]],MountsByName[],11,FALSE)</f>
        <v>0</v>
      </c>
      <c r="M260" s="1">
        <f>VLOOKUP(Table1[[#This Row],[Name]],MountsByName[],12,FALSE)</f>
        <v>1</v>
      </c>
      <c r="N26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[10969] ={"Blue Mechanostrider", 10969, 8595, 0.6, 0.6, 0, "Mechanostrider", "Exalted Gnomeragan", 1, 0},</v>
      </c>
    </row>
    <row r="261" spans="1:14" x14ac:dyDescent="0.35">
      <c r="A261" s="2">
        <v>15779</v>
      </c>
      <c r="B261" t="s">
        <v>264</v>
      </c>
      <c r="C261" s="1" t="str">
        <f>VLOOKUP(Table1[[#This Row],[Name]],MountsByName[],2,FALSE)</f>
        <v>Mechanostrider</v>
      </c>
      <c r="D261" s="1">
        <f>VLOOKUP(Table1[[#This Row],[Name]],MountsByName[],3,FALSE)</f>
        <v>1</v>
      </c>
      <c r="E261" s="1">
        <f>VLOOKUP(Table1[[#This Row],[Name]],MountsByName[],4,FALSE)</f>
        <v>1</v>
      </c>
      <c r="F261" s="1">
        <f>VLOOKUP(Table1[[#This Row],[Name]],MountsByName[],5,FALSE)</f>
        <v>0</v>
      </c>
      <c r="G261" s="1">
        <f>VLOOKUP(Table1[[#This Row],[Name]],MountsByName[],6,FALSE)</f>
        <v>1</v>
      </c>
      <c r="H261" s="1">
        <f>VLOOKUP(Table1[[#This Row],[Name]],MountsByName[],7,FALSE)</f>
        <v>0</v>
      </c>
      <c r="I261" s="1">
        <f>VLOOKUP(Table1[[#This Row],[Name]],MountsByName[],8,FALSE)</f>
        <v>13326</v>
      </c>
      <c r="J261" s="1" t="str">
        <f>VLOOKUP(Table1[[#This Row],[Name]],MountsByName[],9,FALSE)</f>
        <v>removed</v>
      </c>
      <c r="K261" s="1">
        <f>VLOOKUP(Table1[[#This Row],[Name]],MountsByName[],10,FALSE)</f>
        <v>1</v>
      </c>
      <c r="L261" s="1">
        <f>VLOOKUP(Table1[[#This Row],[Name]],MountsByName[],11,FALSE)</f>
        <v>0</v>
      </c>
      <c r="M261" s="1">
        <f>VLOOKUP(Table1[[#This Row],[Name]],MountsByName[],12,FALSE)</f>
        <v>1</v>
      </c>
      <c r="N261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[15779] ={"White Mechanostrider Mod B", 15779, 13326, 1, 1, 0, "Mechanostrider", "removed", 1, 0},</v>
      </c>
    </row>
    <row r="262" spans="1:14" x14ac:dyDescent="0.35">
      <c r="A262" s="2">
        <v>15780</v>
      </c>
      <c r="B262" t="s">
        <v>163</v>
      </c>
      <c r="C262" s="1" t="str">
        <f>VLOOKUP(Table1[[#This Row],[Name]],MountsByName[],2,FALSE)</f>
        <v>Mechanostrider</v>
      </c>
      <c r="D262" s="1">
        <f>VLOOKUP(Table1[[#This Row],[Name]],MountsByName[],3,FALSE)</f>
        <v>0.6</v>
      </c>
      <c r="E262" s="1">
        <f>VLOOKUP(Table1[[#This Row],[Name]],MountsByName[],4,FALSE)</f>
        <v>0.6</v>
      </c>
      <c r="F262" s="1">
        <f>VLOOKUP(Table1[[#This Row],[Name]],MountsByName[],5,FALSE)</f>
        <v>0</v>
      </c>
      <c r="G262" s="1">
        <f>VLOOKUP(Table1[[#This Row],[Name]],MountsByName[],6,FALSE)</f>
        <v>1</v>
      </c>
      <c r="H262" s="1">
        <f>VLOOKUP(Table1[[#This Row],[Name]],MountsByName[],7,FALSE)</f>
        <v>0</v>
      </c>
      <c r="I262" s="1">
        <f>VLOOKUP(Table1[[#This Row],[Name]],MountsByName[],8,FALSE)</f>
        <v>13321</v>
      </c>
      <c r="J262" s="1" t="str">
        <f>VLOOKUP(Table1[[#This Row],[Name]],MountsByName[],9,FALSE)</f>
        <v>Exalted Gnomeragan</v>
      </c>
      <c r="K262" s="1">
        <f>VLOOKUP(Table1[[#This Row],[Name]],MountsByName[],10,FALSE)</f>
        <v>1</v>
      </c>
      <c r="L262" s="1">
        <f>VLOOKUP(Table1[[#This Row],[Name]],MountsByName[],11,FALSE)</f>
        <v>0</v>
      </c>
      <c r="M262" s="1">
        <f>VLOOKUP(Table1[[#This Row],[Name]],MountsByName[],12,FALSE)</f>
        <v>1</v>
      </c>
      <c r="N26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[15780] ={"Green Mechanostrider", 15780, 13321, 0.6, 0.6, 0, "Mechanostrider", "Exalted Gnomeragan", 1, 0},</v>
      </c>
    </row>
    <row r="263" spans="1:14" x14ac:dyDescent="0.35">
      <c r="A263" s="2">
        <v>17453</v>
      </c>
      <c r="B263" t="s">
        <v>163</v>
      </c>
      <c r="C263" s="1" t="str">
        <f>VLOOKUP(Table1[[#This Row],[Name]],MountsByName[],2,FALSE)</f>
        <v>Mechanostrider</v>
      </c>
      <c r="D263" s="1">
        <f>VLOOKUP(Table1[[#This Row],[Name]],MountsByName[],3,FALSE)</f>
        <v>0.6</v>
      </c>
      <c r="E263" s="1">
        <f>VLOOKUP(Table1[[#This Row],[Name]],MountsByName[],4,FALSE)</f>
        <v>0.6</v>
      </c>
      <c r="F263" s="1">
        <f>VLOOKUP(Table1[[#This Row],[Name]],MountsByName[],5,FALSE)</f>
        <v>0</v>
      </c>
      <c r="G263" s="1">
        <f>VLOOKUP(Table1[[#This Row],[Name]],MountsByName[],6,FALSE)</f>
        <v>1</v>
      </c>
      <c r="H263" s="1">
        <f>VLOOKUP(Table1[[#This Row],[Name]],MountsByName[],7,FALSE)</f>
        <v>0</v>
      </c>
      <c r="I263" s="1">
        <f>VLOOKUP(Table1[[#This Row],[Name]],MountsByName[],8,FALSE)</f>
        <v>13321</v>
      </c>
      <c r="J263" s="1" t="str">
        <f>VLOOKUP(Table1[[#This Row],[Name]],MountsByName[],9,FALSE)</f>
        <v>Exalted Gnomeragan</v>
      </c>
      <c r="K263" s="1">
        <f>VLOOKUP(Table1[[#This Row],[Name]],MountsByName[],10,FALSE)</f>
        <v>1</v>
      </c>
      <c r="L263" s="1">
        <f>VLOOKUP(Table1[[#This Row],[Name]],MountsByName[],11,FALSE)</f>
        <v>0</v>
      </c>
      <c r="M263" s="1">
        <f>VLOOKUP(Table1[[#This Row],[Name]],MountsByName[],12,FALSE)</f>
        <v>1</v>
      </c>
      <c r="N26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[17453] ={"Green Mechanostrider", 17453, 13321, 0.6, 0.6, 0, "Mechanostrider", "Exalted Gnomeragan", 1, 0},</v>
      </c>
    </row>
    <row r="264" spans="1:14" x14ac:dyDescent="0.35">
      <c r="A264" s="2">
        <v>17454</v>
      </c>
      <c r="B264" t="s">
        <v>259</v>
      </c>
      <c r="C264" s="1" t="str">
        <f>VLOOKUP(Table1[[#This Row],[Name]],MountsByName[],2,FALSE)</f>
        <v>Mechanostrider</v>
      </c>
      <c r="D264" s="1">
        <f>VLOOKUP(Table1[[#This Row],[Name]],MountsByName[],3,FALSE)</f>
        <v>0.6</v>
      </c>
      <c r="E264" s="1">
        <f>VLOOKUP(Table1[[#This Row],[Name]],MountsByName[],4,FALSE)</f>
        <v>0.6</v>
      </c>
      <c r="F264" s="1">
        <f>VLOOKUP(Table1[[#This Row],[Name]],MountsByName[],5,FALSE)</f>
        <v>0</v>
      </c>
      <c r="G264" s="1">
        <f>VLOOKUP(Table1[[#This Row],[Name]],MountsByName[],6,FALSE)</f>
        <v>1</v>
      </c>
      <c r="H264" s="1">
        <f>VLOOKUP(Table1[[#This Row],[Name]],MountsByName[],7,FALSE)</f>
        <v>0</v>
      </c>
      <c r="I264" s="1">
        <f>VLOOKUP(Table1[[#This Row],[Name]],MountsByName[],8,FALSE)</f>
        <v>13322</v>
      </c>
      <c r="J264" s="1" t="str">
        <f>VLOOKUP(Table1[[#This Row],[Name]],MountsByName[],9,FALSE)</f>
        <v>Exalted Gnomeragan</v>
      </c>
      <c r="K264" s="1">
        <f>VLOOKUP(Table1[[#This Row],[Name]],MountsByName[],10,FALSE)</f>
        <v>1</v>
      </c>
      <c r="L264" s="1">
        <f>VLOOKUP(Table1[[#This Row],[Name]],MountsByName[],11,FALSE)</f>
        <v>0</v>
      </c>
      <c r="M264" s="1">
        <f>VLOOKUP(Table1[[#This Row],[Name]],MountsByName[],12,FALSE)</f>
        <v>1</v>
      </c>
      <c r="N26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[17454] ={"Unpainted Mechanostrider", 17454, 13322, 0.6, 0.6, 0, "Mechanostrider", "Exalted Gnomeragan", 1, 0},</v>
      </c>
    </row>
    <row r="265" spans="1:14" x14ac:dyDescent="0.35">
      <c r="A265" s="2">
        <v>17459</v>
      </c>
      <c r="B265" t="s">
        <v>167</v>
      </c>
      <c r="C265" s="1" t="str">
        <f>VLOOKUP(Table1[[#This Row],[Name]],MountsByName[],2,FALSE)</f>
        <v>Mechanostrider</v>
      </c>
      <c r="D265" s="1">
        <f>VLOOKUP(Table1[[#This Row],[Name]],MountsByName[],3,FALSE)</f>
        <v>1</v>
      </c>
      <c r="E265" s="1">
        <f>VLOOKUP(Table1[[#This Row],[Name]],MountsByName[],4,FALSE)</f>
        <v>1</v>
      </c>
      <c r="F265" s="1">
        <f>VLOOKUP(Table1[[#This Row],[Name]],MountsByName[],5,FALSE)</f>
        <v>0</v>
      </c>
      <c r="G265" s="1">
        <f>VLOOKUP(Table1[[#This Row],[Name]],MountsByName[],6,FALSE)</f>
        <v>1</v>
      </c>
      <c r="H265" s="1">
        <f>VLOOKUP(Table1[[#This Row],[Name]],MountsByName[],7,FALSE)</f>
        <v>0</v>
      </c>
      <c r="I265" s="1">
        <f>VLOOKUP(Table1[[#This Row],[Name]],MountsByName[],8,FALSE)</f>
        <v>13327</v>
      </c>
      <c r="J265" s="1" t="str">
        <f>VLOOKUP(Table1[[#This Row],[Name]],MountsByName[],9,FALSE)</f>
        <v>Removed</v>
      </c>
      <c r="K265" s="1">
        <f>VLOOKUP(Table1[[#This Row],[Name]],MountsByName[],10,FALSE)</f>
        <v>1</v>
      </c>
      <c r="L265" s="1">
        <f>VLOOKUP(Table1[[#This Row],[Name]],MountsByName[],11,FALSE)</f>
        <v>0</v>
      </c>
      <c r="M265" s="1">
        <f>VLOOKUP(Table1[[#This Row],[Name]],MountsByName[],12,FALSE)</f>
        <v>1</v>
      </c>
      <c r="N26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[17459] ={"Icy Blue Mechanostrider Mod A", 17459, 13327, 1, 1, 0, "Mechanostrider", "Removed", 1, 0},</v>
      </c>
    </row>
    <row r="266" spans="1:14" x14ac:dyDescent="0.35">
      <c r="A266" s="2">
        <v>22719</v>
      </c>
      <c r="B266" t="s">
        <v>88</v>
      </c>
      <c r="C266" s="1" t="str">
        <f>VLOOKUP(Table1[[#This Row],[Name]],MountsByName[],2,FALSE)</f>
        <v>Mechanostrider</v>
      </c>
      <c r="D266" s="1">
        <f>VLOOKUP(Table1[[#This Row],[Name]],MountsByName[],3,FALSE)</f>
        <v>1</v>
      </c>
      <c r="E266" s="1">
        <f>VLOOKUP(Table1[[#This Row],[Name]],MountsByName[],4,FALSE)</f>
        <v>1</v>
      </c>
      <c r="F266" s="1">
        <f>VLOOKUP(Table1[[#This Row],[Name]],MountsByName[],5,FALSE)</f>
        <v>0</v>
      </c>
      <c r="G266" s="1">
        <f>VLOOKUP(Table1[[#This Row],[Name]],MountsByName[],6,FALSE)</f>
        <v>1</v>
      </c>
      <c r="H266" s="1">
        <f>VLOOKUP(Table1[[#This Row],[Name]],MountsByName[],7,FALSE)</f>
        <v>0</v>
      </c>
      <c r="I266" s="1">
        <f>VLOOKUP(Table1[[#This Row],[Name]],MountsByName[],8,FALSE)</f>
        <v>29465</v>
      </c>
      <c r="J266" s="1" t="str">
        <f>VLOOKUP(Table1[[#This Row],[Name]],MountsByName[],9,FALSE)</f>
        <v>Honor</v>
      </c>
      <c r="K266" s="1">
        <f>VLOOKUP(Table1[[#This Row],[Name]],MountsByName[],10,FALSE)</f>
        <v>1</v>
      </c>
      <c r="L266" s="1">
        <f>VLOOKUP(Table1[[#This Row],[Name]],MountsByName[],11,FALSE)</f>
        <v>0</v>
      </c>
      <c r="M266" s="1">
        <f>VLOOKUP(Table1[[#This Row],[Name]],MountsByName[],12,FALSE)</f>
        <v>1</v>
      </c>
      <c r="N26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[22719] ={"Black Battlestrider", 22719, 29465, 1, 1, 0, "Mechanostrider", "Honor", 1, 0},</v>
      </c>
    </row>
    <row r="267" spans="1:14" x14ac:dyDescent="0.35">
      <c r="A267" s="2">
        <v>23222</v>
      </c>
      <c r="B267" t="s">
        <v>247</v>
      </c>
      <c r="C267" s="1" t="str">
        <f>VLOOKUP(Table1[[#This Row],[Name]],MountsByName[],2,FALSE)</f>
        <v>Mechanostrider</v>
      </c>
      <c r="D267" s="1">
        <f>VLOOKUP(Table1[[#This Row],[Name]],MountsByName[],3,FALSE)</f>
        <v>1</v>
      </c>
      <c r="E267" s="1">
        <f>VLOOKUP(Table1[[#This Row],[Name]],MountsByName[],4,FALSE)</f>
        <v>1</v>
      </c>
      <c r="F267" s="1">
        <f>VLOOKUP(Table1[[#This Row],[Name]],MountsByName[],5,FALSE)</f>
        <v>0</v>
      </c>
      <c r="G267" s="1">
        <f>VLOOKUP(Table1[[#This Row],[Name]],MountsByName[],6,FALSE)</f>
        <v>1</v>
      </c>
      <c r="H267" s="1">
        <f>VLOOKUP(Table1[[#This Row],[Name]],MountsByName[],7,FALSE)</f>
        <v>0</v>
      </c>
      <c r="I267" s="1">
        <f>VLOOKUP(Table1[[#This Row],[Name]],MountsByName[],8,FALSE)</f>
        <v>18774</v>
      </c>
      <c r="J267" s="1" t="str">
        <f>VLOOKUP(Table1[[#This Row],[Name]],MountsByName[],9,FALSE)</f>
        <v>Exalted Gnomeragan</v>
      </c>
      <c r="K267" s="1">
        <f>VLOOKUP(Table1[[#This Row],[Name]],MountsByName[],10,FALSE)</f>
        <v>1</v>
      </c>
      <c r="L267" s="1">
        <f>VLOOKUP(Table1[[#This Row],[Name]],MountsByName[],11,FALSE)</f>
        <v>0</v>
      </c>
      <c r="M267" s="1">
        <f>VLOOKUP(Table1[[#This Row],[Name]],MountsByName[],12,FALSE)</f>
        <v>1</v>
      </c>
      <c r="N26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[23222] ={"Swift Yellow Mechanostrider", 23222, 18774, 1, 1, 0, "Mechanostrider", "Exalted Gnomeragan", 1, 0},</v>
      </c>
    </row>
    <row r="268" spans="1:14" x14ac:dyDescent="0.35">
      <c r="A268" s="2">
        <v>23223</v>
      </c>
      <c r="B268" t="s">
        <v>244</v>
      </c>
      <c r="C268" s="1" t="str">
        <f>VLOOKUP(Table1[[#This Row],[Name]],MountsByName[],2,FALSE)</f>
        <v>Mechanostrider</v>
      </c>
      <c r="D268" s="1">
        <f>VLOOKUP(Table1[[#This Row],[Name]],MountsByName[],3,FALSE)</f>
        <v>1</v>
      </c>
      <c r="E268" s="1">
        <f>VLOOKUP(Table1[[#This Row],[Name]],MountsByName[],4,FALSE)</f>
        <v>1</v>
      </c>
      <c r="F268" s="1">
        <f>VLOOKUP(Table1[[#This Row],[Name]],MountsByName[],5,FALSE)</f>
        <v>0</v>
      </c>
      <c r="G268" s="1">
        <f>VLOOKUP(Table1[[#This Row],[Name]],MountsByName[],6,FALSE)</f>
        <v>1</v>
      </c>
      <c r="H268" s="1">
        <f>VLOOKUP(Table1[[#This Row],[Name]],MountsByName[],7,FALSE)</f>
        <v>0</v>
      </c>
      <c r="I268" s="1">
        <f>VLOOKUP(Table1[[#This Row],[Name]],MountsByName[],8,FALSE)</f>
        <v>18773</v>
      </c>
      <c r="J268" s="1" t="str">
        <f>VLOOKUP(Table1[[#This Row],[Name]],MountsByName[],9,FALSE)</f>
        <v>Exalted Gnomeragan</v>
      </c>
      <c r="K268" s="1">
        <f>VLOOKUP(Table1[[#This Row],[Name]],MountsByName[],10,FALSE)</f>
        <v>1</v>
      </c>
      <c r="L268" s="1">
        <f>VLOOKUP(Table1[[#This Row],[Name]],MountsByName[],11,FALSE)</f>
        <v>0</v>
      </c>
      <c r="M268" s="1">
        <f>VLOOKUP(Table1[[#This Row],[Name]],MountsByName[],12,FALSE)</f>
        <v>1</v>
      </c>
      <c r="N26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[23223] ={"Swift White Mechanostrider", 23223, 18773, 1, 1, 0, "Mechanostrider", "Exalted Gnomeragan", 1, 0},</v>
      </c>
    </row>
    <row r="269" spans="1:14" x14ac:dyDescent="0.35">
      <c r="A269" s="2">
        <v>23225</v>
      </c>
      <c r="B269" t="s">
        <v>225</v>
      </c>
      <c r="C269" s="1" t="str">
        <f>VLOOKUP(Table1[[#This Row],[Name]],MountsByName[],2,FALSE)</f>
        <v>Mechanostrider</v>
      </c>
      <c r="D269" s="1">
        <f>VLOOKUP(Table1[[#This Row],[Name]],MountsByName[],3,FALSE)</f>
        <v>1</v>
      </c>
      <c r="E269" s="1">
        <f>VLOOKUP(Table1[[#This Row],[Name]],MountsByName[],4,FALSE)</f>
        <v>1</v>
      </c>
      <c r="F269" s="1">
        <f>VLOOKUP(Table1[[#This Row],[Name]],MountsByName[],5,FALSE)</f>
        <v>0</v>
      </c>
      <c r="G269" s="1">
        <f>VLOOKUP(Table1[[#This Row],[Name]],MountsByName[],6,FALSE)</f>
        <v>1</v>
      </c>
      <c r="H269" s="1">
        <f>VLOOKUP(Table1[[#This Row],[Name]],MountsByName[],7,FALSE)</f>
        <v>0</v>
      </c>
      <c r="I269" s="1">
        <f>VLOOKUP(Table1[[#This Row],[Name]],MountsByName[],8,FALSE)</f>
        <v>18772</v>
      </c>
      <c r="J269" s="1" t="str">
        <f>VLOOKUP(Table1[[#This Row],[Name]],MountsByName[],9,FALSE)</f>
        <v>Exalted Gnomeragan</v>
      </c>
      <c r="K269" s="1">
        <f>VLOOKUP(Table1[[#This Row],[Name]],MountsByName[],10,FALSE)</f>
        <v>1</v>
      </c>
      <c r="L269" s="1">
        <f>VLOOKUP(Table1[[#This Row],[Name]],MountsByName[],11,FALSE)</f>
        <v>0</v>
      </c>
      <c r="M269" s="1">
        <f>VLOOKUP(Table1[[#This Row],[Name]],MountsByName[],12,FALSE)</f>
        <v>1</v>
      </c>
      <c r="N26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[23225] ={"Swift Green Mechanostrider", 23225, 18772, 1, 1, 0, "Mechanostrider", "Exalted Gnomeragan", 1, 0},</v>
      </c>
    </row>
    <row r="270" spans="1:14" x14ac:dyDescent="0.35">
      <c r="A270" s="2">
        <v>33630</v>
      </c>
      <c r="B270" t="s">
        <v>107</v>
      </c>
      <c r="C270" s="1" t="str">
        <f>VLOOKUP(Table1[[#This Row],[Name]],MountsByName[],2,FALSE)</f>
        <v>Mechanostrider</v>
      </c>
      <c r="D270" s="1">
        <f>VLOOKUP(Table1[[#This Row],[Name]],MountsByName[],3,FALSE)</f>
        <v>0.6</v>
      </c>
      <c r="E270" s="1">
        <f>VLOOKUP(Table1[[#This Row],[Name]],MountsByName[],4,FALSE)</f>
        <v>0.6</v>
      </c>
      <c r="F270" s="1">
        <f>VLOOKUP(Table1[[#This Row],[Name]],MountsByName[],5,FALSE)</f>
        <v>0</v>
      </c>
      <c r="G270" s="1">
        <f>VLOOKUP(Table1[[#This Row],[Name]],MountsByName[],6,FALSE)</f>
        <v>1</v>
      </c>
      <c r="H270" s="1">
        <f>VLOOKUP(Table1[[#This Row],[Name]],MountsByName[],7,FALSE)</f>
        <v>0</v>
      </c>
      <c r="I270" s="1">
        <f>VLOOKUP(Table1[[#This Row],[Name]],MountsByName[],8,FALSE)</f>
        <v>8595</v>
      </c>
      <c r="J270" s="1" t="str">
        <f>VLOOKUP(Table1[[#This Row],[Name]],MountsByName[],9,FALSE)</f>
        <v>Exalted Gnomeragan</v>
      </c>
      <c r="K270" s="1">
        <f>VLOOKUP(Table1[[#This Row],[Name]],MountsByName[],10,FALSE)</f>
        <v>1</v>
      </c>
      <c r="L270" s="1">
        <f>VLOOKUP(Table1[[#This Row],[Name]],MountsByName[],11,FALSE)</f>
        <v>0</v>
      </c>
      <c r="M270" s="1">
        <f>VLOOKUP(Table1[[#This Row],[Name]],MountsByName[],12,FALSE)</f>
        <v>1</v>
      </c>
      <c r="N27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[33630] ={"Blue Mechanostrider", 33630, 8595, 0.6, 0.6, 0, "Mechanostrider", "Exalted Gnomeragan", 1, 0},</v>
      </c>
    </row>
    <row r="271" spans="1:14" x14ac:dyDescent="0.35">
      <c r="A271" s="2">
        <v>63638</v>
      </c>
      <c r="B271" t="s">
        <v>143</v>
      </c>
      <c r="C271" s="1" t="str">
        <f>VLOOKUP(Table1[[#This Row],[Name]],MountsByName[],2,FALSE)</f>
        <v>Mechanostrider</v>
      </c>
      <c r="D271" s="1">
        <f>VLOOKUP(Table1[[#This Row],[Name]],MountsByName[],3,FALSE)</f>
        <v>1</v>
      </c>
      <c r="E271" s="1">
        <f>VLOOKUP(Table1[[#This Row],[Name]],MountsByName[],4,FALSE)</f>
        <v>1</v>
      </c>
      <c r="F271" s="1">
        <f>VLOOKUP(Table1[[#This Row],[Name]],MountsByName[],5,FALSE)</f>
        <v>0</v>
      </c>
      <c r="G271" s="1">
        <f>VLOOKUP(Table1[[#This Row],[Name]],MountsByName[],6,FALSE)</f>
        <v>1</v>
      </c>
      <c r="H271" s="1">
        <f>VLOOKUP(Table1[[#This Row],[Name]],MountsByName[],7,FALSE)</f>
        <v>0</v>
      </c>
      <c r="I271" s="1">
        <f>VLOOKUP(Table1[[#This Row],[Name]],MountsByName[],8,FALSE)</f>
        <v>45589</v>
      </c>
      <c r="J271" s="1" t="str">
        <f>VLOOKUP(Table1[[#This Row],[Name]],MountsByName[],9,FALSE)</f>
        <v>Champion's Seals</v>
      </c>
      <c r="K271" s="1">
        <f>VLOOKUP(Table1[[#This Row],[Name]],MountsByName[],10,FALSE)</f>
        <v>1</v>
      </c>
      <c r="L271" s="1">
        <f>VLOOKUP(Table1[[#This Row],[Name]],MountsByName[],11,FALSE)</f>
        <v>0</v>
      </c>
      <c r="M271" s="1">
        <f>VLOOKUP(Table1[[#This Row],[Name]],MountsByName[],12,FALSE)</f>
        <v>1</v>
      </c>
      <c r="N271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[63638] ={"Gnomeregan Mechanostrider", 63638, 45589, 1, 1, 0, "Mechanostrider", "Champion's Seals", 1, 0},</v>
      </c>
    </row>
    <row r="272" spans="1:14" x14ac:dyDescent="0.35">
      <c r="A272" s="2">
        <v>65642</v>
      </c>
      <c r="B272" t="s">
        <v>257</v>
      </c>
      <c r="C272" s="1" t="str">
        <f>VLOOKUP(Table1[[#This Row],[Name]],MountsByName[],2,FALSE)</f>
        <v>Mechanostrider</v>
      </c>
      <c r="D272" s="1">
        <f>VLOOKUP(Table1[[#This Row],[Name]],MountsByName[],3,FALSE)</f>
        <v>1</v>
      </c>
      <c r="E272" s="1">
        <f>VLOOKUP(Table1[[#This Row],[Name]],MountsByName[],4,FALSE)</f>
        <v>1</v>
      </c>
      <c r="F272" s="1">
        <f>VLOOKUP(Table1[[#This Row],[Name]],MountsByName[],5,FALSE)</f>
        <v>0</v>
      </c>
      <c r="G272" s="1">
        <f>VLOOKUP(Table1[[#This Row],[Name]],MountsByName[],6,FALSE)</f>
        <v>1</v>
      </c>
      <c r="H272" s="1">
        <f>VLOOKUP(Table1[[#This Row],[Name]],MountsByName[],7,FALSE)</f>
        <v>0</v>
      </c>
      <c r="I272" s="1">
        <f>VLOOKUP(Table1[[#This Row],[Name]],MountsByName[],8,FALSE)</f>
        <v>46747</v>
      </c>
      <c r="J272" s="1" t="str">
        <f>VLOOKUP(Table1[[#This Row],[Name]],MountsByName[],9,FALSE)</f>
        <v>Champion's Seals</v>
      </c>
      <c r="K272" s="1">
        <f>VLOOKUP(Table1[[#This Row],[Name]],MountsByName[],10,FALSE)</f>
        <v>1</v>
      </c>
      <c r="L272" s="1">
        <f>VLOOKUP(Table1[[#This Row],[Name]],MountsByName[],11,FALSE)</f>
        <v>0</v>
      </c>
      <c r="M272" s="1">
        <f>VLOOKUP(Table1[[#This Row],[Name]],MountsByName[],12,FALSE)</f>
        <v>1</v>
      </c>
      <c r="N27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[65642] ={"Turbostrider", 65642, 46747, 1, 1, 0, "Mechanostrider", "Champion's Seals", 1, 0},</v>
      </c>
    </row>
    <row r="273" spans="1:14" x14ac:dyDescent="0.35">
      <c r="A273" s="2">
        <v>102349</v>
      </c>
      <c r="B273" t="s">
        <v>447</v>
      </c>
      <c r="C273" s="1" t="str">
        <f>VLOOKUP(Table1[[#This Row],[Name]],MountsByName[],2,FALSE)</f>
        <v>Mechanostrider</v>
      </c>
      <c r="D273" s="1">
        <f>VLOOKUP(Table1[[#This Row],[Name]],MountsByName[],3,FALSE)</f>
        <v>1</v>
      </c>
      <c r="E273" s="1">
        <f>VLOOKUP(Table1[[#This Row],[Name]],MountsByName[],4,FALSE)</f>
        <v>1</v>
      </c>
      <c r="F273" s="1">
        <f>VLOOKUP(Table1[[#This Row],[Name]],MountsByName[],5,FALSE)</f>
        <v>0</v>
      </c>
      <c r="G273" s="1">
        <f>VLOOKUP(Table1[[#This Row],[Name]],MountsByName[],6,FALSE)</f>
        <v>1</v>
      </c>
      <c r="H273" s="1">
        <f>VLOOKUP(Table1[[#This Row],[Name]],MountsByName[],7,FALSE)</f>
        <v>0</v>
      </c>
      <c r="I273" s="1">
        <f>VLOOKUP(Table1[[#This Row],[Name]],MountsByName[],8,FALSE)</f>
        <v>0</v>
      </c>
      <c r="J273" s="1">
        <f>VLOOKUP(Table1[[#This Row],[Name]],MountsByName[],9,FALSE)</f>
        <v>0</v>
      </c>
      <c r="K273" s="1">
        <f>VLOOKUP(Table1[[#This Row],[Name]],MountsByName[],10,FALSE)</f>
        <v>0</v>
      </c>
      <c r="L273" s="1">
        <f>VLOOKUP(Table1[[#This Row],[Name]],MountsByName[],11,FALSE)</f>
        <v>0</v>
      </c>
      <c r="M273" s="1">
        <f>VLOOKUP(Table1[[#This Row],[Name]],MountsByName[],12,FALSE)</f>
        <v>1</v>
      </c>
      <c r="N27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[102349] ={"Swift Springstrider", 102349, 0, 1, 1, 0, "Mechanostrider", "0", 1, 0},</v>
      </c>
    </row>
    <row r="274" spans="1:14" x14ac:dyDescent="0.35">
      <c r="A274" s="2">
        <v>473739</v>
      </c>
      <c r="B274" t="s">
        <v>1094</v>
      </c>
      <c r="C274" s="1" t="str">
        <f>VLOOKUP(Table1[[#This Row],[Name]],MountsByName[],2,FALSE)</f>
        <v>Meeksi</v>
      </c>
      <c r="D274" s="1">
        <f>VLOOKUP(Table1[[#This Row],[Name]],MountsByName[],3,FALSE)</f>
        <v>1</v>
      </c>
      <c r="E274" s="1">
        <f>VLOOKUP(Table1[[#This Row],[Name]],MountsByName[],4,FALSE)</f>
        <v>1</v>
      </c>
      <c r="F274" s="1">
        <f>VLOOKUP(Table1[[#This Row],[Name]],MountsByName[],5,FALSE)</f>
        <v>0</v>
      </c>
      <c r="G274" s="1">
        <f>VLOOKUP(Table1[[#This Row],[Name]],MountsByName[],6,FALSE)</f>
        <v>1</v>
      </c>
      <c r="H274" s="1">
        <f>VLOOKUP(Table1[[#This Row],[Name]],MountsByName[],7,FALSE)</f>
        <v>0</v>
      </c>
      <c r="I274" s="1">
        <f>VLOOKUP(Table1[[#This Row],[Name]],MountsByName[],8,FALSE)</f>
        <v>0</v>
      </c>
      <c r="J274" s="1">
        <f>VLOOKUP(Table1[[#This Row],[Name]],MountsByName[],9,FALSE)</f>
        <v>0</v>
      </c>
      <c r="K274" s="1">
        <f>VLOOKUP(Table1[[#This Row],[Name]],MountsByName[],10,FALSE)</f>
        <v>0</v>
      </c>
      <c r="L274" s="1">
        <f>VLOOKUP(Table1[[#This Row],[Name]],MountsByName[],11,FALSE)</f>
        <v>0</v>
      </c>
      <c r="M274" s="1">
        <f>VLOOKUP(Table1[[#This Row],[Name]],MountsByName[],12,FALSE)</f>
        <v>1</v>
      </c>
      <c r="N27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[473739] ={"Meeksi Rufflefur", 473739, 0, 1, 1, 0, "Meeksi", "0", 1, 0},</v>
      </c>
    </row>
    <row r="275" spans="1:14" x14ac:dyDescent="0.35">
      <c r="A275" s="2">
        <v>473741</v>
      </c>
      <c r="B275" t="s">
        <v>1093</v>
      </c>
      <c r="C275" s="1" t="str">
        <f>VLOOKUP(Table1[[#This Row],[Name]],MountsByName[],2,FALSE)</f>
        <v>Meeksi</v>
      </c>
      <c r="D275" s="1">
        <f>VLOOKUP(Table1[[#This Row],[Name]],MountsByName[],3,FALSE)</f>
        <v>1</v>
      </c>
      <c r="E275" s="1">
        <f>VLOOKUP(Table1[[#This Row],[Name]],MountsByName[],4,FALSE)</f>
        <v>1</v>
      </c>
      <c r="F275" s="1">
        <f>VLOOKUP(Table1[[#This Row],[Name]],MountsByName[],5,FALSE)</f>
        <v>0</v>
      </c>
      <c r="G275" s="1">
        <f>VLOOKUP(Table1[[#This Row],[Name]],MountsByName[],6,FALSE)</f>
        <v>1</v>
      </c>
      <c r="H275" s="1">
        <f>VLOOKUP(Table1[[#This Row],[Name]],MountsByName[],7,FALSE)</f>
        <v>0</v>
      </c>
      <c r="I275" s="1">
        <f>VLOOKUP(Table1[[#This Row],[Name]],MountsByName[],8,FALSE)</f>
        <v>0</v>
      </c>
      <c r="J275" s="1">
        <f>VLOOKUP(Table1[[#This Row],[Name]],MountsByName[],9,FALSE)</f>
        <v>0</v>
      </c>
      <c r="K275" s="1">
        <f>VLOOKUP(Table1[[#This Row],[Name]],MountsByName[],10,FALSE)</f>
        <v>0</v>
      </c>
      <c r="L275" s="1">
        <f>VLOOKUP(Table1[[#This Row],[Name]],MountsByName[],11,FALSE)</f>
        <v>0</v>
      </c>
      <c r="M275" s="1">
        <f>VLOOKUP(Table1[[#This Row],[Name]],MountsByName[],12,FALSE)</f>
        <v>1</v>
      </c>
      <c r="N27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[473741] ={"Meeksi Softpaw", 473741, 0, 1, 1, 0, "Meeksi", "0", 1, 0},</v>
      </c>
    </row>
    <row r="276" spans="1:14" x14ac:dyDescent="0.35">
      <c r="A276" s="2">
        <v>473743</v>
      </c>
      <c r="B276" t="s">
        <v>1101</v>
      </c>
      <c r="C276" s="1" t="str">
        <f>VLOOKUP(Table1[[#This Row],[Name]],MountsByName[],2,FALSE)</f>
        <v>Meeksi</v>
      </c>
      <c r="D276" s="1">
        <f>VLOOKUP(Table1[[#This Row],[Name]],MountsByName[],3,FALSE)</f>
        <v>1</v>
      </c>
      <c r="E276" s="1">
        <f>VLOOKUP(Table1[[#This Row],[Name]],MountsByName[],4,FALSE)</f>
        <v>1</v>
      </c>
      <c r="F276" s="1">
        <f>VLOOKUP(Table1[[#This Row],[Name]],MountsByName[],5,FALSE)</f>
        <v>0</v>
      </c>
      <c r="G276" s="1">
        <f>VLOOKUP(Table1[[#This Row],[Name]],MountsByName[],6,FALSE)</f>
        <v>1</v>
      </c>
      <c r="H276" s="1">
        <f>VLOOKUP(Table1[[#This Row],[Name]],MountsByName[],7,FALSE)</f>
        <v>0</v>
      </c>
      <c r="I276" s="1">
        <f>VLOOKUP(Table1[[#This Row],[Name]],MountsByName[],8,FALSE)</f>
        <v>0</v>
      </c>
      <c r="J276" s="1">
        <f>VLOOKUP(Table1[[#This Row],[Name]],MountsByName[],9,FALSE)</f>
        <v>0</v>
      </c>
      <c r="K276" s="1">
        <f>VLOOKUP(Table1[[#This Row],[Name]],MountsByName[],10,FALSE)</f>
        <v>0</v>
      </c>
      <c r="L276" s="1">
        <f>VLOOKUP(Table1[[#This Row],[Name]],MountsByName[],11,FALSE)</f>
        <v>0</v>
      </c>
      <c r="M276" s="1">
        <f>VLOOKUP(Table1[[#This Row],[Name]],MountsByName[],12,FALSE)</f>
        <v>1</v>
      </c>
      <c r="N27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[473743] ={"Meeksi Rollingpaw", 473743, 0, 1, 1, 0, "Meeksi", "0", 1, 0},</v>
      </c>
    </row>
    <row r="277" spans="1:14" x14ac:dyDescent="0.35">
      <c r="A277" s="2">
        <v>473744</v>
      </c>
      <c r="B277" t="s">
        <v>1092</v>
      </c>
      <c r="C277" s="1" t="str">
        <f>VLOOKUP(Table1[[#This Row],[Name]],MountsByName[],2,FALSE)</f>
        <v>Meeksi</v>
      </c>
      <c r="D277" s="1">
        <f>VLOOKUP(Table1[[#This Row],[Name]],MountsByName[],3,FALSE)</f>
        <v>1</v>
      </c>
      <c r="E277" s="1">
        <f>VLOOKUP(Table1[[#This Row],[Name]],MountsByName[],4,FALSE)</f>
        <v>1</v>
      </c>
      <c r="F277" s="1">
        <f>VLOOKUP(Table1[[#This Row],[Name]],MountsByName[],5,FALSE)</f>
        <v>0</v>
      </c>
      <c r="G277" s="1">
        <f>VLOOKUP(Table1[[#This Row],[Name]],MountsByName[],6,FALSE)</f>
        <v>1</v>
      </c>
      <c r="H277" s="1">
        <f>VLOOKUP(Table1[[#This Row],[Name]],MountsByName[],7,FALSE)</f>
        <v>0</v>
      </c>
      <c r="I277" s="1">
        <f>VLOOKUP(Table1[[#This Row],[Name]],MountsByName[],8,FALSE)</f>
        <v>0</v>
      </c>
      <c r="J277" s="1">
        <f>VLOOKUP(Table1[[#This Row],[Name]],MountsByName[],9,FALSE)</f>
        <v>0</v>
      </c>
      <c r="K277" s="1">
        <f>VLOOKUP(Table1[[#This Row],[Name]],MountsByName[],10,FALSE)</f>
        <v>0</v>
      </c>
      <c r="L277" s="1">
        <f>VLOOKUP(Table1[[#This Row],[Name]],MountsByName[],11,FALSE)</f>
        <v>0</v>
      </c>
      <c r="M277" s="1">
        <f>VLOOKUP(Table1[[#This Row],[Name]],MountsByName[],12,FALSE)</f>
        <v>1</v>
      </c>
      <c r="N27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[473744] ={"Meeksi Teatuft", 473744, 0, 1, 1, 0, "Meeksi", "0", 1, 0},</v>
      </c>
    </row>
    <row r="278" spans="1:14" x14ac:dyDescent="0.35">
      <c r="A278" s="2">
        <v>473745</v>
      </c>
      <c r="B278" t="s">
        <v>1102</v>
      </c>
      <c r="C278" s="1" t="str">
        <f>VLOOKUP(Table1[[#This Row],[Name]],MountsByName[],2,FALSE)</f>
        <v>Meeksi</v>
      </c>
      <c r="D278" s="1">
        <f>VLOOKUP(Table1[[#This Row],[Name]],MountsByName[],3,FALSE)</f>
        <v>1</v>
      </c>
      <c r="E278" s="1">
        <f>VLOOKUP(Table1[[#This Row],[Name]],MountsByName[],4,FALSE)</f>
        <v>1</v>
      </c>
      <c r="F278" s="1">
        <f>VLOOKUP(Table1[[#This Row],[Name]],MountsByName[],5,FALSE)</f>
        <v>0</v>
      </c>
      <c r="G278" s="1">
        <f>VLOOKUP(Table1[[#This Row],[Name]],MountsByName[],6,FALSE)</f>
        <v>1</v>
      </c>
      <c r="H278" s="1">
        <f>VLOOKUP(Table1[[#This Row],[Name]],MountsByName[],7,FALSE)</f>
        <v>0</v>
      </c>
      <c r="I278" s="1">
        <f>VLOOKUP(Table1[[#This Row],[Name]],MountsByName[],8,FALSE)</f>
        <v>0</v>
      </c>
      <c r="J278" s="1">
        <f>VLOOKUP(Table1[[#This Row],[Name]],MountsByName[],9,FALSE)</f>
        <v>0</v>
      </c>
      <c r="K278" s="1">
        <f>VLOOKUP(Table1[[#This Row],[Name]],MountsByName[],10,FALSE)</f>
        <v>0</v>
      </c>
      <c r="L278" s="1">
        <f>VLOOKUP(Table1[[#This Row],[Name]],MountsByName[],11,FALSE)</f>
        <v>0</v>
      </c>
      <c r="M278" s="1">
        <f>VLOOKUP(Table1[[#This Row],[Name]],MountsByName[],12,FALSE)</f>
        <v>1</v>
      </c>
      <c r="N27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[473745] ={"Meeksi Brewthief", 473745, 0, 1, 1, 0, "Meeksi", "0", 1, 0},</v>
      </c>
    </row>
    <row r="279" spans="1:14" x14ac:dyDescent="0.35">
      <c r="A279" s="2">
        <v>1224596</v>
      </c>
      <c r="B279" t="s">
        <v>1121</v>
      </c>
      <c r="C279" s="1" t="str">
        <f>VLOOKUP(Table1[[#This Row],[Name]],MountsByName[],2,FALSE)</f>
        <v>Meeksi</v>
      </c>
      <c r="D279" s="1">
        <f>VLOOKUP(Table1[[#This Row],[Name]],MountsByName[],3,FALSE)</f>
        <v>1</v>
      </c>
      <c r="E279" s="1">
        <f>VLOOKUP(Table1[[#This Row],[Name]],MountsByName[],4,FALSE)</f>
        <v>1</v>
      </c>
      <c r="F279" s="1">
        <f>VLOOKUP(Table1[[#This Row],[Name]],MountsByName[],5,FALSE)</f>
        <v>0</v>
      </c>
      <c r="G279" s="1">
        <f>VLOOKUP(Table1[[#This Row],[Name]],MountsByName[],6,FALSE)</f>
        <v>1</v>
      </c>
      <c r="H279" s="1">
        <f>VLOOKUP(Table1[[#This Row],[Name]],MountsByName[],7,FALSE)</f>
        <v>0</v>
      </c>
      <c r="I279" s="1">
        <f>VLOOKUP(Table1[[#This Row],[Name]],MountsByName[],8,FALSE)</f>
        <v>0</v>
      </c>
      <c r="J279" s="1">
        <f>VLOOKUP(Table1[[#This Row],[Name]],MountsByName[],9,FALSE)</f>
        <v>0</v>
      </c>
      <c r="K279" s="1">
        <f>VLOOKUP(Table1[[#This Row],[Name]],MountsByName[],10,FALSE)</f>
        <v>0</v>
      </c>
      <c r="L279" s="1">
        <f>VLOOKUP(Table1[[#This Row],[Name]],MountsByName[],11,FALSE)</f>
        <v>0</v>
      </c>
      <c r="M279" s="1">
        <f>VLOOKUP(Table1[[#This Row],[Name]],MountsByName[],12,FALSE)</f>
        <v>1</v>
      </c>
      <c r="N27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[1224596] ={"Meeksi Teapuff", 1224596, 0, 1, 1, 0, "Meeksi", "0", 1, 0},</v>
      </c>
    </row>
    <row r="280" spans="1:14" x14ac:dyDescent="0.35">
      <c r="A280" s="2">
        <v>1224643</v>
      </c>
      <c r="B280" t="s">
        <v>1090</v>
      </c>
      <c r="C280" s="1" t="str">
        <f>VLOOKUP(Table1[[#This Row],[Name]],MountsByName[],2,FALSE)</f>
        <v>Meeksi</v>
      </c>
      <c r="D280" s="1">
        <f>VLOOKUP(Table1[[#This Row],[Name]],MountsByName[],3,FALSE)</f>
        <v>1</v>
      </c>
      <c r="E280" s="1">
        <f>VLOOKUP(Table1[[#This Row],[Name]],MountsByName[],4,FALSE)</f>
        <v>1</v>
      </c>
      <c r="F280" s="1">
        <f>VLOOKUP(Table1[[#This Row],[Name]],MountsByName[],5,FALSE)</f>
        <v>0</v>
      </c>
      <c r="G280" s="1">
        <f>VLOOKUP(Table1[[#This Row],[Name]],MountsByName[],6,FALSE)</f>
        <v>1</v>
      </c>
      <c r="H280" s="1">
        <f>VLOOKUP(Table1[[#This Row],[Name]],MountsByName[],7,FALSE)</f>
        <v>0</v>
      </c>
      <c r="I280" s="1">
        <f>VLOOKUP(Table1[[#This Row],[Name]],MountsByName[],8,FALSE)</f>
        <v>0</v>
      </c>
      <c r="J280" s="1">
        <f>VLOOKUP(Table1[[#This Row],[Name]],MountsByName[],9,FALSE)</f>
        <v>0</v>
      </c>
      <c r="K280" s="1">
        <f>VLOOKUP(Table1[[#This Row],[Name]],MountsByName[],10,FALSE)</f>
        <v>0</v>
      </c>
      <c r="L280" s="1">
        <f>VLOOKUP(Table1[[#This Row],[Name]],MountsByName[],11,FALSE)</f>
        <v>0</v>
      </c>
      <c r="M280" s="1">
        <f>VLOOKUP(Table1[[#This Row],[Name]],MountsByName[],12,FALSE)</f>
        <v>1</v>
      </c>
      <c r="N28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[1224643] ={"Meeksi Gentlepaw", 1224643, 0, 1, 1, 0, "Meeksi", "0", 1, 0},</v>
      </c>
    </row>
    <row r="281" spans="1:14" x14ac:dyDescent="0.35">
      <c r="A281" s="2">
        <v>1224645</v>
      </c>
      <c r="B281" t="s">
        <v>1089</v>
      </c>
      <c r="C281" s="1" t="str">
        <f>VLOOKUP(Table1[[#This Row],[Name]],MountsByName[],2,FALSE)</f>
        <v>Meeksi</v>
      </c>
      <c r="D281" s="1">
        <f>VLOOKUP(Table1[[#This Row],[Name]],MountsByName[],3,FALSE)</f>
        <v>1</v>
      </c>
      <c r="E281" s="1">
        <f>VLOOKUP(Table1[[#This Row],[Name]],MountsByName[],4,FALSE)</f>
        <v>1</v>
      </c>
      <c r="F281" s="1">
        <f>VLOOKUP(Table1[[#This Row],[Name]],MountsByName[],5,FALSE)</f>
        <v>0</v>
      </c>
      <c r="G281" s="1">
        <f>VLOOKUP(Table1[[#This Row],[Name]],MountsByName[],6,FALSE)</f>
        <v>1</v>
      </c>
      <c r="H281" s="1">
        <f>VLOOKUP(Table1[[#This Row],[Name]],MountsByName[],7,FALSE)</f>
        <v>0</v>
      </c>
      <c r="I281" s="1">
        <f>VLOOKUP(Table1[[#This Row],[Name]],MountsByName[],8,FALSE)</f>
        <v>0</v>
      </c>
      <c r="J281" s="1">
        <f>VLOOKUP(Table1[[#This Row],[Name]],MountsByName[],9,FALSE)</f>
        <v>0</v>
      </c>
      <c r="K281" s="1">
        <f>VLOOKUP(Table1[[#This Row],[Name]],MountsByName[],10,FALSE)</f>
        <v>0</v>
      </c>
      <c r="L281" s="1">
        <f>VLOOKUP(Table1[[#This Row],[Name]],MountsByName[],11,FALSE)</f>
        <v>0</v>
      </c>
      <c r="M281" s="1">
        <f>VLOOKUP(Table1[[#This Row],[Name]],MountsByName[],12,FALSE)</f>
        <v>1</v>
      </c>
      <c r="N281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[1224645] ={"Meeksi Rufflemane", 1224645, 0, 1, 1, 0, "Meeksi", "0", 1, 0},</v>
      </c>
    </row>
    <row r="282" spans="1:14" x14ac:dyDescent="0.35">
      <c r="A282" s="2">
        <v>1224646</v>
      </c>
      <c r="B282" t="s">
        <v>1087</v>
      </c>
      <c r="C282" s="1" t="str">
        <f>VLOOKUP(Table1[[#This Row],[Name]],MountsByName[],2,FALSE)</f>
        <v>Meeksi</v>
      </c>
      <c r="D282" s="1">
        <f>VLOOKUP(Table1[[#This Row],[Name]],MountsByName[],3,FALSE)</f>
        <v>1</v>
      </c>
      <c r="E282" s="1">
        <f>VLOOKUP(Table1[[#This Row],[Name]],MountsByName[],4,FALSE)</f>
        <v>1</v>
      </c>
      <c r="F282" s="1">
        <f>VLOOKUP(Table1[[#This Row],[Name]],MountsByName[],5,FALSE)</f>
        <v>0</v>
      </c>
      <c r="G282" s="1">
        <f>VLOOKUP(Table1[[#This Row],[Name]],MountsByName[],6,FALSE)</f>
        <v>1</v>
      </c>
      <c r="H282" s="1">
        <f>VLOOKUP(Table1[[#This Row],[Name]],MountsByName[],7,FALSE)</f>
        <v>0</v>
      </c>
      <c r="I282" s="1">
        <f>VLOOKUP(Table1[[#This Row],[Name]],MountsByName[],8,FALSE)</f>
        <v>0</v>
      </c>
      <c r="J282" s="1">
        <f>VLOOKUP(Table1[[#This Row],[Name]],MountsByName[],9,FALSE)</f>
        <v>0</v>
      </c>
      <c r="K282" s="1">
        <f>VLOOKUP(Table1[[#This Row],[Name]],MountsByName[],10,FALSE)</f>
        <v>0</v>
      </c>
      <c r="L282" s="1">
        <f>VLOOKUP(Table1[[#This Row],[Name]],MountsByName[],11,FALSE)</f>
        <v>0</v>
      </c>
      <c r="M282" s="1">
        <f>VLOOKUP(Table1[[#This Row],[Name]],MountsByName[],12,FALSE)</f>
        <v>1</v>
      </c>
      <c r="N28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[1224646] ={"Meeksi Wanderpaw", 1224646, 0, 1, 1, 0, "Meeksi", "0", 1, 0},</v>
      </c>
    </row>
    <row r="283" spans="1:14" x14ac:dyDescent="0.35">
      <c r="A283" s="2">
        <v>1224647</v>
      </c>
      <c r="B283" t="s">
        <v>1139</v>
      </c>
      <c r="C283" s="1" t="str">
        <f>VLOOKUP(Table1[[#This Row],[Name]],MountsByName[],2,FALSE)</f>
        <v>Meeksi</v>
      </c>
      <c r="D283" s="1">
        <f>VLOOKUP(Table1[[#This Row],[Name]],MountsByName[],3,FALSE)</f>
        <v>1</v>
      </c>
      <c r="E283" s="1">
        <f>VLOOKUP(Table1[[#This Row],[Name]],MountsByName[],4,FALSE)</f>
        <v>1</v>
      </c>
      <c r="F283" s="1">
        <f>VLOOKUP(Table1[[#This Row],[Name]],MountsByName[],5,FALSE)</f>
        <v>0</v>
      </c>
      <c r="G283" s="1">
        <f>VLOOKUP(Table1[[#This Row],[Name]],MountsByName[],6,FALSE)</f>
        <v>1</v>
      </c>
      <c r="H283" s="1">
        <f>VLOOKUP(Table1[[#This Row],[Name]],MountsByName[],7,FALSE)</f>
        <v>0</v>
      </c>
      <c r="I283" s="1">
        <f>VLOOKUP(Table1[[#This Row],[Name]],MountsByName[],8,FALSE)</f>
        <v>0</v>
      </c>
      <c r="J283" s="1">
        <f>VLOOKUP(Table1[[#This Row],[Name]],MountsByName[],9,FALSE)</f>
        <v>0</v>
      </c>
      <c r="K283" s="1">
        <f>VLOOKUP(Table1[[#This Row],[Name]],MountsByName[],10,FALSE)</f>
        <v>0</v>
      </c>
      <c r="L283" s="1">
        <f>VLOOKUP(Table1[[#This Row],[Name]],MountsByName[],11,FALSE)</f>
        <v>0</v>
      </c>
      <c r="M283" s="1">
        <f>VLOOKUP(Table1[[#This Row],[Name]],MountsByName[],12,FALSE)</f>
        <v>1</v>
      </c>
      <c r="N28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[1224647] ={"Meeksi Brewrobber", 1224647, 0, 1, 1, 0, "Meeksi", "0", 1, 0},</v>
      </c>
    </row>
    <row r="284" spans="1:14" x14ac:dyDescent="0.35">
      <c r="A284" s="2">
        <v>130965</v>
      </c>
      <c r="B284" t="s">
        <v>1125</v>
      </c>
      <c r="C284" s="1" t="str">
        <f>VLOOKUP(Table1[[#This Row],[Name]],MountsByName[],2,FALSE)</f>
        <v>Mushan</v>
      </c>
      <c r="D284" s="1">
        <f>VLOOKUP(Table1[[#This Row],[Name]],MountsByName[],3,FALSE)</f>
        <v>1</v>
      </c>
      <c r="E284" s="1">
        <f>VLOOKUP(Table1[[#This Row],[Name]],MountsByName[],4,FALSE)</f>
        <v>1</v>
      </c>
      <c r="F284" s="1">
        <f>VLOOKUP(Table1[[#This Row],[Name]],MountsByName[],5,FALSE)</f>
        <v>0</v>
      </c>
      <c r="G284" s="1">
        <f>VLOOKUP(Table1[[#This Row],[Name]],MountsByName[],6,FALSE)</f>
        <v>1</v>
      </c>
      <c r="H284" s="1">
        <f>VLOOKUP(Table1[[#This Row],[Name]],MountsByName[],7,FALSE)</f>
        <v>0</v>
      </c>
      <c r="I284" s="1">
        <f>VLOOKUP(Table1[[#This Row],[Name]],MountsByName[],8,FALSE)</f>
        <v>0</v>
      </c>
      <c r="J284" s="1">
        <f>VLOOKUP(Table1[[#This Row],[Name]],MountsByName[],9,FALSE)</f>
        <v>0</v>
      </c>
      <c r="K284" s="1">
        <f>VLOOKUP(Table1[[#This Row],[Name]],MountsByName[],10,FALSE)</f>
        <v>0</v>
      </c>
      <c r="L284" s="1">
        <f>VLOOKUP(Table1[[#This Row],[Name]],MountsByName[],11,FALSE)</f>
        <v>0</v>
      </c>
      <c r="M284" s="1">
        <f>VLOOKUP(Table1[[#This Row],[Name]],MountsByName[],12,FALSE)</f>
        <v>1</v>
      </c>
      <c r="N28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[130965] ={"Son of Galleon", 130965, 0, 1, 1, 0, "Mushan", "0", 1, 0},</v>
      </c>
    </row>
    <row r="285" spans="1:14" x14ac:dyDescent="0.35">
      <c r="A285" s="2">
        <v>142641</v>
      </c>
      <c r="B285" t="s">
        <v>1070</v>
      </c>
      <c r="C285" s="1" t="str">
        <f>VLOOKUP(Table1[[#This Row],[Name]],MountsByName[],2,FALSE)</f>
        <v>Mushan</v>
      </c>
      <c r="D285" s="1">
        <f>VLOOKUP(Table1[[#This Row],[Name]],MountsByName[],3,FALSE)</f>
        <v>1</v>
      </c>
      <c r="E285" s="1">
        <f>VLOOKUP(Table1[[#This Row],[Name]],MountsByName[],4,FALSE)</f>
        <v>1</v>
      </c>
      <c r="F285" s="1">
        <f>VLOOKUP(Table1[[#This Row],[Name]],MountsByName[],5,FALSE)</f>
        <v>0</v>
      </c>
      <c r="G285" s="1">
        <f>VLOOKUP(Table1[[#This Row],[Name]],MountsByName[],6,FALSE)</f>
        <v>1</v>
      </c>
      <c r="H285" s="1">
        <f>VLOOKUP(Table1[[#This Row],[Name]],MountsByName[],7,FALSE)</f>
        <v>0</v>
      </c>
      <c r="I285" s="1">
        <f>VLOOKUP(Table1[[#This Row],[Name]],MountsByName[],8,FALSE)</f>
        <v>0</v>
      </c>
      <c r="J285" s="1">
        <f>VLOOKUP(Table1[[#This Row],[Name]],MountsByName[],9,FALSE)</f>
        <v>0</v>
      </c>
      <c r="K285" s="1">
        <f>VLOOKUP(Table1[[#This Row],[Name]],MountsByName[],10,FALSE)</f>
        <v>0</v>
      </c>
      <c r="L285" s="1">
        <f>VLOOKUP(Table1[[#This Row],[Name]],MountsByName[],11,FALSE)</f>
        <v>0</v>
      </c>
      <c r="M285" s="1">
        <f>VLOOKUP(Table1[[#This Row],[Name]],MountsByName[],12,FALSE)</f>
        <v>1</v>
      </c>
      <c r="N28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[142641] ={"Brawler's Burly Mushan Beast", 142641, 0, 1, 1, 0, "Mushan", "0", 1, 0},</v>
      </c>
    </row>
    <row r="286" spans="1:14" x14ac:dyDescent="0.35">
      <c r="A286" s="2">
        <v>148428</v>
      </c>
      <c r="B286" t="s">
        <v>1105</v>
      </c>
      <c r="C286" s="1" t="str">
        <f>VLOOKUP(Table1[[#This Row],[Name]],MountsByName[],2,FALSE)</f>
        <v>Mushan</v>
      </c>
      <c r="D286" s="1">
        <f>VLOOKUP(Table1[[#This Row],[Name]],MountsByName[],3,FALSE)</f>
        <v>1</v>
      </c>
      <c r="E286" s="1">
        <f>VLOOKUP(Table1[[#This Row],[Name]],MountsByName[],4,FALSE)</f>
        <v>1</v>
      </c>
      <c r="F286" s="1">
        <f>VLOOKUP(Table1[[#This Row],[Name]],MountsByName[],5,FALSE)</f>
        <v>0</v>
      </c>
      <c r="G286" s="1">
        <f>VLOOKUP(Table1[[#This Row],[Name]],MountsByName[],6,FALSE)</f>
        <v>1</v>
      </c>
      <c r="H286" s="1">
        <f>VLOOKUP(Table1[[#This Row],[Name]],MountsByName[],7,FALSE)</f>
        <v>0</v>
      </c>
      <c r="I286" s="1">
        <f>VLOOKUP(Table1[[#This Row],[Name]],MountsByName[],8,FALSE)</f>
        <v>0</v>
      </c>
      <c r="J286" s="1">
        <f>VLOOKUP(Table1[[#This Row],[Name]],MountsByName[],9,FALSE)</f>
        <v>0</v>
      </c>
      <c r="K286" s="1">
        <f>VLOOKUP(Table1[[#This Row],[Name]],MountsByName[],10,FALSE)</f>
        <v>0</v>
      </c>
      <c r="L286" s="1">
        <f>VLOOKUP(Table1[[#This Row],[Name]],MountsByName[],11,FALSE)</f>
        <v>0</v>
      </c>
      <c r="M286" s="1">
        <f>VLOOKUP(Table1[[#This Row],[Name]],MountsByName[],12,FALSE)</f>
        <v>1</v>
      </c>
      <c r="N28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[148428] ={"Ashhide Mushan Beast", 148428, 0, 1, 1, 0, "Mushan", "0", 1, 0},</v>
      </c>
    </row>
    <row r="287" spans="1:14" x14ac:dyDescent="0.35">
      <c r="A287" s="2">
        <v>28828</v>
      </c>
      <c r="B287" t="s">
        <v>41</v>
      </c>
      <c r="C287" s="1" t="str">
        <f>VLOOKUP(Table1[[#This Row],[Name]],MountsByName[],2,FALSE)</f>
        <v>Nether Drake</v>
      </c>
      <c r="D287" s="1">
        <f>VLOOKUP(Table1[[#This Row],[Name]],MountsByName[],3,FALSE)</f>
        <v>1.5</v>
      </c>
      <c r="E287" s="1">
        <f>VLOOKUP(Table1[[#This Row],[Name]],MountsByName[],4,FALSE)</f>
        <v>1.5</v>
      </c>
      <c r="F287" s="1">
        <f>VLOOKUP(Table1[[#This Row],[Name]],MountsByName[],5,FALSE)</f>
        <v>0</v>
      </c>
      <c r="G287" s="1">
        <f>VLOOKUP(Table1[[#This Row],[Name]],MountsByName[],6,FALSE)</f>
        <v>1</v>
      </c>
      <c r="H287" s="1">
        <f>VLOOKUP(Table1[[#This Row],[Name]],MountsByName[],7,FALSE)</f>
        <v>0</v>
      </c>
      <c r="I287" s="1">
        <f>VLOOKUP(Table1[[#This Row],[Name]],MountsByName[],8,FALSE)</f>
        <v>0</v>
      </c>
      <c r="J287" s="1" t="str">
        <f>VLOOKUP(Table1[[#This Row],[Name]],MountsByName[],9,FALSE)</f>
        <v>?</v>
      </c>
      <c r="K287" s="1">
        <f>VLOOKUP(Table1[[#This Row],[Name]],MountsByName[],10,FALSE)</f>
        <v>1</v>
      </c>
      <c r="L287" s="1">
        <f>VLOOKUP(Table1[[#This Row],[Name]],MountsByName[],11,FALSE)</f>
        <v>1</v>
      </c>
      <c r="M287" s="1">
        <f>VLOOKUP(Table1[[#This Row],[Name]],MountsByName[],12,FALSE)</f>
        <v>1</v>
      </c>
      <c r="N28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[28828] ={"Nether Drake", 28828, 0, 1.5, 1.5, 0, "Nether Drake", "?", 1, 0},</v>
      </c>
    </row>
    <row r="288" spans="1:14" x14ac:dyDescent="0.35">
      <c r="A288" s="2">
        <v>37015</v>
      </c>
      <c r="B288" t="s">
        <v>61</v>
      </c>
      <c r="C288" s="1" t="str">
        <f>VLOOKUP(Table1[[#This Row],[Name]],MountsByName[],2,FALSE)</f>
        <v>Nether Drake</v>
      </c>
      <c r="D288" s="1">
        <f>VLOOKUP(Table1[[#This Row],[Name]],MountsByName[],3,FALSE)</f>
        <v>3.1</v>
      </c>
      <c r="E288" s="1">
        <f>VLOOKUP(Table1[[#This Row],[Name]],MountsByName[],4,FALSE)</f>
        <v>3.1</v>
      </c>
      <c r="F288" s="1">
        <f>VLOOKUP(Table1[[#This Row],[Name]],MountsByName[],5,FALSE)</f>
        <v>0</v>
      </c>
      <c r="G288" s="1">
        <f>VLOOKUP(Table1[[#This Row],[Name]],MountsByName[],6,FALSE)</f>
        <v>1</v>
      </c>
      <c r="H288" s="1">
        <f>VLOOKUP(Table1[[#This Row],[Name]],MountsByName[],7,FALSE)</f>
        <v>0</v>
      </c>
      <c r="I288" s="1">
        <f>VLOOKUP(Table1[[#This Row],[Name]],MountsByName[],8,FALSE)</f>
        <v>30609</v>
      </c>
      <c r="J288" s="1" t="str">
        <f>VLOOKUP(Table1[[#This Row],[Name]],MountsByName[],9,FALSE)</f>
        <v>Gladiator</v>
      </c>
      <c r="K288" s="1">
        <f>VLOOKUP(Table1[[#This Row],[Name]],MountsByName[],10,FALSE)</f>
        <v>1</v>
      </c>
      <c r="L288" s="1">
        <f>VLOOKUP(Table1[[#This Row],[Name]],MountsByName[],11,FALSE)</f>
        <v>1</v>
      </c>
      <c r="M288" s="1">
        <f>VLOOKUP(Table1[[#This Row],[Name]],MountsByName[],12,FALSE)</f>
        <v>1</v>
      </c>
      <c r="N28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[37015] ={"Swift Nether Drake", 37015, 30609, 3.1, 3.1, 0, "Nether Drake", "Gladiator", 1, 0},</v>
      </c>
    </row>
    <row r="289" spans="1:14" x14ac:dyDescent="0.35">
      <c r="A289" s="2">
        <v>41513</v>
      </c>
      <c r="B289" t="s">
        <v>42</v>
      </c>
      <c r="C289" s="1" t="str">
        <f>VLOOKUP(Table1[[#This Row],[Name]],MountsByName[],2,FALSE)</f>
        <v>Nether Drake</v>
      </c>
      <c r="D289" s="1">
        <f>VLOOKUP(Table1[[#This Row],[Name]],MountsByName[],3,FALSE)</f>
        <v>2.8</v>
      </c>
      <c r="E289" s="1">
        <f>VLOOKUP(Table1[[#This Row],[Name]],MountsByName[],4,FALSE)</f>
        <v>2.8</v>
      </c>
      <c r="F289" s="1">
        <f>VLOOKUP(Table1[[#This Row],[Name]],MountsByName[],5,FALSE)</f>
        <v>0</v>
      </c>
      <c r="G289" s="1">
        <f>VLOOKUP(Table1[[#This Row],[Name]],MountsByName[],6,FALSE)</f>
        <v>1</v>
      </c>
      <c r="H289" s="1">
        <f>VLOOKUP(Table1[[#This Row],[Name]],MountsByName[],7,FALSE)</f>
        <v>0</v>
      </c>
      <c r="I289" s="1">
        <f>VLOOKUP(Table1[[#This Row],[Name]],MountsByName[],8,FALSE)</f>
        <v>32857</v>
      </c>
      <c r="J289" s="1" t="str">
        <f>VLOOKUP(Table1[[#This Row],[Name]],MountsByName[],9,FALSE)</f>
        <v>Exalted Netherwing</v>
      </c>
      <c r="K289" s="1">
        <f>VLOOKUP(Table1[[#This Row],[Name]],MountsByName[],10,FALSE)</f>
        <v>1</v>
      </c>
      <c r="L289" s="1">
        <f>VLOOKUP(Table1[[#This Row],[Name]],MountsByName[],11,FALSE)</f>
        <v>1</v>
      </c>
      <c r="M289" s="1">
        <f>VLOOKUP(Table1[[#This Row],[Name]],MountsByName[],12,FALSE)</f>
        <v>1</v>
      </c>
      <c r="N28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[41513] ={"Onyx Netherwing Drake", 41513, 32857, 2.8, 2.8, 0, "Nether Drake", "Exalted Netherwing", 1, 0},</v>
      </c>
    </row>
    <row r="290" spans="1:14" x14ac:dyDescent="0.35">
      <c r="A290" s="2">
        <v>41514</v>
      </c>
      <c r="B290" t="s">
        <v>10</v>
      </c>
      <c r="C290" s="1" t="str">
        <f>VLOOKUP(Table1[[#This Row],[Name]],MountsByName[],2,FALSE)</f>
        <v>Nether Drake</v>
      </c>
      <c r="D290" s="1">
        <f>VLOOKUP(Table1[[#This Row],[Name]],MountsByName[],3,FALSE)</f>
        <v>2.8</v>
      </c>
      <c r="E290" s="1">
        <f>VLOOKUP(Table1[[#This Row],[Name]],MountsByName[],4,FALSE)</f>
        <v>2.8</v>
      </c>
      <c r="F290" s="1">
        <f>VLOOKUP(Table1[[#This Row],[Name]],MountsByName[],5,FALSE)</f>
        <v>0</v>
      </c>
      <c r="G290" s="1">
        <f>VLOOKUP(Table1[[#This Row],[Name]],MountsByName[],6,FALSE)</f>
        <v>1</v>
      </c>
      <c r="H290" s="1">
        <f>VLOOKUP(Table1[[#This Row],[Name]],MountsByName[],7,FALSE)</f>
        <v>0</v>
      </c>
      <c r="I290" s="1">
        <f>VLOOKUP(Table1[[#This Row],[Name]],MountsByName[],8,FALSE)</f>
        <v>32858</v>
      </c>
      <c r="J290" s="1" t="str">
        <f>VLOOKUP(Table1[[#This Row],[Name]],MountsByName[],9,FALSE)</f>
        <v>Exalted Netherwing</v>
      </c>
      <c r="K290" s="1">
        <f>VLOOKUP(Table1[[#This Row],[Name]],MountsByName[],10,FALSE)</f>
        <v>1</v>
      </c>
      <c r="L290" s="1">
        <f>VLOOKUP(Table1[[#This Row],[Name]],MountsByName[],11,FALSE)</f>
        <v>1</v>
      </c>
      <c r="M290" s="1">
        <f>VLOOKUP(Table1[[#This Row],[Name]],MountsByName[],12,FALSE)</f>
        <v>1</v>
      </c>
      <c r="N29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[41514] ={"Azure Netherwing Drake", 41514, 32858, 2.8, 2.8, 0, "Nether Drake", "Exalted Netherwing", 1, 0},</v>
      </c>
    </row>
    <row r="291" spans="1:14" x14ac:dyDescent="0.35">
      <c r="A291" s="2">
        <v>41515</v>
      </c>
      <c r="B291" t="s">
        <v>23</v>
      </c>
      <c r="C291" s="1" t="str">
        <f>VLOOKUP(Table1[[#This Row],[Name]],MountsByName[],2,FALSE)</f>
        <v>Nether Drake</v>
      </c>
      <c r="D291" s="1">
        <f>VLOOKUP(Table1[[#This Row],[Name]],MountsByName[],3,FALSE)</f>
        <v>2.8</v>
      </c>
      <c r="E291" s="1">
        <f>VLOOKUP(Table1[[#This Row],[Name]],MountsByName[],4,FALSE)</f>
        <v>2.8</v>
      </c>
      <c r="F291" s="1">
        <f>VLOOKUP(Table1[[#This Row],[Name]],MountsByName[],5,FALSE)</f>
        <v>0</v>
      </c>
      <c r="G291" s="1">
        <f>VLOOKUP(Table1[[#This Row],[Name]],MountsByName[],6,FALSE)</f>
        <v>1</v>
      </c>
      <c r="H291" s="1">
        <f>VLOOKUP(Table1[[#This Row],[Name]],MountsByName[],7,FALSE)</f>
        <v>0</v>
      </c>
      <c r="I291" s="1">
        <f>VLOOKUP(Table1[[#This Row],[Name]],MountsByName[],8,FALSE)</f>
        <v>32859</v>
      </c>
      <c r="J291" s="1" t="str">
        <f>VLOOKUP(Table1[[#This Row],[Name]],MountsByName[],9,FALSE)</f>
        <v>Exalted Netherwing</v>
      </c>
      <c r="K291" s="1">
        <f>VLOOKUP(Table1[[#This Row],[Name]],MountsByName[],10,FALSE)</f>
        <v>1</v>
      </c>
      <c r="L291" s="1">
        <f>VLOOKUP(Table1[[#This Row],[Name]],MountsByName[],11,FALSE)</f>
        <v>1</v>
      </c>
      <c r="M291" s="1">
        <f>VLOOKUP(Table1[[#This Row],[Name]],MountsByName[],12,FALSE)</f>
        <v>1</v>
      </c>
      <c r="N291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[41515] ={"Cobalt Netherwing Drake", 41515, 32859, 2.8, 2.8, 0, "Nether Drake", "Exalted Netherwing", 1, 0},</v>
      </c>
    </row>
    <row r="292" spans="1:14" x14ac:dyDescent="0.35">
      <c r="A292" s="2">
        <v>41516</v>
      </c>
      <c r="B292" t="s">
        <v>46</v>
      </c>
      <c r="C292" s="1" t="str">
        <f>VLOOKUP(Table1[[#This Row],[Name]],MountsByName[],2,FALSE)</f>
        <v>Nether Drake</v>
      </c>
      <c r="D292" s="1">
        <f>VLOOKUP(Table1[[#This Row],[Name]],MountsByName[],3,FALSE)</f>
        <v>2.8</v>
      </c>
      <c r="E292" s="1">
        <f>VLOOKUP(Table1[[#This Row],[Name]],MountsByName[],4,FALSE)</f>
        <v>2.8</v>
      </c>
      <c r="F292" s="1">
        <f>VLOOKUP(Table1[[#This Row],[Name]],MountsByName[],5,FALSE)</f>
        <v>0</v>
      </c>
      <c r="G292" s="1">
        <f>VLOOKUP(Table1[[#This Row],[Name]],MountsByName[],6,FALSE)</f>
        <v>1</v>
      </c>
      <c r="H292" s="1">
        <f>VLOOKUP(Table1[[#This Row],[Name]],MountsByName[],7,FALSE)</f>
        <v>0</v>
      </c>
      <c r="I292" s="1">
        <f>VLOOKUP(Table1[[#This Row],[Name]],MountsByName[],8,FALSE)</f>
        <v>32860</v>
      </c>
      <c r="J292" s="1" t="str">
        <f>VLOOKUP(Table1[[#This Row],[Name]],MountsByName[],9,FALSE)</f>
        <v>Exalted Netherwing</v>
      </c>
      <c r="K292" s="1">
        <f>VLOOKUP(Table1[[#This Row],[Name]],MountsByName[],10,FALSE)</f>
        <v>1</v>
      </c>
      <c r="L292" s="1">
        <f>VLOOKUP(Table1[[#This Row],[Name]],MountsByName[],11,FALSE)</f>
        <v>1</v>
      </c>
      <c r="M292" s="1">
        <f>VLOOKUP(Table1[[#This Row],[Name]],MountsByName[],12,FALSE)</f>
        <v>1</v>
      </c>
      <c r="N29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[41516] ={"Purple Netherwing Drake", 41516, 32860, 2.8, 2.8, 0, "Nether Drake", "Exalted Netherwing", 1, 0},</v>
      </c>
    </row>
    <row r="293" spans="1:14" x14ac:dyDescent="0.35">
      <c r="A293" s="2">
        <v>41517</v>
      </c>
      <c r="B293" t="s">
        <v>72</v>
      </c>
      <c r="C293" s="1" t="str">
        <f>VLOOKUP(Table1[[#This Row],[Name]],MountsByName[],2,FALSE)</f>
        <v>Nether Drake</v>
      </c>
      <c r="D293" s="1">
        <f>VLOOKUP(Table1[[#This Row],[Name]],MountsByName[],3,FALSE)</f>
        <v>2.8</v>
      </c>
      <c r="E293" s="1">
        <f>VLOOKUP(Table1[[#This Row],[Name]],MountsByName[],4,FALSE)</f>
        <v>2.8</v>
      </c>
      <c r="F293" s="1">
        <f>VLOOKUP(Table1[[#This Row],[Name]],MountsByName[],5,FALSE)</f>
        <v>0</v>
      </c>
      <c r="G293" s="1">
        <f>VLOOKUP(Table1[[#This Row],[Name]],MountsByName[],6,FALSE)</f>
        <v>1</v>
      </c>
      <c r="H293" s="1">
        <f>VLOOKUP(Table1[[#This Row],[Name]],MountsByName[],7,FALSE)</f>
        <v>0</v>
      </c>
      <c r="I293" s="1">
        <f>VLOOKUP(Table1[[#This Row],[Name]],MountsByName[],8,FALSE)</f>
        <v>32861</v>
      </c>
      <c r="J293" s="1" t="str">
        <f>VLOOKUP(Table1[[#This Row],[Name]],MountsByName[],9,FALSE)</f>
        <v>Exalted Netherwing</v>
      </c>
      <c r="K293" s="1">
        <f>VLOOKUP(Table1[[#This Row],[Name]],MountsByName[],10,FALSE)</f>
        <v>1</v>
      </c>
      <c r="L293" s="1">
        <f>VLOOKUP(Table1[[#This Row],[Name]],MountsByName[],11,FALSE)</f>
        <v>1</v>
      </c>
      <c r="M293" s="1">
        <f>VLOOKUP(Table1[[#This Row],[Name]],MountsByName[],12,FALSE)</f>
        <v>1</v>
      </c>
      <c r="N29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[41517] ={"Veridian Netherwing Drake", 41517, 32861, 2.8, 2.8, 0, "Nether Drake", "Exalted Netherwing", 1, 0},</v>
      </c>
    </row>
    <row r="294" spans="1:14" x14ac:dyDescent="0.35">
      <c r="A294" s="2">
        <v>41518</v>
      </c>
      <c r="B294" t="s">
        <v>73</v>
      </c>
      <c r="C294" s="1" t="str">
        <f>VLOOKUP(Table1[[#This Row],[Name]],MountsByName[],2,FALSE)</f>
        <v>Nether Drake</v>
      </c>
      <c r="D294" s="1">
        <f>VLOOKUP(Table1[[#This Row],[Name]],MountsByName[],3,FALSE)</f>
        <v>2.8</v>
      </c>
      <c r="E294" s="1">
        <f>VLOOKUP(Table1[[#This Row],[Name]],MountsByName[],4,FALSE)</f>
        <v>2.8</v>
      </c>
      <c r="F294" s="1">
        <f>VLOOKUP(Table1[[#This Row],[Name]],MountsByName[],5,FALSE)</f>
        <v>0</v>
      </c>
      <c r="G294" s="1">
        <f>VLOOKUP(Table1[[#This Row],[Name]],MountsByName[],6,FALSE)</f>
        <v>1</v>
      </c>
      <c r="H294" s="1">
        <f>VLOOKUP(Table1[[#This Row],[Name]],MountsByName[],7,FALSE)</f>
        <v>0</v>
      </c>
      <c r="I294" s="1">
        <f>VLOOKUP(Table1[[#This Row],[Name]],MountsByName[],8,FALSE)</f>
        <v>32862</v>
      </c>
      <c r="J294" s="1" t="str">
        <f>VLOOKUP(Table1[[#This Row],[Name]],MountsByName[],9,FALSE)</f>
        <v>Exalted Netherwing</v>
      </c>
      <c r="K294" s="1">
        <f>VLOOKUP(Table1[[#This Row],[Name]],MountsByName[],10,FALSE)</f>
        <v>1</v>
      </c>
      <c r="L294" s="1">
        <f>VLOOKUP(Table1[[#This Row],[Name]],MountsByName[],11,FALSE)</f>
        <v>1</v>
      </c>
      <c r="M294" s="1">
        <f>VLOOKUP(Table1[[#This Row],[Name]],MountsByName[],12,FALSE)</f>
        <v>1</v>
      </c>
      <c r="N29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[41518] ={"Violet Netherwing Drake", 41518, 32862, 2.8, 2.8, 0, "Nether Drake", "Exalted Netherwing", 1, 0},</v>
      </c>
    </row>
    <row r="295" spans="1:14" x14ac:dyDescent="0.35">
      <c r="A295" s="2">
        <v>44317</v>
      </c>
      <c r="B295" t="s">
        <v>39</v>
      </c>
      <c r="C295" s="1" t="str">
        <f>VLOOKUP(Table1[[#This Row],[Name]],MountsByName[],2,FALSE)</f>
        <v>Nether Drake</v>
      </c>
      <c r="D295" s="1">
        <f>VLOOKUP(Table1[[#This Row],[Name]],MountsByName[],3,FALSE)</f>
        <v>3.1</v>
      </c>
      <c r="E295" s="1">
        <f>VLOOKUP(Table1[[#This Row],[Name]],MountsByName[],4,FALSE)</f>
        <v>3.1</v>
      </c>
      <c r="F295" s="1">
        <f>VLOOKUP(Table1[[#This Row],[Name]],MountsByName[],5,FALSE)</f>
        <v>0</v>
      </c>
      <c r="G295" s="1">
        <f>VLOOKUP(Table1[[#This Row],[Name]],MountsByName[],6,FALSE)</f>
        <v>1</v>
      </c>
      <c r="H295" s="1">
        <f>VLOOKUP(Table1[[#This Row],[Name]],MountsByName[],7,FALSE)</f>
        <v>0</v>
      </c>
      <c r="I295" s="1">
        <f>VLOOKUP(Table1[[#This Row],[Name]],MountsByName[],8,FALSE)</f>
        <v>34092</v>
      </c>
      <c r="J295" s="1" t="str">
        <f>VLOOKUP(Table1[[#This Row],[Name]],MountsByName[],9,FALSE)</f>
        <v>Gladiator</v>
      </c>
      <c r="K295" s="1">
        <f>VLOOKUP(Table1[[#This Row],[Name]],MountsByName[],10,FALSE)</f>
        <v>1</v>
      </c>
      <c r="L295" s="1">
        <f>VLOOKUP(Table1[[#This Row],[Name]],MountsByName[],11,FALSE)</f>
        <v>0</v>
      </c>
      <c r="M295" s="1">
        <f>VLOOKUP(Table1[[#This Row],[Name]],MountsByName[],12,FALSE)</f>
        <v>1</v>
      </c>
      <c r="N29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[44317] ={"Merciless Nether Drake", 44317, 34092, 3.1, 3.1, 0, "Nether Drake", "Gladiator", 1, 0},</v>
      </c>
    </row>
    <row r="296" spans="1:14" x14ac:dyDescent="0.35">
      <c r="A296" s="2">
        <v>44744</v>
      </c>
      <c r="B296" t="s">
        <v>39</v>
      </c>
      <c r="C296" s="1" t="str">
        <f>VLOOKUP(Table1[[#This Row],[Name]],MountsByName[],2,FALSE)</f>
        <v>Nether Drake</v>
      </c>
      <c r="D296" s="1">
        <f>VLOOKUP(Table1[[#This Row],[Name]],MountsByName[],3,FALSE)</f>
        <v>3.1</v>
      </c>
      <c r="E296" s="1">
        <f>VLOOKUP(Table1[[#This Row],[Name]],MountsByName[],4,FALSE)</f>
        <v>3.1</v>
      </c>
      <c r="F296" s="1">
        <f>VLOOKUP(Table1[[#This Row],[Name]],MountsByName[],5,FALSE)</f>
        <v>0</v>
      </c>
      <c r="G296" s="1">
        <f>VLOOKUP(Table1[[#This Row],[Name]],MountsByName[],6,FALSE)</f>
        <v>1</v>
      </c>
      <c r="H296" s="1">
        <f>VLOOKUP(Table1[[#This Row],[Name]],MountsByName[],7,FALSE)</f>
        <v>0</v>
      </c>
      <c r="I296" s="1">
        <f>VLOOKUP(Table1[[#This Row],[Name]],MountsByName[],8,FALSE)</f>
        <v>34092</v>
      </c>
      <c r="J296" s="1" t="str">
        <f>VLOOKUP(Table1[[#This Row],[Name]],MountsByName[],9,FALSE)</f>
        <v>Gladiator</v>
      </c>
      <c r="K296" s="1">
        <f>VLOOKUP(Table1[[#This Row],[Name]],MountsByName[],10,FALSE)</f>
        <v>1</v>
      </c>
      <c r="L296" s="1">
        <f>VLOOKUP(Table1[[#This Row],[Name]],MountsByName[],11,FALSE)</f>
        <v>0</v>
      </c>
      <c r="M296" s="1">
        <f>VLOOKUP(Table1[[#This Row],[Name]],MountsByName[],12,FALSE)</f>
        <v>1</v>
      </c>
      <c r="N29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[44744] ={"Merciless Nether Drake", 44744, 34092, 3.1, 3.1, 0, "Nether Drake", "Gladiator", 1, 0},</v>
      </c>
    </row>
    <row r="297" spans="1:14" x14ac:dyDescent="0.35">
      <c r="A297" s="2">
        <v>49193</v>
      </c>
      <c r="B297" t="s">
        <v>71</v>
      </c>
      <c r="C297" s="1" t="str">
        <f>VLOOKUP(Table1[[#This Row],[Name]],MountsByName[],2,FALSE)</f>
        <v>Nether Drake</v>
      </c>
      <c r="D297" s="1">
        <f>VLOOKUP(Table1[[#This Row],[Name]],MountsByName[],3,FALSE)</f>
        <v>3.1</v>
      </c>
      <c r="E297" s="1">
        <f>VLOOKUP(Table1[[#This Row],[Name]],MountsByName[],4,FALSE)</f>
        <v>3.1</v>
      </c>
      <c r="F297" s="1">
        <f>VLOOKUP(Table1[[#This Row],[Name]],MountsByName[],5,FALSE)</f>
        <v>0</v>
      </c>
      <c r="G297" s="1">
        <f>VLOOKUP(Table1[[#This Row],[Name]],MountsByName[],6,FALSE)</f>
        <v>1</v>
      </c>
      <c r="H297" s="1">
        <f>VLOOKUP(Table1[[#This Row],[Name]],MountsByName[],7,FALSE)</f>
        <v>0</v>
      </c>
      <c r="I297" s="1">
        <f>VLOOKUP(Table1[[#This Row],[Name]],MountsByName[],8,FALSE)</f>
        <v>37676</v>
      </c>
      <c r="J297" s="1" t="str">
        <f>VLOOKUP(Table1[[#This Row],[Name]],MountsByName[],9,FALSE)</f>
        <v>Gladiator</v>
      </c>
      <c r="K297" s="1">
        <f>VLOOKUP(Table1[[#This Row],[Name]],MountsByName[],10,FALSE)</f>
        <v>1</v>
      </c>
      <c r="L297" s="1">
        <f>VLOOKUP(Table1[[#This Row],[Name]],MountsByName[],11,FALSE)</f>
        <v>1</v>
      </c>
      <c r="M297" s="1">
        <f>VLOOKUP(Table1[[#This Row],[Name]],MountsByName[],12,FALSE)</f>
        <v>1</v>
      </c>
      <c r="N29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[49193] ={"Vengeful Nether Drake", 49193, 37676, 3.1, 3.1, 0, "Nether Drake", "Gladiator", 1, 0},</v>
      </c>
    </row>
    <row r="298" spans="1:14" x14ac:dyDescent="0.35">
      <c r="A298" s="2">
        <v>58615</v>
      </c>
      <c r="B298" t="s">
        <v>21</v>
      </c>
      <c r="C298" s="1" t="str">
        <f>VLOOKUP(Table1[[#This Row],[Name]],MountsByName[],2,FALSE)</f>
        <v>Nether Drake</v>
      </c>
      <c r="D298" s="1">
        <f>VLOOKUP(Table1[[#This Row],[Name]],MountsByName[],3,FALSE)</f>
        <v>3.1</v>
      </c>
      <c r="E298" s="1">
        <f>VLOOKUP(Table1[[#This Row],[Name]],MountsByName[],4,FALSE)</f>
        <v>3.1</v>
      </c>
      <c r="F298" s="1">
        <f>VLOOKUP(Table1[[#This Row],[Name]],MountsByName[],5,FALSE)</f>
        <v>0</v>
      </c>
      <c r="G298" s="1">
        <f>VLOOKUP(Table1[[#This Row],[Name]],MountsByName[],6,FALSE)</f>
        <v>1</v>
      </c>
      <c r="H298" s="1">
        <f>VLOOKUP(Table1[[#This Row],[Name]],MountsByName[],7,FALSE)</f>
        <v>0</v>
      </c>
      <c r="I298" s="1">
        <f>VLOOKUP(Table1[[#This Row],[Name]],MountsByName[],8,FALSE)</f>
        <v>43516</v>
      </c>
      <c r="J298" s="1" t="str">
        <f>VLOOKUP(Table1[[#This Row],[Name]],MountsByName[],9,FALSE)</f>
        <v>Gladiator</v>
      </c>
      <c r="K298" s="1">
        <f>VLOOKUP(Table1[[#This Row],[Name]],MountsByName[],10,FALSE)</f>
        <v>1</v>
      </c>
      <c r="L298" s="1">
        <f>VLOOKUP(Table1[[#This Row],[Name]],MountsByName[],11,FALSE)</f>
        <v>1</v>
      </c>
      <c r="M298" s="1">
        <f>VLOOKUP(Table1[[#This Row],[Name]],MountsByName[],12,FALSE)</f>
        <v>1</v>
      </c>
      <c r="N29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[58615] ={"Brutal Nether Drake", 58615, 43516, 3.1, 3.1, 0, "Nether Drake", "Gladiator", 1, 0},</v>
      </c>
    </row>
    <row r="299" spans="1:14" x14ac:dyDescent="0.35">
      <c r="A299" s="2">
        <v>39798</v>
      </c>
      <c r="B299" t="s">
        <v>34</v>
      </c>
      <c r="C299" s="1" t="str">
        <f>VLOOKUP(Table1[[#This Row],[Name]],MountsByName[],2,FALSE)</f>
        <v>Nether Ray</v>
      </c>
      <c r="D299" s="1">
        <f>VLOOKUP(Table1[[#This Row],[Name]],MountsByName[],3,FALSE)</f>
        <v>2.8</v>
      </c>
      <c r="E299" s="1">
        <f>VLOOKUP(Table1[[#This Row],[Name]],MountsByName[],4,FALSE)</f>
        <v>2.8</v>
      </c>
      <c r="F299" s="1">
        <f>VLOOKUP(Table1[[#This Row],[Name]],MountsByName[],5,FALSE)</f>
        <v>0</v>
      </c>
      <c r="G299" s="1">
        <f>VLOOKUP(Table1[[#This Row],[Name]],MountsByName[],6,FALSE)</f>
        <v>1</v>
      </c>
      <c r="H299" s="1">
        <f>VLOOKUP(Table1[[#This Row],[Name]],MountsByName[],7,FALSE)</f>
        <v>0</v>
      </c>
      <c r="I299" s="1">
        <f>VLOOKUP(Table1[[#This Row],[Name]],MountsByName[],8,FALSE)</f>
        <v>32314</v>
      </c>
      <c r="J299" s="1" t="str">
        <f>VLOOKUP(Table1[[#This Row],[Name]],MountsByName[],9,FALSE)</f>
        <v>Exalted Skyguard</v>
      </c>
      <c r="K299" s="1">
        <f>VLOOKUP(Table1[[#This Row],[Name]],MountsByName[],10,FALSE)</f>
        <v>1</v>
      </c>
      <c r="L299" s="1">
        <f>VLOOKUP(Table1[[#This Row],[Name]],MountsByName[],11,FALSE)</f>
        <v>1</v>
      </c>
      <c r="M299" s="1">
        <f>VLOOKUP(Table1[[#This Row],[Name]],MountsByName[],12,FALSE)</f>
        <v>1</v>
      </c>
      <c r="N29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[39798] ={"Green Riding Nether Ray", 39798, 32314, 2.8, 2.8, 0, "Nether Ray", "Exalted Skyguard", 1, 0},</v>
      </c>
    </row>
    <row r="300" spans="1:14" x14ac:dyDescent="0.35">
      <c r="A300" s="2">
        <v>39800</v>
      </c>
      <c r="B300" t="s">
        <v>51</v>
      </c>
      <c r="C300" s="1" t="str">
        <f>VLOOKUP(Table1[[#This Row],[Name]],MountsByName[],2,FALSE)</f>
        <v>Nether Ray</v>
      </c>
      <c r="D300" s="1">
        <f>VLOOKUP(Table1[[#This Row],[Name]],MountsByName[],3,FALSE)</f>
        <v>2.8</v>
      </c>
      <c r="E300" s="1">
        <f>VLOOKUP(Table1[[#This Row],[Name]],MountsByName[],4,FALSE)</f>
        <v>2.8</v>
      </c>
      <c r="F300" s="1">
        <f>VLOOKUP(Table1[[#This Row],[Name]],MountsByName[],5,FALSE)</f>
        <v>0</v>
      </c>
      <c r="G300" s="1">
        <f>VLOOKUP(Table1[[#This Row],[Name]],MountsByName[],6,FALSE)</f>
        <v>1</v>
      </c>
      <c r="H300" s="1">
        <f>VLOOKUP(Table1[[#This Row],[Name]],MountsByName[],7,FALSE)</f>
        <v>0</v>
      </c>
      <c r="I300" s="1">
        <f>VLOOKUP(Table1[[#This Row],[Name]],MountsByName[],8,FALSE)</f>
        <v>32317</v>
      </c>
      <c r="J300" s="1" t="str">
        <f>VLOOKUP(Table1[[#This Row],[Name]],MountsByName[],9,FALSE)</f>
        <v>Exalted Skyguard</v>
      </c>
      <c r="K300" s="1">
        <f>VLOOKUP(Table1[[#This Row],[Name]],MountsByName[],10,FALSE)</f>
        <v>1</v>
      </c>
      <c r="L300" s="1">
        <f>VLOOKUP(Table1[[#This Row],[Name]],MountsByName[],11,FALSE)</f>
        <v>1</v>
      </c>
      <c r="M300" s="1">
        <f>VLOOKUP(Table1[[#This Row],[Name]],MountsByName[],12,FALSE)</f>
        <v>1</v>
      </c>
      <c r="N30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[39800] ={"Red Riding Nether Ray", 39800, 32317, 2.8, 2.8, 0, "Nether Ray", "Exalted Skyguard", 1, 0},</v>
      </c>
    </row>
    <row r="301" spans="1:14" x14ac:dyDescent="0.35">
      <c r="A301" s="2">
        <v>39801</v>
      </c>
      <c r="B301" t="s">
        <v>47</v>
      </c>
      <c r="C301" s="1" t="str">
        <f>VLOOKUP(Table1[[#This Row],[Name]],MountsByName[],2,FALSE)</f>
        <v>Nether Ray</v>
      </c>
      <c r="D301" s="1">
        <f>VLOOKUP(Table1[[#This Row],[Name]],MountsByName[],3,FALSE)</f>
        <v>2.8</v>
      </c>
      <c r="E301" s="1">
        <f>VLOOKUP(Table1[[#This Row],[Name]],MountsByName[],4,FALSE)</f>
        <v>2.8</v>
      </c>
      <c r="F301" s="1">
        <f>VLOOKUP(Table1[[#This Row],[Name]],MountsByName[],5,FALSE)</f>
        <v>0</v>
      </c>
      <c r="G301" s="1">
        <f>VLOOKUP(Table1[[#This Row],[Name]],MountsByName[],6,FALSE)</f>
        <v>1</v>
      </c>
      <c r="H301" s="1">
        <f>VLOOKUP(Table1[[#This Row],[Name]],MountsByName[],7,FALSE)</f>
        <v>0</v>
      </c>
      <c r="I301" s="1">
        <f>VLOOKUP(Table1[[#This Row],[Name]],MountsByName[],8,FALSE)</f>
        <v>32316</v>
      </c>
      <c r="J301" s="1" t="str">
        <f>VLOOKUP(Table1[[#This Row],[Name]],MountsByName[],9,FALSE)</f>
        <v>Exalted Skyguard</v>
      </c>
      <c r="K301" s="1">
        <f>VLOOKUP(Table1[[#This Row],[Name]],MountsByName[],10,FALSE)</f>
        <v>1</v>
      </c>
      <c r="L301" s="1">
        <f>VLOOKUP(Table1[[#This Row],[Name]],MountsByName[],11,FALSE)</f>
        <v>1</v>
      </c>
      <c r="M301" s="1">
        <f>VLOOKUP(Table1[[#This Row],[Name]],MountsByName[],12,FALSE)</f>
        <v>1</v>
      </c>
      <c r="N301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[39801] ={"Purple Riding Nether Ray", 39801, 32316, 2.8, 2.8, 0, "Nether Ray", "Exalted Skyguard", 1, 0},</v>
      </c>
    </row>
    <row r="302" spans="1:14" x14ac:dyDescent="0.35">
      <c r="A302" s="2">
        <v>39802</v>
      </c>
      <c r="B302" t="s">
        <v>55</v>
      </c>
      <c r="C302" s="1" t="str">
        <f>VLOOKUP(Table1[[#This Row],[Name]],MountsByName[],2,FALSE)</f>
        <v>Nether Ray</v>
      </c>
      <c r="D302" s="1">
        <f>VLOOKUP(Table1[[#This Row],[Name]],MountsByName[],3,FALSE)</f>
        <v>2.8</v>
      </c>
      <c r="E302" s="1">
        <f>VLOOKUP(Table1[[#This Row],[Name]],MountsByName[],4,FALSE)</f>
        <v>2.8</v>
      </c>
      <c r="F302" s="1">
        <f>VLOOKUP(Table1[[#This Row],[Name]],MountsByName[],5,FALSE)</f>
        <v>0</v>
      </c>
      <c r="G302" s="1">
        <f>VLOOKUP(Table1[[#This Row],[Name]],MountsByName[],6,FALSE)</f>
        <v>1</v>
      </c>
      <c r="H302" s="1">
        <f>VLOOKUP(Table1[[#This Row],[Name]],MountsByName[],7,FALSE)</f>
        <v>0</v>
      </c>
      <c r="I302" s="1">
        <f>VLOOKUP(Table1[[#This Row],[Name]],MountsByName[],8,FALSE)</f>
        <v>32318</v>
      </c>
      <c r="J302" s="1" t="str">
        <f>VLOOKUP(Table1[[#This Row],[Name]],MountsByName[],9,FALSE)</f>
        <v>Exalted Skyguard</v>
      </c>
      <c r="K302" s="1">
        <f>VLOOKUP(Table1[[#This Row],[Name]],MountsByName[],10,FALSE)</f>
        <v>1</v>
      </c>
      <c r="L302" s="1">
        <f>VLOOKUP(Table1[[#This Row],[Name]],MountsByName[],11,FALSE)</f>
        <v>1</v>
      </c>
      <c r="M302" s="1">
        <f>VLOOKUP(Table1[[#This Row],[Name]],MountsByName[],12,FALSE)</f>
        <v>1</v>
      </c>
      <c r="N30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[39802] ={"Silver Riding Nether Ray", 39802, 32318, 2.8, 2.8, 0, "Nether Ray", "Exalted Skyguard", 1, 0},</v>
      </c>
    </row>
    <row r="303" spans="1:14" x14ac:dyDescent="0.35">
      <c r="A303" s="2">
        <v>39803</v>
      </c>
      <c r="B303" t="s">
        <v>18</v>
      </c>
      <c r="C303" s="1" t="str">
        <f>VLOOKUP(Table1[[#This Row],[Name]],MountsByName[],2,FALSE)</f>
        <v>Nether Ray</v>
      </c>
      <c r="D303" s="1">
        <f>VLOOKUP(Table1[[#This Row],[Name]],MountsByName[],3,FALSE)</f>
        <v>2.8</v>
      </c>
      <c r="E303" s="1">
        <f>VLOOKUP(Table1[[#This Row],[Name]],MountsByName[],4,FALSE)</f>
        <v>2.8</v>
      </c>
      <c r="F303" s="1">
        <f>VLOOKUP(Table1[[#This Row],[Name]],MountsByName[],5,FALSE)</f>
        <v>0</v>
      </c>
      <c r="G303" s="1">
        <f>VLOOKUP(Table1[[#This Row],[Name]],MountsByName[],6,FALSE)</f>
        <v>1</v>
      </c>
      <c r="H303" s="1">
        <f>VLOOKUP(Table1[[#This Row],[Name]],MountsByName[],7,FALSE)</f>
        <v>0</v>
      </c>
      <c r="I303" s="1">
        <f>VLOOKUP(Table1[[#This Row],[Name]],MountsByName[],8,FALSE)</f>
        <v>32319</v>
      </c>
      <c r="J303" s="1" t="str">
        <f>VLOOKUP(Table1[[#This Row],[Name]],MountsByName[],9,FALSE)</f>
        <v>Exalted Skyguard</v>
      </c>
      <c r="K303" s="1">
        <f>VLOOKUP(Table1[[#This Row],[Name]],MountsByName[],10,FALSE)</f>
        <v>1</v>
      </c>
      <c r="L303" s="1">
        <f>VLOOKUP(Table1[[#This Row],[Name]],MountsByName[],11,FALSE)</f>
        <v>1</v>
      </c>
      <c r="M303" s="1">
        <f>VLOOKUP(Table1[[#This Row],[Name]],MountsByName[],12,FALSE)</f>
        <v>1</v>
      </c>
      <c r="N30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[39803] ={"Blue Riding Nether Ray", 39803, 32319, 2.8, 2.8, 0, "Nether Ray", "Exalted Skyguard", 1, 0},</v>
      </c>
    </row>
    <row r="304" spans="1:14" x14ac:dyDescent="0.35">
      <c r="A304" s="2">
        <v>13819</v>
      </c>
      <c r="B304" t="s">
        <v>210</v>
      </c>
      <c r="C304" s="1" t="str">
        <f>VLOOKUP(Table1[[#This Row],[Name]],MountsByName[],2,FALSE)</f>
        <v>Paladin</v>
      </c>
      <c r="D304" s="1">
        <f>VLOOKUP(Table1[[#This Row],[Name]],MountsByName[],3,FALSE)</f>
        <v>0.6</v>
      </c>
      <c r="E304" s="1">
        <f>VLOOKUP(Table1[[#This Row],[Name]],MountsByName[],4,FALSE)</f>
        <v>0.6</v>
      </c>
      <c r="F304" s="1">
        <f>VLOOKUP(Table1[[#This Row],[Name]],MountsByName[],5,FALSE)</f>
        <v>0</v>
      </c>
      <c r="G304" s="1">
        <f>VLOOKUP(Table1[[#This Row],[Name]],MountsByName[],6,FALSE)</f>
        <v>1</v>
      </c>
      <c r="H304" s="1">
        <f>VLOOKUP(Table1[[#This Row],[Name]],MountsByName[],7,FALSE)</f>
        <v>0</v>
      </c>
      <c r="I304" s="1">
        <f>VLOOKUP(Table1[[#This Row],[Name]],MountsByName[],8,FALSE)</f>
        <v>0</v>
      </c>
      <c r="J304" s="1" t="str">
        <f>VLOOKUP(Table1[[#This Row],[Name]],MountsByName[],9,FALSE)</f>
        <v>Duplicate</v>
      </c>
      <c r="K304" s="1">
        <f>VLOOKUP(Table1[[#This Row],[Name]],MountsByName[],10,FALSE)</f>
        <v>1</v>
      </c>
      <c r="L304" s="1">
        <f>VLOOKUP(Table1[[#This Row],[Name]],MountsByName[],11,FALSE)</f>
        <v>1</v>
      </c>
      <c r="M304" s="1">
        <f>VLOOKUP(Table1[[#This Row],[Name]],MountsByName[],12,FALSE)</f>
        <v>1</v>
      </c>
      <c r="N30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[13819] ={"Summon Warhorse", 13819, 0, 0.6, 0.6, 0, "Paladin", "Duplicate", 1, 0},</v>
      </c>
    </row>
    <row r="305" spans="1:14" x14ac:dyDescent="0.35">
      <c r="A305" s="2">
        <v>23214</v>
      </c>
      <c r="B305" t="s">
        <v>209</v>
      </c>
      <c r="C305" s="1" t="str">
        <f>VLOOKUP(Table1[[#This Row],[Name]],MountsByName[],2,FALSE)</f>
        <v>Paladin</v>
      </c>
      <c r="D305" s="1">
        <f>VLOOKUP(Table1[[#This Row],[Name]],MountsByName[],3,FALSE)</f>
        <v>1</v>
      </c>
      <c r="E305" s="1">
        <f>VLOOKUP(Table1[[#This Row],[Name]],MountsByName[],4,FALSE)</f>
        <v>1</v>
      </c>
      <c r="F305" s="1">
        <f>VLOOKUP(Table1[[#This Row],[Name]],MountsByName[],5,FALSE)</f>
        <v>0</v>
      </c>
      <c r="G305" s="1">
        <f>VLOOKUP(Table1[[#This Row],[Name]],MountsByName[],6,FALSE)</f>
        <v>1</v>
      </c>
      <c r="H305" s="1">
        <f>VLOOKUP(Table1[[#This Row],[Name]],MountsByName[],7,FALSE)</f>
        <v>0</v>
      </c>
      <c r="I305" s="1">
        <f>VLOOKUP(Table1[[#This Row],[Name]],MountsByName[],8,FALSE)</f>
        <v>0</v>
      </c>
      <c r="J305" s="1" t="str">
        <f>VLOOKUP(Table1[[#This Row],[Name]],MountsByName[],9,FALSE)</f>
        <v>Duplicate</v>
      </c>
      <c r="K305" s="1">
        <f>VLOOKUP(Table1[[#This Row],[Name]],MountsByName[],10,FALSE)</f>
        <v>1</v>
      </c>
      <c r="L305" s="1">
        <f>VLOOKUP(Table1[[#This Row],[Name]],MountsByName[],11,FALSE)</f>
        <v>1</v>
      </c>
      <c r="M305" s="1">
        <f>VLOOKUP(Table1[[#This Row],[Name]],MountsByName[],12,FALSE)</f>
        <v>1</v>
      </c>
      <c r="N30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[23214] ={"Summon Charger", 23214, 0, 1, 1, 0, "Paladin", "Duplicate", 1, 0},</v>
      </c>
    </row>
    <row r="306" spans="1:14" x14ac:dyDescent="0.35">
      <c r="A306" s="2">
        <v>129552</v>
      </c>
      <c r="B306" t="s">
        <v>1056</v>
      </c>
      <c r="C306" s="1" t="str">
        <f>VLOOKUP(Table1[[#This Row],[Name]],MountsByName[],2,FALSE)</f>
        <v>Pandaren Phoenix</v>
      </c>
      <c r="D306" s="1">
        <f>VLOOKUP(Table1[[#This Row],[Name]],MountsByName[],3,FALSE)</f>
        <v>2.8</v>
      </c>
      <c r="E306" s="1">
        <f>VLOOKUP(Table1[[#This Row],[Name]],MountsByName[],4,FALSE)</f>
        <v>2.8</v>
      </c>
      <c r="F306" s="1">
        <f>VLOOKUP(Table1[[#This Row],[Name]],MountsByName[],5,FALSE)</f>
        <v>0</v>
      </c>
      <c r="G306" s="1">
        <f>VLOOKUP(Table1[[#This Row],[Name]],MountsByName[],6,FALSE)</f>
        <v>1</v>
      </c>
      <c r="H306" s="1">
        <f>VLOOKUP(Table1[[#This Row],[Name]],MountsByName[],7,FALSE)</f>
        <v>0</v>
      </c>
      <c r="I306" s="1">
        <f>VLOOKUP(Table1[[#This Row],[Name]],MountsByName[],8,FALSE)</f>
        <v>0</v>
      </c>
      <c r="J306" s="1">
        <f>VLOOKUP(Table1[[#This Row],[Name]],MountsByName[],9,FALSE)</f>
        <v>0</v>
      </c>
      <c r="K306" s="1">
        <f>VLOOKUP(Table1[[#This Row],[Name]],MountsByName[],10,FALSE)</f>
        <v>0</v>
      </c>
      <c r="L306" s="1">
        <f>VLOOKUP(Table1[[#This Row],[Name]],MountsByName[],11,FALSE)</f>
        <v>0</v>
      </c>
      <c r="M306" s="1">
        <f>VLOOKUP(Table1[[#This Row],[Name]],MountsByName[],12,FALSE)</f>
        <v>1</v>
      </c>
      <c r="N30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[129552] ={"Crimson Pandaren Phoenix", 129552, 0, 2.8, 2.8, 0, "Pandaren Phoenix", "0", 1, 0},</v>
      </c>
    </row>
    <row r="307" spans="1:14" x14ac:dyDescent="0.35">
      <c r="A307" s="2">
        <v>132117</v>
      </c>
      <c r="B307" t="s">
        <v>1050</v>
      </c>
      <c r="C307" s="1" t="str">
        <f>VLOOKUP(Table1[[#This Row],[Name]],MountsByName[],2,FALSE)</f>
        <v>Pandaren Phoenix</v>
      </c>
      <c r="D307" s="1">
        <f>VLOOKUP(Table1[[#This Row],[Name]],MountsByName[],3,FALSE)</f>
        <v>2.8</v>
      </c>
      <c r="E307" s="1">
        <f>VLOOKUP(Table1[[#This Row],[Name]],MountsByName[],4,FALSE)</f>
        <v>2.8</v>
      </c>
      <c r="F307" s="1">
        <f>VLOOKUP(Table1[[#This Row],[Name]],MountsByName[],5,FALSE)</f>
        <v>0</v>
      </c>
      <c r="G307" s="1">
        <f>VLOOKUP(Table1[[#This Row],[Name]],MountsByName[],6,FALSE)</f>
        <v>1</v>
      </c>
      <c r="H307" s="1">
        <f>VLOOKUP(Table1[[#This Row],[Name]],MountsByName[],7,FALSE)</f>
        <v>0</v>
      </c>
      <c r="I307" s="1">
        <f>VLOOKUP(Table1[[#This Row],[Name]],MountsByName[],8,FALSE)</f>
        <v>0</v>
      </c>
      <c r="J307" s="1">
        <f>VLOOKUP(Table1[[#This Row],[Name]],MountsByName[],9,FALSE)</f>
        <v>0</v>
      </c>
      <c r="K307" s="1">
        <f>VLOOKUP(Table1[[#This Row],[Name]],MountsByName[],10,FALSE)</f>
        <v>0</v>
      </c>
      <c r="L307" s="1">
        <f>VLOOKUP(Table1[[#This Row],[Name]],MountsByName[],11,FALSE)</f>
        <v>0</v>
      </c>
      <c r="M307" s="1">
        <f>VLOOKUP(Table1[[#This Row],[Name]],MountsByName[],12,FALSE)</f>
        <v>1</v>
      </c>
      <c r="N30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[132117] ={"Ashen Pandaren Phoenix", 132117, 0, 2.8, 2.8, 0, "Pandaren Phoenix", "0", 1, 0},</v>
      </c>
    </row>
    <row r="308" spans="1:14" x14ac:dyDescent="0.35">
      <c r="A308" s="2">
        <v>132118</v>
      </c>
      <c r="B308" t="s">
        <v>1049</v>
      </c>
      <c r="C308" s="1" t="str">
        <f>VLOOKUP(Table1[[#This Row],[Name]],MountsByName[],2,FALSE)</f>
        <v>Pandaren Phoenix</v>
      </c>
      <c r="D308" s="1">
        <f>VLOOKUP(Table1[[#This Row],[Name]],MountsByName[],3,FALSE)</f>
        <v>2.8</v>
      </c>
      <c r="E308" s="1">
        <f>VLOOKUP(Table1[[#This Row],[Name]],MountsByName[],4,FALSE)</f>
        <v>2.8</v>
      </c>
      <c r="F308" s="1">
        <f>VLOOKUP(Table1[[#This Row],[Name]],MountsByName[],5,FALSE)</f>
        <v>0</v>
      </c>
      <c r="G308" s="1">
        <f>VLOOKUP(Table1[[#This Row],[Name]],MountsByName[],6,FALSE)</f>
        <v>1</v>
      </c>
      <c r="H308" s="1">
        <f>VLOOKUP(Table1[[#This Row],[Name]],MountsByName[],7,FALSE)</f>
        <v>0</v>
      </c>
      <c r="I308" s="1">
        <f>VLOOKUP(Table1[[#This Row],[Name]],MountsByName[],8,FALSE)</f>
        <v>0</v>
      </c>
      <c r="J308" s="1">
        <f>VLOOKUP(Table1[[#This Row],[Name]],MountsByName[],9,FALSE)</f>
        <v>0</v>
      </c>
      <c r="K308" s="1">
        <f>VLOOKUP(Table1[[#This Row],[Name]],MountsByName[],10,FALSE)</f>
        <v>0</v>
      </c>
      <c r="L308" s="1">
        <f>VLOOKUP(Table1[[#This Row],[Name]],MountsByName[],11,FALSE)</f>
        <v>0</v>
      </c>
      <c r="M308" s="1">
        <f>VLOOKUP(Table1[[#This Row],[Name]],MountsByName[],12,FALSE)</f>
        <v>1</v>
      </c>
      <c r="N30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[132118] ={"Emerald Pandaren Phoenix", 132118, 0, 2.8, 2.8, 0, "Pandaren Phoenix", "0", 1, 0},</v>
      </c>
    </row>
    <row r="309" spans="1:14" x14ac:dyDescent="0.35">
      <c r="A309" s="2">
        <v>132119</v>
      </c>
      <c r="B309" t="s">
        <v>1107</v>
      </c>
      <c r="C309" s="1" t="str">
        <f>VLOOKUP(Table1[[#This Row],[Name]],MountsByName[],2,FALSE)</f>
        <v>Pandaren Phoenix</v>
      </c>
      <c r="D309" s="1">
        <f>VLOOKUP(Table1[[#This Row],[Name]],MountsByName[],3,FALSE)</f>
        <v>2.8</v>
      </c>
      <c r="E309" s="1">
        <f>VLOOKUP(Table1[[#This Row],[Name]],MountsByName[],4,FALSE)</f>
        <v>2.8</v>
      </c>
      <c r="F309" s="1">
        <f>VLOOKUP(Table1[[#This Row],[Name]],MountsByName[],5,FALSE)</f>
        <v>0</v>
      </c>
      <c r="G309" s="1">
        <f>VLOOKUP(Table1[[#This Row],[Name]],MountsByName[],6,FALSE)</f>
        <v>1</v>
      </c>
      <c r="H309" s="1">
        <f>VLOOKUP(Table1[[#This Row],[Name]],MountsByName[],7,FALSE)</f>
        <v>0</v>
      </c>
      <c r="I309" s="1">
        <f>VLOOKUP(Table1[[#This Row],[Name]],MountsByName[],8,FALSE)</f>
        <v>0</v>
      </c>
      <c r="J309" s="1">
        <f>VLOOKUP(Table1[[#This Row],[Name]],MountsByName[],9,FALSE)</f>
        <v>0</v>
      </c>
      <c r="K309" s="1">
        <f>VLOOKUP(Table1[[#This Row],[Name]],MountsByName[],10,FALSE)</f>
        <v>0</v>
      </c>
      <c r="L309" s="1">
        <f>VLOOKUP(Table1[[#This Row],[Name]],MountsByName[],11,FALSE)</f>
        <v>0</v>
      </c>
      <c r="M309" s="1">
        <f>VLOOKUP(Table1[[#This Row],[Name]],MountsByName[],12,FALSE)</f>
        <v>1</v>
      </c>
      <c r="N30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[132119] ={"Violet Pandaren Phoenix", 132119, 0, 2.8, 2.8, 0, "Pandaren Phoenix", "0", 1, 0},</v>
      </c>
    </row>
    <row r="310" spans="1:14" x14ac:dyDescent="0.35">
      <c r="A310" s="2">
        <v>446902</v>
      </c>
      <c r="B310" t="s">
        <v>522</v>
      </c>
      <c r="C310" s="1" t="str">
        <f>VLOOKUP(Table1[[#This Row],[Name]],MountsByName[],2,FALSE)</f>
        <v>Parrot</v>
      </c>
      <c r="D310" s="1">
        <f>VLOOKUP(Table1[[#This Row],[Name]],MountsByName[],3,FALSE)</f>
        <v>2.8</v>
      </c>
      <c r="E310" s="1">
        <f>VLOOKUP(Table1[[#This Row],[Name]],MountsByName[],4,FALSE)</f>
        <v>2.8</v>
      </c>
      <c r="F310" s="1">
        <f>VLOOKUP(Table1[[#This Row],[Name]],MountsByName[],5,FALSE)</f>
        <v>0</v>
      </c>
      <c r="G310" s="1">
        <f>VLOOKUP(Table1[[#This Row],[Name]],MountsByName[],6,FALSE)</f>
        <v>1</v>
      </c>
      <c r="H310" s="1">
        <f>VLOOKUP(Table1[[#This Row],[Name]],MountsByName[],7,FALSE)</f>
        <v>0</v>
      </c>
      <c r="I310" s="1">
        <f>VLOOKUP(Table1[[#This Row],[Name]],MountsByName[],8,FALSE)</f>
        <v>0</v>
      </c>
      <c r="J310" s="1">
        <f>VLOOKUP(Table1[[#This Row],[Name]],MountsByName[],9,FALSE)</f>
        <v>0</v>
      </c>
      <c r="K310" s="1">
        <f>VLOOKUP(Table1[[#This Row],[Name]],MountsByName[],10,FALSE)</f>
        <v>0</v>
      </c>
      <c r="L310" s="1">
        <f>VLOOKUP(Table1[[#This Row],[Name]],MountsByName[],11,FALSE)</f>
        <v>0</v>
      </c>
      <c r="M310" s="1">
        <f>VLOOKUP(Table1[[#This Row],[Name]],MountsByName[],12,FALSE)</f>
        <v>1</v>
      </c>
      <c r="N31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[446902] ={"Polly Roger", 446902, 0, 2.8, 2.8, 0, "Parrot", "0", 1, 0},</v>
      </c>
    </row>
    <row r="311" spans="1:14" x14ac:dyDescent="0.35">
      <c r="A311" s="2">
        <v>107203</v>
      </c>
      <c r="B311" t="s">
        <v>444</v>
      </c>
      <c r="C311" s="1" t="str">
        <f>VLOOKUP(Table1[[#This Row],[Name]],MountsByName[],2,FALSE)</f>
        <v>Pegasus</v>
      </c>
      <c r="D311" s="1">
        <f>VLOOKUP(Table1[[#This Row],[Name]],MountsByName[],3,FALSE)</f>
        <v>2.8</v>
      </c>
      <c r="E311" s="1">
        <f>VLOOKUP(Table1[[#This Row],[Name]],MountsByName[],4,FALSE)</f>
        <v>2.8</v>
      </c>
      <c r="F311" s="1">
        <f>VLOOKUP(Table1[[#This Row],[Name]],MountsByName[],5,FALSE)</f>
        <v>0</v>
      </c>
      <c r="G311" s="1">
        <f>VLOOKUP(Table1[[#This Row],[Name]],MountsByName[],6,FALSE)</f>
        <v>1</v>
      </c>
      <c r="H311" s="1">
        <f>VLOOKUP(Table1[[#This Row],[Name]],MountsByName[],7,FALSE)</f>
        <v>0</v>
      </c>
      <c r="I311" s="1">
        <f>VLOOKUP(Table1[[#This Row],[Name]],MountsByName[],8,FALSE)</f>
        <v>0</v>
      </c>
      <c r="J311" s="1">
        <f>VLOOKUP(Table1[[#This Row],[Name]],MountsByName[],9,FALSE)</f>
        <v>0</v>
      </c>
      <c r="K311" s="1">
        <f>VLOOKUP(Table1[[#This Row],[Name]],MountsByName[],10,FALSE)</f>
        <v>0</v>
      </c>
      <c r="L311" s="1">
        <f>VLOOKUP(Table1[[#This Row],[Name]],MountsByName[],11,FALSE)</f>
        <v>0</v>
      </c>
      <c r="M311" s="1">
        <f>VLOOKUP(Table1[[#This Row],[Name]],MountsByName[],12,FALSE)</f>
        <v>1</v>
      </c>
      <c r="N311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[107203] ={"Tyrael's Charger", 107203, 0, 2.8, 2.8, 0, "Pegasus", "0", 1, 0},</v>
      </c>
    </row>
    <row r="312" spans="1:14" x14ac:dyDescent="0.35">
      <c r="A312" s="2">
        <v>40192</v>
      </c>
      <c r="B312" t="s">
        <v>8</v>
      </c>
      <c r="C312" s="1" t="str">
        <f>VLOOKUP(Table1[[#This Row],[Name]],MountsByName[],2,FALSE)</f>
        <v>Phoenix</v>
      </c>
      <c r="D312" s="1">
        <f>VLOOKUP(Table1[[#This Row],[Name]],MountsByName[],3,FALSE)</f>
        <v>3.1</v>
      </c>
      <c r="E312" s="1">
        <f>VLOOKUP(Table1[[#This Row],[Name]],MountsByName[],4,FALSE)</f>
        <v>3.1</v>
      </c>
      <c r="F312" s="1">
        <f>VLOOKUP(Table1[[#This Row],[Name]],MountsByName[],5,FALSE)</f>
        <v>0</v>
      </c>
      <c r="G312" s="1">
        <f>VLOOKUP(Table1[[#This Row],[Name]],MountsByName[],6,FALSE)</f>
        <v>1</v>
      </c>
      <c r="H312" s="1">
        <f>VLOOKUP(Table1[[#This Row],[Name]],MountsByName[],7,FALSE)</f>
        <v>0</v>
      </c>
      <c r="I312" s="1">
        <f>VLOOKUP(Table1[[#This Row],[Name]],MountsByName[],8,FALSE)</f>
        <v>32458</v>
      </c>
      <c r="J312" s="1" t="str">
        <f>VLOOKUP(Table1[[#This Row],[Name]],MountsByName[],9,FALSE)</f>
        <v>Drop Tempest Keep</v>
      </c>
      <c r="K312" s="1">
        <f>VLOOKUP(Table1[[#This Row],[Name]],MountsByName[],10,FALSE)</f>
        <v>1</v>
      </c>
      <c r="L312" s="1">
        <f>VLOOKUP(Table1[[#This Row],[Name]],MountsByName[],11,FALSE)</f>
        <v>1</v>
      </c>
      <c r="M312" s="1">
        <f>VLOOKUP(Table1[[#This Row],[Name]],MountsByName[],12,FALSE)</f>
        <v>1</v>
      </c>
      <c r="N31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[40192] ={"Ashes of Al'ar", 40192, 32458, 3.1, 3.1, 0, "Phoenix", "Drop Tempest Keep", 1, 0},</v>
      </c>
    </row>
    <row r="313" spans="1:14" x14ac:dyDescent="0.35">
      <c r="A313" s="2">
        <v>88990</v>
      </c>
      <c r="B313" t="s">
        <v>528</v>
      </c>
      <c r="C313" s="1" t="str">
        <f>VLOOKUP(Table1[[#This Row],[Name]],MountsByName[],2,FALSE)</f>
        <v>Phoenix</v>
      </c>
      <c r="D313" s="1">
        <f>VLOOKUP(Table1[[#This Row],[Name]],MountsByName[],3,FALSE)</f>
        <v>2.8</v>
      </c>
      <c r="E313" s="1">
        <f>VLOOKUP(Table1[[#This Row],[Name]],MountsByName[],4,FALSE)</f>
        <v>2.8</v>
      </c>
      <c r="F313" s="1">
        <f>VLOOKUP(Table1[[#This Row],[Name]],MountsByName[],5,FALSE)</f>
        <v>0</v>
      </c>
      <c r="G313" s="1">
        <f>VLOOKUP(Table1[[#This Row],[Name]],MountsByName[],6,FALSE)</f>
        <v>1</v>
      </c>
      <c r="H313" s="1">
        <f>VLOOKUP(Table1[[#This Row],[Name]],MountsByName[],7,FALSE)</f>
        <v>0</v>
      </c>
      <c r="I313" s="1">
        <f>VLOOKUP(Table1[[#This Row],[Name]],MountsByName[],8,FALSE)</f>
        <v>0</v>
      </c>
      <c r="J313" s="1">
        <f>VLOOKUP(Table1[[#This Row],[Name]],MountsByName[],9,FALSE)</f>
        <v>0</v>
      </c>
      <c r="K313" s="1">
        <f>VLOOKUP(Table1[[#This Row],[Name]],MountsByName[],10,FALSE)</f>
        <v>0</v>
      </c>
      <c r="L313" s="1">
        <f>VLOOKUP(Table1[[#This Row],[Name]],MountsByName[],11,FALSE)</f>
        <v>0</v>
      </c>
      <c r="M313" s="1">
        <f>VLOOKUP(Table1[[#This Row],[Name]],MountsByName[],12,FALSE)</f>
        <v>1</v>
      </c>
      <c r="N31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[88990] ={"Dark Phoenix", 88990, 0, 2.8, 2.8, 0, "Phoenix", "0", 1, 0},</v>
      </c>
    </row>
    <row r="314" spans="1:14" x14ac:dyDescent="0.35">
      <c r="A314" s="2">
        <v>97493</v>
      </c>
      <c r="B314" t="s">
        <v>507</v>
      </c>
      <c r="C314" s="1" t="str">
        <f>VLOOKUP(Table1[[#This Row],[Name]],MountsByName[],2,FALSE)</f>
        <v>Phoenix</v>
      </c>
      <c r="D314" s="1">
        <f>VLOOKUP(Table1[[#This Row],[Name]],MountsByName[],3,FALSE)</f>
        <v>2.8</v>
      </c>
      <c r="E314" s="1">
        <f>VLOOKUP(Table1[[#This Row],[Name]],MountsByName[],4,FALSE)</f>
        <v>2.8</v>
      </c>
      <c r="F314" s="1">
        <f>VLOOKUP(Table1[[#This Row],[Name]],MountsByName[],5,FALSE)</f>
        <v>0</v>
      </c>
      <c r="G314" s="1">
        <f>VLOOKUP(Table1[[#This Row],[Name]],MountsByName[],6,FALSE)</f>
        <v>1</v>
      </c>
      <c r="H314" s="1">
        <f>VLOOKUP(Table1[[#This Row],[Name]],MountsByName[],7,FALSE)</f>
        <v>0</v>
      </c>
      <c r="I314" s="1">
        <f>VLOOKUP(Table1[[#This Row],[Name]],MountsByName[],8,FALSE)</f>
        <v>0</v>
      </c>
      <c r="J314" s="1">
        <f>VLOOKUP(Table1[[#This Row],[Name]],MountsByName[],9,FALSE)</f>
        <v>0</v>
      </c>
      <c r="K314" s="1">
        <f>VLOOKUP(Table1[[#This Row],[Name]],MountsByName[],10,FALSE)</f>
        <v>0</v>
      </c>
      <c r="L314" s="1">
        <f>VLOOKUP(Table1[[#This Row],[Name]],MountsByName[],11,FALSE)</f>
        <v>0</v>
      </c>
      <c r="M314" s="1">
        <f>VLOOKUP(Table1[[#This Row],[Name]],MountsByName[],12,FALSE)</f>
        <v>1</v>
      </c>
      <c r="N31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[97493] ={"Pureblood Fire Hawk", 97493, 0, 2.8, 2.8, 0, "Phoenix", "0", 1, 0},</v>
      </c>
    </row>
    <row r="315" spans="1:14" x14ac:dyDescent="0.35">
      <c r="A315" s="2">
        <v>97501</v>
      </c>
      <c r="B315" t="s">
        <v>458</v>
      </c>
      <c r="C315" s="1" t="str">
        <f>VLOOKUP(Table1[[#This Row],[Name]],MountsByName[],2,FALSE)</f>
        <v>Phoenix</v>
      </c>
      <c r="D315" s="1">
        <f>VLOOKUP(Table1[[#This Row],[Name]],MountsByName[],3,FALSE)</f>
        <v>2.8</v>
      </c>
      <c r="E315" s="1">
        <f>VLOOKUP(Table1[[#This Row],[Name]],MountsByName[],4,FALSE)</f>
        <v>2.8</v>
      </c>
      <c r="F315" s="1">
        <f>VLOOKUP(Table1[[#This Row],[Name]],MountsByName[],5,FALSE)</f>
        <v>0</v>
      </c>
      <c r="G315" s="1">
        <f>VLOOKUP(Table1[[#This Row],[Name]],MountsByName[],6,FALSE)</f>
        <v>1</v>
      </c>
      <c r="H315" s="1">
        <f>VLOOKUP(Table1[[#This Row],[Name]],MountsByName[],7,FALSE)</f>
        <v>0</v>
      </c>
      <c r="I315" s="1">
        <f>VLOOKUP(Table1[[#This Row],[Name]],MountsByName[],8,FALSE)</f>
        <v>0</v>
      </c>
      <c r="J315" s="1">
        <f>VLOOKUP(Table1[[#This Row],[Name]],MountsByName[],9,FALSE)</f>
        <v>0</v>
      </c>
      <c r="K315" s="1">
        <f>VLOOKUP(Table1[[#This Row],[Name]],MountsByName[],10,FALSE)</f>
        <v>0</v>
      </c>
      <c r="L315" s="1">
        <f>VLOOKUP(Table1[[#This Row],[Name]],MountsByName[],11,FALSE)</f>
        <v>0</v>
      </c>
      <c r="M315" s="1">
        <f>VLOOKUP(Table1[[#This Row],[Name]],MountsByName[],12,FALSE)</f>
        <v>1</v>
      </c>
      <c r="N31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[97501] ={"Green Fire Hawk", 97501, 0, 2.8, 2.8, 0, "Phoenix", "0", 1, 0},</v>
      </c>
    </row>
    <row r="316" spans="1:14" x14ac:dyDescent="0.35">
      <c r="A316" s="2">
        <v>97560</v>
      </c>
      <c r="B316" t="s">
        <v>506</v>
      </c>
      <c r="C316" s="1" t="str">
        <f>VLOOKUP(Table1[[#This Row],[Name]],MountsByName[],2,FALSE)</f>
        <v>Phoenix</v>
      </c>
      <c r="D316" s="1">
        <f>VLOOKUP(Table1[[#This Row],[Name]],MountsByName[],3,FALSE)</f>
        <v>2.8</v>
      </c>
      <c r="E316" s="1">
        <f>VLOOKUP(Table1[[#This Row],[Name]],MountsByName[],4,FALSE)</f>
        <v>2.8</v>
      </c>
      <c r="F316" s="1">
        <f>VLOOKUP(Table1[[#This Row],[Name]],MountsByName[],5,FALSE)</f>
        <v>0</v>
      </c>
      <c r="G316" s="1">
        <f>VLOOKUP(Table1[[#This Row],[Name]],MountsByName[],6,FALSE)</f>
        <v>1</v>
      </c>
      <c r="H316" s="1">
        <f>VLOOKUP(Table1[[#This Row],[Name]],MountsByName[],7,FALSE)</f>
        <v>0</v>
      </c>
      <c r="I316" s="1">
        <f>VLOOKUP(Table1[[#This Row],[Name]],MountsByName[],8,FALSE)</f>
        <v>0</v>
      </c>
      <c r="J316" s="1">
        <f>VLOOKUP(Table1[[#This Row],[Name]],MountsByName[],9,FALSE)</f>
        <v>0</v>
      </c>
      <c r="K316" s="1">
        <f>VLOOKUP(Table1[[#This Row],[Name]],MountsByName[],10,FALSE)</f>
        <v>0</v>
      </c>
      <c r="L316" s="1">
        <f>VLOOKUP(Table1[[#This Row],[Name]],MountsByName[],11,FALSE)</f>
        <v>0</v>
      </c>
      <c r="M316" s="1">
        <f>VLOOKUP(Table1[[#This Row],[Name]],MountsByName[],12,FALSE)</f>
        <v>1</v>
      </c>
      <c r="N31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[97560] ={"Corrupted Fire Hawk", 97560, 0, 2.8, 2.8, 0, "Phoenix", "0", 1, 0},</v>
      </c>
    </row>
    <row r="317" spans="1:14" x14ac:dyDescent="0.35">
      <c r="A317" s="2">
        <v>59961</v>
      </c>
      <c r="B317" t="s">
        <v>50</v>
      </c>
      <c r="C317" s="1" t="str">
        <f>VLOOKUP(Table1[[#This Row],[Name]],MountsByName[],2,FALSE)</f>
        <v>Proto-Drake</v>
      </c>
      <c r="D317" s="1">
        <f>VLOOKUP(Table1[[#This Row],[Name]],MountsByName[],3,FALSE)</f>
        <v>2.8</v>
      </c>
      <c r="E317" s="1">
        <f>VLOOKUP(Table1[[#This Row],[Name]],MountsByName[],4,FALSE)</f>
        <v>2.8</v>
      </c>
      <c r="F317" s="1">
        <f>VLOOKUP(Table1[[#This Row],[Name]],MountsByName[],5,FALSE)</f>
        <v>0</v>
      </c>
      <c r="G317" s="1">
        <f>VLOOKUP(Table1[[#This Row],[Name]],MountsByName[],6,FALSE)</f>
        <v>1</v>
      </c>
      <c r="H317" s="1">
        <f>VLOOKUP(Table1[[#This Row],[Name]],MountsByName[],7,FALSE)</f>
        <v>0</v>
      </c>
      <c r="I317" s="1">
        <f>VLOOKUP(Table1[[#This Row],[Name]],MountsByName[],8,FALSE)</f>
        <v>44160</v>
      </c>
      <c r="J317" s="1" t="str">
        <f>VLOOKUP(Table1[[#This Row],[Name]],MountsByName[],9,FALSE)</f>
        <v>Achievment</v>
      </c>
      <c r="K317" s="1">
        <f>VLOOKUP(Table1[[#This Row],[Name]],MountsByName[],10,FALSE)</f>
        <v>1</v>
      </c>
      <c r="L317" s="1">
        <f>VLOOKUP(Table1[[#This Row],[Name]],MountsByName[],11,FALSE)</f>
        <v>1</v>
      </c>
      <c r="M317" s="1">
        <f>VLOOKUP(Table1[[#This Row],[Name]],MountsByName[],12,FALSE)</f>
        <v>1</v>
      </c>
      <c r="N31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[59961] ={"Red Proto-Drake", 59961, 44160, 2.8, 2.8, 0, "Proto-Drake", "Achievment", 1, 0},</v>
      </c>
    </row>
    <row r="318" spans="1:14" x14ac:dyDescent="0.35">
      <c r="A318" s="2">
        <v>59976</v>
      </c>
      <c r="B318" t="s">
        <v>13</v>
      </c>
      <c r="C318" s="1" t="str">
        <f>VLOOKUP(Table1[[#This Row],[Name]],MountsByName[],2,FALSE)</f>
        <v>Proto-Drake</v>
      </c>
      <c r="D318" s="1">
        <f>VLOOKUP(Table1[[#This Row],[Name]],MountsByName[],3,FALSE)</f>
        <v>3.1</v>
      </c>
      <c r="E318" s="1">
        <f>VLOOKUP(Table1[[#This Row],[Name]],MountsByName[],4,FALSE)</f>
        <v>3.1</v>
      </c>
      <c r="F318" s="1">
        <f>VLOOKUP(Table1[[#This Row],[Name]],MountsByName[],5,FALSE)</f>
        <v>0</v>
      </c>
      <c r="G318" s="1">
        <f>VLOOKUP(Table1[[#This Row],[Name]],MountsByName[],6,FALSE)</f>
        <v>1</v>
      </c>
      <c r="H318" s="1">
        <f>VLOOKUP(Table1[[#This Row],[Name]],MountsByName[],7,FALSE)</f>
        <v>0</v>
      </c>
      <c r="I318" s="1">
        <f>VLOOKUP(Table1[[#This Row],[Name]],MountsByName[],8,FALSE)</f>
        <v>44164</v>
      </c>
      <c r="J318" s="1" t="str">
        <f>VLOOKUP(Table1[[#This Row],[Name]],MountsByName[],9,FALSE)</f>
        <v>Achievment</v>
      </c>
      <c r="K318" s="1">
        <f>VLOOKUP(Table1[[#This Row],[Name]],MountsByName[],10,FALSE)</f>
        <v>1</v>
      </c>
      <c r="L318" s="1">
        <f>VLOOKUP(Table1[[#This Row],[Name]],MountsByName[],11,FALSE)</f>
        <v>1</v>
      </c>
      <c r="M318" s="1">
        <f>VLOOKUP(Table1[[#This Row],[Name]],MountsByName[],12,FALSE)</f>
        <v>1</v>
      </c>
      <c r="N31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[59976] ={"Black Proto-Drake", 59976, 44164, 3.1, 3.1, 0, "Proto-Drake", "Achievment", 1, 0},</v>
      </c>
    </row>
    <row r="319" spans="1:14" x14ac:dyDescent="0.35">
      <c r="A319" s="2">
        <v>59996</v>
      </c>
      <c r="B319" t="s">
        <v>17</v>
      </c>
      <c r="C319" s="1" t="str">
        <f>VLOOKUP(Table1[[#This Row],[Name]],MountsByName[],2,FALSE)</f>
        <v>Proto-Drake</v>
      </c>
      <c r="D319" s="1">
        <f>VLOOKUP(Table1[[#This Row],[Name]],MountsByName[],3,FALSE)</f>
        <v>2.8</v>
      </c>
      <c r="E319" s="1">
        <f>VLOOKUP(Table1[[#This Row],[Name]],MountsByName[],4,FALSE)</f>
        <v>2.8</v>
      </c>
      <c r="F319" s="1">
        <f>VLOOKUP(Table1[[#This Row],[Name]],MountsByName[],5,FALSE)</f>
        <v>0</v>
      </c>
      <c r="G319" s="1">
        <f>VLOOKUP(Table1[[#This Row],[Name]],MountsByName[],6,FALSE)</f>
        <v>1</v>
      </c>
      <c r="H319" s="1">
        <f>VLOOKUP(Table1[[#This Row],[Name]],MountsByName[],7,FALSE)</f>
        <v>0</v>
      </c>
      <c r="I319" s="1">
        <f>VLOOKUP(Table1[[#This Row],[Name]],MountsByName[],8,FALSE)</f>
        <v>44151</v>
      </c>
      <c r="J319" s="1" t="str">
        <f>VLOOKUP(Table1[[#This Row],[Name]],MountsByName[],9,FALSE)</f>
        <v>Drop, Skadi the Ruthless</v>
      </c>
      <c r="K319" s="1">
        <f>VLOOKUP(Table1[[#This Row],[Name]],MountsByName[],10,FALSE)</f>
        <v>1</v>
      </c>
      <c r="L319" s="1">
        <f>VLOOKUP(Table1[[#This Row],[Name]],MountsByName[],11,FALSE)</f>
        <v>1</v>
      </c>
      <c r="M319" s="1">
        <f>VLOOKUP(Table1[[#This Row],[Name]],MountsByName[],12,FALSE)</f>
        <v>1</v>
      </c>
      <c r="N31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[59996] ={"Blue Proto-Drake", 59996, 44151, 2.8, 2.8, 0, "Proto-Drake", "Drop, Skadi the Ruthless", 1, 0},</v>
      </c>
    </row>
    <row r="320" spans="1:14" x14ac:dyDescent="0.35">
      <c r="A320" s="2">
        <v>60002</v>
      </c>
      <c r="B320" t="s">
        <v>68</v>
      </c>
      <c r="C320" s="1" t="str">
        <f>VLOOKUP(Table1[[#This Row],[Name]],MountsByName[],2,FALSE)</f>
        <v>Proto-Drake</v>
      </c>
      <c r="D320" s="1">
        <f>VLOOKUP(Table1[[#This Row],[Name]],MountsByName[],3,FALSE)</f>
        <v>2.8</v>
      </c>
      <c r="E320" s="1">
        <f>VLOOKUP(Table1[[#This Row],[Name]],MountsByName[],4,FALSE)</f>
        <v>2.8</v>
      </c>
      <c r="F320" s="1">
        <f>VLOOKUP(Table1[[#This Row],[Name]],MountsByName[],5,FALSE)</f>
        <v>0</v>
      </c>
      <c r="G320" s="1">
        <f>VLOOKUP(Table1[[#This Row],[Name]],MountsByName[],6,FALSE)</f>
        <v>1</v>
      </c>
      <c r="H320" s="1">
        <f>VLOOKUP(Table1[[#This Row],[Name]],MountsByName[],7,FALSE)</f>
        <v>0</v>
      </c>
      <c r="I320" s="1">
        <f>VLOOKUP(Table1[[#This Row],[Name]],MountsByName[],8,FALSE)</f>
        <v>44168</v>
      </c>
      <c r="J320" s="1" t="str">
        <f>VLOOKUP(Table1[[#This Row],[Name]],MountsByName[],9,FALSE)</f>
        <v>Drop Rare</v>
      </c>
      <c r="K320" s="1">
        <f>VLOOKUP(Table1[[#This Row],[Name]],MountsByName[],10,FALSE)</f>
        <v>1</v>
      </c>
      <c r="L320" s="1">
        <f>VLOOKUP(Table1[[#This Row],[Name]],MountsByName[],11,FALSE)</f>
        <v>1</v>
      </c>
      <c r="M320" s="1">
        <f>VLOOKUP(Table1[[#This Row],[Name]],MountsByName[],12,FALSE)</f>
        <v>1</v>
      </c>
      <c r="N32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[60002] ={"Time-Lost Proto-Drake", 60002, 44168, 2.8, 2.8, 0, "Proto-Drake", "Drop Rare", 1, 0},</v>
      </c>
    </row>
    <row r="321" spans="1:14" x14ac:dyDescent="0.35">
      <c r="A321" s="2">
        <v>60021</v>
      </c>
      <c r="B321" t="s">
        <v>45</v>
      </c>
      <c r="C321" s="1" t="str">
        <f>VLOOKUP(Table1[[#This Row],[Name]],MountsByName[],2,FALSE)</f>
        <v>Proto-Drake</v>
      </c>
      <c r="D321" s="1">
        <f>VLOOKUP(Table1[[#This Row],[Name]],MountsByName[],3,FALSE)</f>
        <v>3.1</v>
      </c>
      <c r="E321" s="1">
        <f>VLOOKUP(Table1[[#This Row],[Name]],MountsByName[],4,FALSE)</f>
        <v>3.1</v>
      </c>
      <c r="F321" s="1">
        <f>VLOOKUP(Table1[[#This Row],[Name]],MountsByName[],5,FALSE)</f>
        <v>0</v>
      </c>
      <c r="G321" s="1">
        <f>VLOOKUP(Table1[[#This Row],[Name]],MountsByName[],6,FALSE)</f>
        <v>1</v>
      </c>
      <c r="H321" s="1">
        <f>VLOOKUP(Table1[[#This Row],[Name]],MountsByName[],7,FALSE)</f>
        <v>0</v>
      </c>
      <c r="I321" s="1">
        <f>VLOOKUP(Table1[[#This Row],[Name]],MountsByName[],8,FALSE)</f>
        <v>44175</v>
      </c>
      <c r="J321" s="1" t="str">
        <f>VLOOKUP(Table1[[#This Row],[Name]],MountsByName[],9,FALSE)</f>
        <v>Achievment</v>
      </c>
      <c r="K321" s="1">
        <f>VLOOKUP(Table1[[#This Row],[Name]],MountsByName[],10,FALSE)</f>
        <v>1</v>
      </c>
      <c r="L321" s="1">
        <f>VLOOKUP(Table1[[#This Row],[Name]],MountsByName[],11,FALSE)</f>
        <v>1</v>
      </c>
      <c r="M321" s="1">
        <f>VLOOKUP(Table1[[#This Row],[Name]],MountsByName[],12,FALSE)</f>
        <v>1</v>
      </c>
      <c r="N321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[60021] ={"Plagued Proto-Drake", 60021, 44175, 3.1, 3.1, 0, "Proto-Drake", "Achievment", 1, 0},</v>
      </c>
    </row>
    <row r="322" spans="1:14" x14ac:dyDescent="0.35">
      <c r="A322" s="2">
        <v>60024</v>
      </c>
      <c r="B322" t="s">
        <v>74</v>
      </c>
      <c r="C322" s="1" t="str">
        <f>VLOOKUP(Table1[[#This Row],[Name]],MountsByName[],2,FALSE)</f>
        <v>Proto-Drake</v>
      </c>
      <c r="D322" s="1">
        <f>VLOOKUP(Table1[[#This Row],[Name]],MountsByName[],3,FALSE)</f>
        <v>3.1</v>
      </c>
      <c r="E322" s="1">
        <f>VLOOKUP(Table1[[#This Row],[Name]],MountsByName[],4,FALSE)</f>
        <v>3.1</v>
      </c>
      <c r="F322" s="1">
        <f>VLOOKUP(Table1[[#This Row],[Name]],MountsByName[],5,FALSE)</f>
        <v>0</v>
      </c>
      <c r="G322" s="1">
        <f>VLOOKUP(Table1[[#This Row],[Name]],MountsByName[],6,FALSE)</f>
        <v>1</v>
      </c>
      <c r="H322" s="1">
        <f>VLOOKUP(Table1[[#This Row],[Name]],MountsByName[],7,FALSE)</f>
        <v>0</v>
      </c>
      <c r="I322" s="1">
        <f>VLOOKUP(Table1[[#This Row],[Name]],MountsByName[],8,FALSE)</f>
        <v>44177</v>
      </c>
      <c r="J322" s="1" t="str">
        <f>VLOOKUP(Table1[[#This Row],[Name]],MountsByName[],9,FALSE)</f>
        <v>Achievment</v>
      </c>
      <c r="K322" s="1">
        <f>VLOOKUP(Table1[[#This Row],[Name]],MountsByName[],10,FALSE)</f>
        <v>1</v>
      </c>
      <c r="L322" s="1">
        <f>VLOOKUP(Table1[[#This Row],[Name]],MountsByName[],11,FALSE)</f>
        <v>1</v>
      </c>
      <c r="M322" s="1">
        <f>VLOOKUP(Table1[[#This Row],[Name]],MountsByName[],12,FALSE)</f>
        <v>1</v>
      </c>
      <c r="N32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[60024] ={"Violet Proto-Drake", 60024, 44177, 3.1, 3.1, 0, "Proto-Drake", "Achievment", 1, 0},</v>
      </c>
    </row>
    <row r="323" spans="1:14" x14ac:dyDescent="0.35">
      <c r="A323" s="2">
        <v>61294</v>
      </c>
      <c r="B323" t="s">
        <v>33</v>
      </c>
      <c r="C323" s="1" t="str">
        <f>VLOOKUP(Table1[[#This Row],[Name]],MountsByName[],2,FALSE)</f>
        <v>Proto-Drake</v>
      </c>
      <c r="D323" s="1">
        <f>VLOOKUP(Table1[[#This Row],[Name]],MountsByName[],3,FALSE)</f>
        <v>2.8</v>
      </c>
      <c r="E323" s="1">
        <f>VLOOKUP(Table1[[#This Row],[Name]],MountsByName[],4,FALSE)</f>
        <v>2.8</v>
      </c>
      <c r="F323" s="1">
        <f>VLOOKUP(Table1[[#This Row],[Name]],MountsByName[],5,FALSE)</f>
        <v>0</v>
      </c>
      <c r="G323" s="1">
        <f>VLOOKUP(Table1[[#This Row],[Name]],MountsByName[],6,FALSE)</f>
        <v>1</v>
      </c>
      <c r="H323" s="1">
        <f>VLOOKUP(Table1[[#This Row],[Name]],MountsByName[],7,FALSE)</f>
        <v>0</v>
      </c>
      <c r="I323" s="1">
        <f>VLOOKUP(Table1[[#This Row],[Name]],MountsByName[],8,FALSE)</f>
        <v>44707</v>
      </c>
      <c r="J323" s="1" t="str">
        <f>VLOOKUP(Table1[[#This Row],[Name]],MountsByName[],9,FALSE)</f>
        <v>Revered Oracles, Mysterious Egg</v>
      </c>
      <c r="K323" s="1">
        <f>VLOOKUP(Table1[[#This Row],[Name]],MountsByName[],10,FALSE)</f>
        <v>1</v>
      </c>
      <c r="L323" s="1">
        <f>VLOOKUP(Table1[[#This Row],[Name]],MountsByName[],11,FALSE)</f>
        <v>1</v>
      </c>
      <c r="M323" s="1">
        <f>VLOOKUP(Table1[[#This Row],[Name]],MountsByName[],12,FALSE)</f>
        <v>1</v>
      </c>
      <c r="N32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[61294] ={"Green Proto-Drake", 61294, 44707, 2.8, 2.8, 0, "Proto-Drake", "Revered Oracles, Mysterious Egg", 1, 0},</v>
      </c>
    </row>
    <row r="324" spans="1:14" x14ac:dyDescent="0.35">
      <c r="A324" s="2">
        <v>63956</v>
      </c>
      <c r="B324" t="s">
        <v>37</v>
      </c>
      <c r="C324" s="1" t="str">
        <f>VLOOKUP(Table1[[#This Row],[Name]],MountsByName[],2,FALSE)</f>
        <v>Proto-Drake</v>
      </c>
      <c r="D324" s="1">
        <f>VLOOKUP(Table1[[#This Row],[Name]],MountsByName[],3,FALSE)</f>
        <v>3.1</v>
      </c>
      <c r="E324" s="1">
        <f>VLOOKUP(Table1[[#This Row],[Name]],MountsByName[],4,FALSE)</f>
        <v>3.1</v>
      </c>
      <c r="F324" s="1">
        <f>VLOOKUP(Table1[[#This Row],[Name]],MountsByName[],5,FALSE)</f>
        <v>0</v>
      </c>
      <c r="G324" s="1">
        <f>VLOOKUP(Table1[[#This Row],[Name]],MountsByName[],6,FALSE)</f>
        <v>1</v>
      </c>
      <c r="H324" s="1">
        <f>VLOOKUP(Table1[[#This Row],[Name]],MountsByName[],7,FALSE)</f>
        <v>0</v>
      </c>
      <c r="I324" s="1">
        <f>VLOOKUP(Table1[[#This Row],[Name]],MountsByName[],8,FALSE)</f>
        <v>45801</v>
      </c>
      <c r="J324" s="1" t="str">
        <f>VLOOKUP(Table1[[#This Row],[Name]],MountsByName[],9,FALSE)</f>
        <v>Achievment</v>
      </c>
      <c r="K324" s="1">
        <f>VLOOKUP(Table1[[#This Row],[Name]],MountsByName[],10,FALSE)</f>
        <v>1</v>
      </c>
      <c r="L324" s="1">
        <f>VLOOKUP(Table1[[#This Row],[Name]],MountsByName[],11,FALSE)</f>
        <v>1</v>
      </c>
      <c r="M324" s="1">
        <f>VLOOKUP(Table1[[#This Row],[Name]],MountsByName[],12,FALSE)</f>
        <v>1</v>
      </c>
      <c r="N32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[63956] ={"Ironbound Proto-Drake", 63956, 45801, 3.1, 3.1, 0, "Proto-Drake", "Achievment", 1, 0},</v>
      </c>
    </row>
    <row r="325" spans="1:14" x14ac:dyDescent="0.35">
      <c r="A325" s="2">
        <v>63963</v>
      </c>
      <c r="B325" t="s">
        <v>53</v>
      </c>
      <c r="C325" s="1" t="str">
        <f>VLOOKUP(Table1[[#This Row],[Name]],MountsByName[],2,FALSE)</f>
        <v>Proto-Drake</v>
      </c>
      <c r="D325" s="1">
        <f>VLOOKUP(Table1[[#This Row],[Name]],MountsByName[],3,FALSE)</f>
        <v>3.1</v>
      </c>
      <c r="E325" s="1">
        <f>VLOOKUP(Table1[[#This Row],[Name]],MountsByName[],4,FALSE)</f>
        <v>3.1</v>
      </c>
      <c r="F325" s="1">
        <f>VLOOKUP(Table1[[#This Row],[Name]],MountsByName[],5,FALSE)</f>
        <v>0</v>
      </c>
      <c r="G325" s="1">
        <f>VLOOKUP(Table1[[#This Row],[Name]],MountsByName[],6,FALSE)</f>
        <v>1</v>
      </c>
      <c r="H325" s="1">
        <f>VLOOKUP(Table1[[#This Row],[Name]],MountsByName[],7,FALSE)</f>
        <v>0</v>
      </c>
      <c r="I325" s="1">
        <f>VLOOKUP(Table1[[#This Row],[Name]],MountsByName[],8,FALSE)</f>
        <v>45802</v>
      </c>
      <c r="J325" s="1" t="str">
        <f>VLOOKUP(Table1[[#This Row],[Name]],MountsByName[],9,FALSE)</f>
        <v>Achievment</v>
      </c>
      <c r="K325" s="1">
        <f>VLOOKUP(Table1[[#This Row],[Name]],MountsByName[],10,FALSE)</f>
        <v>1</v>
      </c>
      <c r="L325" s="1">
        <f>VLOOKUP(Table1[[#This Row],[Name]],MountsByName[],11,FALSE)</f>
        <v>1</v>
      </c>
      <c r="M325" s="1">
        <f>VLOOKUP(Table1[[#This Row],[Name]],MountsByName[],12,FALSE)</f>
        <v>1</v>
      </c>
      <c r="N32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[63963] ={"Rusted Proto-Drake", 63963, 45802, 3.1, 3.1, 0, "Proto-Drake", "Achievment", 1, 0},</v>
      </c>
    </row>
    <row r="326" spans="1:14" x14ac:dyDescent="0.35">
      <c r="A326" s="2">
        <v>136400</v>
      </c>
      <c r="B326" t="s">
        <v>1120</v>
      </c>
      <c r="C326" s="1" t="str">
        <f>VLOOKUP(Table1[[#This Row],[Name]],MountsByName[],2,FALSE)</f>
        <v>Pterosaur</v>
      </c>
      <c r="D326" s="1">
        <f>VLOOKUP(Table1[[#This Row],[Name]],MountsByName[],3,FALSE)</f>
        <v>2.8</v>
      </c>
      <c r="E326" s="1">
        <f>VLOOKUP(Table1[[#This Row],[Name]],MountsByName[],4,FALSE)</f>
        <v>2.8</v>
      </c>
      <c r="F326" s="1">
        <f>VLOOKUP(Table1[[#This Row],[Name]],MountsByName[],5,FALSE)</f>
        <v>0</v>
      </c>
      <c r="G326" s="1">
        <f>VLOOKUP(Table1[[#This Row],[Name]],MountsByName[],6,FALSE)</f>
        <v>1</v>
      </c>
      <c r="H326" s="1">
        <f>VLOOKUP(Table1[[#This Row],[Name]],MountsByName[],7,FALSE)</f>
        <v>0</v>
      </c>
      <c r="I326" s="1">
        <f>VLOOKUP(Table1[[#This Row],[Name]],MountsByName[],8,FALSE)</f>
        <v>0</v>
      </c>
      <c r="J326" s="1">
        <f>VLOOKUP(Table1[[#This Row],[Name]],MountsByName[],9,FALSE)</f>
        <v>0</v>
      </c>
      <c r="K326" s="1">
        <f>VLOOKUP(Table1[[#This Row],[Name]],MountsByName[],10,FALSE)</f>
        <v>0</v>
      </c>
      <c r="L326" s="1">
        <f>VLOOKUP(Table1[[#This Row],[Name]],MountsByName[],11,FALSE)</f>
        <v>0</v>
      </c>
      <c r="M326" s="1">
        <f>VLOOKUP(Table1[[#This Row],[Name]],MountsByName[],12,FALSE)</f>
        <v>1</v>
      </c>
      <c r="N32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[136400] ={"Armored Skyscreamer", 136400, 0, 2.8, 2.8, 0, "Pterosaur", "0", 1, 0},</v>
      </c>
    </row>
    <row r="327" spans="1:14" x14ac:dyDescent="0.35">
      <c r="A327" s="2">
        <v>124659</v>
      </c>
      <c r="B327" t="s">
        <v>1080</v>
      </c>
      <c r="C327" s="1" t="str">
        <f>VLOOKUP(Table1[[#This Row],[Name]],MountsByName[],2,FALSE)</f>
        <v>Quilen</v>
      </c>
      <c r="D327" s="1">
        <f>VLOOKUP(Table1[[#This Row],[Name]],MountsByName[],3,FALSE)</f>
        <v>1</v>
      </c>
      <c r="E327" s="1">
        <f>VLOOKUP(Table1[[#This Row],[Name]],MountsByName[],4,FALSE)</f>
        <v>1</v>
      </c>
      <c r="F327" s="1">
        <f>VLOOKUP(Table1[[#This Row],[Name]],MountsByName[],5,FALSE)</f>
        <v>0</v>
      </c>
      <c r="G327" s="1">
        <f>VLOOKUP(Table1[[#This Row],[Name]],MountsByName[],6,FALSE)</f>
        <v>1</v>
      </c>
      <c r="H327" s="1">
        <f>VLOOKUP(Table1[[#This Row],[Name]],MountsByName[],7,FALSE)</f>
        <v>0</v>
      </c>
      <c r="I327" s="1">
        <f>VLOOKUP(Table1[[#This Row],[Name]],MountsByName[],8,FALSE)</f>
        <v>0</v>
      </c>
      <c r="J327" s="1">
        <f>VLOOKUP(Table1[[#This Row],[Name]],MountsByName[],9,FALSE)</f>
        <v>0</v>
      </c>
      <c r="K327" s="1">
        <f>VLOOKUP(Table1[[#This Row],[Name]],MountsByName[],10,FALSE)</f>
        <v>0</v>
      </c>
      <c r="L327" s="1">
        <f>VLOOKUP(Table1[[#This Row],[Name]],MountsByName[],11,FALSE)</f>
        <v>0</v>
      </c>
      <c r="M327" s="1">
        <f>VLOOKUP(Table1[[#This Row],[Name]],MountsByName[],12,FALSE)</f>
        <v>1</v>
      </c>
      <c r="N32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[124659] ={"Imperial Quilen", 124659, 0, 1, 1, 0, "Quilen", "0", 1, 0},</v>
      </c>
    </row>
    <row r="328" spans="1:14" x14ac:dyDescent="0.35">
      <c r="A328" s="2">
        <v>388516</v>
      </c>
      <c r="B328" t="s">
        <v>428</v>
      </c>
      <c r="C328" s="1" t="str">
        <f>VLOOKUP(Table1[[#This Row],[Name]],MountsByName[],2,FALSE)</f>
        <v>Rabit</v>
      </c>
      <c r="D328" s="1">
        <f>VLOOKUP(Table1[[#This Row],[Name]],MountsByName[],3,FALSE)</f>
        <v>1</v>
      </c>
      <c r="E328" s="1">
        <f>VLOOKUP(Table1[[#This Row],[Name]],MountsByName[],4,FALSE)</f>
        <v>0.6</v>
      </c>
      <c r="F328" s="1">
        <f>VLOOKUP(Table1[[#This Row],[Name]],MountsByName[],5,FALSE)</f>
        <v>0</v>
      </c>
      <c r="G328" s="1">
        <f>VLOOKUP(Table1[[#This Row],[Name]],MountsByName[],6,FALSE)</f>
        <v>1</v>
      </c>
      <c r="H328" s="1">
        <f>VLOOKUP(Table1[[#This Row],[Name]],MountsByName[],7,FALSE)</f>
        <v>0</v>
      </c>
      <c r="I328" s="1">
        <f>VLOOKUP(Table1[[#This Row],[Name]],MountsByName[],8,FALSE)</f>
        <v>0</v>
      </c>
      <c r="J328" s="1" t="str">
        <f>VLOOKUP(Table1[[#This Row],[Name]],MountsByName[],9,FALSE)</f>
        <v>?</v>
      </c>
      <c r="K328" s="1">
        <f>VLOOKUP(Table1[[#This Row],[Name]],MountsByName[],10,FALSE)</f>
        <v>1</v>
      </c>
      <c r="L328" s="1">
        <f>VLOOKUP(Table1[[#This Row],[Name]],MountsByName[],11,FALSE)</f>
        <v>1</v>
      </c>
      <c r="M328" s="1">
        <f>VLOOKUP(Table1[[#This Row],[Name]],MountsByName[],12,FALSE)</f>
        <v>1</v>
      </c>
      <c r="N32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[388516] ={"Hao-Yue, River Foreseer", 388516, 0, 1, 0.6, 0, "Rabit", "?", 1, 0},</v>
      </c>
    </row>
    <row r="329" spans="1:14" x14ac:dyDescent="0.35">
      <c r="A329" s="2">
        <v>6777</v>
      </c>
      <c r="B329" t="s">
        <v>150</v>
      </c>
      <c r="C329" s="1" t="str">
        <f>VLOOKUP(Table1[[#This Row],[Name]],MountsByName[],2,FALSE)</f>
        <v>Ram</v>
      </c>
      <c r="D329" s="1">
        <f>VLOOKUP(Table1[[#This Row],[Name]],MountsByName[],3,FALSE)</f>
        <v>0.6</v>
      </c>
      <c r="E329" s="1">
        <f>VLOOKUP(Table1[[#This Row],[Name]],MountsByName[],4,FALSE)</f>
        <v>0.6</v>
      </c>
      <c r="F329" s="1">
        <f>VLOOKUP(Table1[[#This Row],[Name]],MountsByName[],5,FALSE)</f>
        <v>0</v>
      </c>
      <c r="G329" s="1">
        <f>VLOOKUP(Table1[[#This Row],[Name]],MountsByName[],6,FALSE)</f>
        <v>1</v>
      </c>
      <c r="H329" s="1">
        <f>VLOOKUP(Table1[[#This Row],[Name]],MountsByName[],7,FALSE)</f>
        <v>0</v>
      </c>
      <c r="I329" s="1">
        <f>VLOOKUP(Table1[[#This Row],[Name]],MountsByName[],8,FALSE)</f>
        <v>5864</v>
      </c>
      <c r="J329" s="1" t="str">
        <f>VLOOKUP(Table1[[#This Row],[Name]],MountsByName[],9,FALSE)</f>
        <v>Exalted IronForge</v>
      </c>
      <c r="K329" s="1">
        <f>VLOOKUP(Table1[[#This Row],[Name]],MountsByName[],10,FALSE)</f>
        <v>1</v>
      </c>
      <c r="L329" s="1">
        <f>VLOOKUP(Table1[[#This Row],[Name]],MountsByName[],11,FALSE)</f>
        <v>0</v>
      </c>
      <c r="M329" s="1">
        <f>VLOOKUP(Table1[[#This Row],[Name]],MountsByName[],12,FALSE)</f>
        <v>1</v>
      </c>
      <c r="N32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[6777] ={"Gray Ram", 6777, 5864, 0.6, 0.6, 0, "Ram", "Exalted IronForge", 1, 0},</v>
      </c>
    </row>
    <row r="330" spans="1:14" x14ac:dyDescent="0.35">
      <c r="A330" s="2">
        <v>6896</v>
      </c>
      <c r="B330" t="s">
        <v>93</v>
      </c>
      <c r="C330" s="1" t="str">
        <f>VLOOKUP(Table1[[#This Row],[Name]],MountsByName[],2,FALSE)</f>
        <v>Ram</v>
      </c>
      <c r="D330" s="1">
        <f>VLOOKUP(Table1[[#This Row],[Name]],MountsByName[],3,FALSE)</f>
        <v>1</v>
      </c>
      <c r="E330" s="1">
        <f>VLOOKUP(Table1[[#This Row],[Name]],MountsByName[],4,FALSE)</f>
        <v>1</v>
      </c>
      <c r="F330" s="1">
        <f>VLOOKUP(Table1[[#This Row],[Name]],MountsByName[],5,FALSE)</f>
        <v>0</v>
      </c>
      <c r="G330" s="1">
        <f>VLOOKUP(Table1[[#This Row],[Name]],MountsByName[],6,FALSE)</f>
        <v>1</v>
      </c>
      <c r="H330" s="1">
        <f>VLOOKUP(Table1[[#This Row],[Name]],MountsByName[],7,FALSE)</f>
        <v>0</v>
      </c>
      <c r="I330" s="1">
        <f>VLOOKUP(Table1[[#This Row],[Name]],MountsByName[],8,FALSE)</f>
        <v>13328</v>
      </c>
      <c r="J330" s="1" t="str">
        <f>VLOOKUP(Table1[[#This Row],[Name]],MountsByName[],9,FALSE)</f>
        <v>Exalted IronForge</v>
      </c>
      <c r="K330" s="1">
        <f>VLOOKUP(Table1[[#This Row],[Name]],MountsByName[],10,FALSE)</f>
        <v>1</v>
      </c>
      <c r="L330" s="1">
        <f>VLOOKUP(Table1[[#This Row],[Name]],MountsByName[],11,FALSE)</f>
        <v>0</v>
      </c>
      <c r="M330" s="1">
        <f>VLOOKUP(Table1[[#This Row],[Name]],MountsByName[],12,FALSE)</f>
        <v>1</v>
      </c>
      <c r="N33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[6896] ={"Black Ram", 6896, 13328, 1, 1, 0, "Ram", "Exalted IronForge", 1, 0},</v>
      </c>
    </row>
    <row r="331" spans="1:14" x14ac:dyDescent="0.35">
      <c r="A331" s="2">
        <v>6898</v>
      </c>
      <c r="B331" t="s">
        <v>266</v>
      </c>
      <c r="C331" s="1" t="str">
        <f>VLOOKUP(Table1[[#This Row],[Name]],MountsByName[],2,FALSE)</f>
        <v>Ram</v>
      </c>
      <c r="D331" s="1">
        <f>VLOOKUP(Table1[[#This Row],[Name]],MountsByName[],3,FALSE)</f>
        <v>0.6</v>
      </c>
      <c r="E331" s="1">
        <f>VLOOKUP(Table1[[#This Row],[Name]],MountsByName[],4,FALSE)</f>
        <v>0.6</v>
      </c>
      <c r="F331" s="1">
        <f>VLOOKUP(Table1[[#This Row],[Name]],MountsByName[],5,FALSE)</f>
        <v>0</v>
      </c>
      <c r="G331" s="1">
        <f>VLOOKUP(Table1[[#This Row],[Name]],MountsByName[],6,FALSE)</f>
        <v>1</v>
      </c>
      <c r="H331" s="1">
        <f>VLOOKUP(Table1[[#This Row],[Name]],MountsByName[],7,FALSE)</f>
        <v>0</v>
      </c>
      <c r="I331" s="1">
        <f>VLOOKUP(Table1[[#This Row],[Name]],MountsByName[],8,FALSE)</f>
        <v>5873</v>
      </c>
      <c r="J331" s="1" t="str">
        <f>VLOOKUP(Table1[[#This Row],[Name]],MountsByName[],9,FALSE)</f>
        <v>Exalted IronForge</v>
      </c>
      <c r="K331" s="1">
        <f>VLOOKUP(Table1[[#This Row],[Name]],MountsByName[],10,FALSE)</f>
        <v>1</v>
      </c>
      <c r="L331" s="1">
        <f>VLOOKUP(Table1[[#This Row],[Name]],MountsByName[],11,FALSE)</f>
        <v>0</v>
      </c>
      <c r="M331" s="1">
        <f>VLOOKUP(Table1[[#This Row],[Name]],MountsByName[],12,FALSE)</f>
        <v>1</v>
      </c>
      <c r="N331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[6898] ={"White Ram", 6898, 5873, 0.6, 0.6, 0, "Ram", "Exalted IronForge", 1, 0},</v>
      </c>
    </row>
    <row r="332" spans="1:14" x14ac:dyDescent="0.35">
      <c r="A332" s="2">
        <v>6899</v>
      </c>
      <c r="B332" t="s">
        <v>119</v>
      </c>
      <c r="C332" s="1" t="str">
        <f>VLOOKUP(Table1[[#This Row],[Name]],MountsByName[],2,FALSE)</f>
        <v>Ram</v>
      </c>
      <c r="D332" s="1">
        <f>VLOOKUP(Table1[[#This Row],[Name]],MountsByName[],3,FALSE)</f>
        <v>0.6</v>
      </c>
      <c r="E332" s="1">
        <f>VLOOKUP(Table1[[#This Row],[Name]],MountsByName[],4,FALSE)</f>
        <v>0.6</v>
      </c>
      <c r="F332" s="1">
        <f>VLOOKUP(Table1[[#This Row],[Name]],MountsByName[],5,FALSE)</f>
        <v>0</v>
      </c>
      <c r="G332" s="1">
        <f>VLOOKUP(Table1[[#This Row],[Name]],MountsByName[],6,FALSE)</f>
        <v>1</v>
      </c>
      <c r="H332" s="1">
        <f>VLOOKUP(Table1[[#This Row],[Name]],MountsByName[],7,FALSE)</f>
        <v>0</v>
      </c>
      <c r="I332" s="1">
        <f>VLOOKUP(Table1[[#This Row],[Name]],MountsByName[],8,FALSE)</f>
        <v>5872</v>
      </c>
      <c r="J332" s="1" t="str">
        <f>VLOOKUP(Table1[[#This Row],[Name]],MountsByName[],9,FALSE)</f>
        <v>Exalted IronForge</v>
      </c>
      <c r="K332" s="1">
        <f>VLOOKUP(Table1[[#This Row],[Name]],MountsByName[],10,FALSE)</f>
        <v>1</v>
      </c>
      <c r="L332" s="1">
        <f>VLOOKUP(Table1[[#This Row],[Name]],MountsByName[],11,FALSE)</f>
        <v>0</v>
      </c>
      <c r="M332" s="1">
        <f>VLOOKUP(Table1[[#This Row],[Name]],MountsByName[],12,FALSE)</f>
        <v>1</v>
      </c>
      <c r="N33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[6899] ={"Brown Ram", 6899, 5872, 0.6, 0.6, 0, "Ram", "Exalted IronForge", 1, 0},</v>
      </c>
    </row>
    <row r="333" spans="1:14" x14ac:dyDescent="0.35">
      <c r="A333" s="2">
        <v>17460</v>
      </c>
      <c r="B333" t="s">
        <v>141</v>
      </c>
      <c r="C333" s="1" t="str">
        <f>VLOOKUP(Table1[[#This Row],[Name]],MountsByName[],2,FALSE)</f>
        <v>Ram</v>
      </c>
      <c r="D333" s="1">
        <f>VLOOKUP(Table1[[#This Row],[Name]],MountsByName[],3,FALSE)</f>
        <v>1</v>
      </c>
      <c r="E333" s="1">
        <f>VLOOKUP(Table1[[#This Row],[Name]],MountsByName[],4,FALSE)</f>
        <v>1</v>
      </c>
      <c r="F333" s="1">
        <f>VLOOKUP(Table1[[#This Row],[Name]],MountsByName[],5,FALSE)</f>
        <v>0</v>
      </c>
      <c r="G333" s="1">
        <f>VLOOKUP(Table1[[#This Row],[Name]],MountsByName[],6,FALSE)</f>
        <v>1</v>
      </c>
      <c r="H333" s="1">
        <f>VLOOKUP(Table1[[#This Row],[Name]],MountsByName[],7,FALSE)</f>
        <v>0</v>
      </c>
      <c r="I333" s="1">
        <f>VLOOKUP(Table1[[#This Row],[Name]],MountsByName[],8,FALSE)</f>
        <v>13329</v>
      </c>
      <c r="J333" s="1" t="str">
        <f>VLOOKUP(Table1[[#This Row],[Name]],MountsByName[],9,FALSE)</f>
        <v>Removed</v>
      </c>
      <c r="K333" s="1">
        <f>VLOOKUP(Table1[[#This Row],[Name]],MountsByName[],10,FALSE)</f>
        <v>1</v>
      </c>
      <c r="L333" s="1">
        <f>VLOOKUP(Table1[[#This Row],[Name]],MountsByName[],11,FALSE)</f>
        <v>0</v>
      </c>
      <c r="M333" s="1">
        <f>VLOOKUP(Table1[[#This Row],[Name]],MountsByName[],12,FALSE)</f>
        <v>1</v>
      </c>
      <c r="N33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[17460] ={"Frost Ram", 17460, 13329, 1, 1, 0, "Ram", "Removed", 1, 0},</v>
      </c>
    </row>
    <row r="334" spans="1:14" x14ac:dyDescent="0.35">
      <c r="A334" s="2">
        <v>17461</v>
      </c>
      <c r="B334" t="s">
        <v>93</v>
      </c>
      <c r="C334" s="1" t="str">
        <f>VLOOKUP(Table1[[#This Row],[Name]],MountsByName[],2,FALSE)</f>
        <v>Ram</v>
      </c>
      <c r="D334" s="1">
        <f>VLOOKUP(Table1[[#This Row],[Name]],MountsByName[],3,FALSE)</f>
        <v>1</v>
      </c>
      <c r="E334" s="1">
        <f>VLOOKUP(Table1[[#This Row],[Name]],MountsByName[],4,FALSE)</f>
        <v>1</v>
      </c>
      <c r="F334" s="1">
        <f>VLOOKUP(Table1[[#This Row],[Name]],MountsByName[],5,FALSE)</f>
        <v>0</v>
      </c>
      <c r="G334" s="1">
        <f>VLOOKUP(Table1[[#This Row],[Name]],MountsByName[],6,FALSE)</f>
        <v>1</v>
      </c>
      <c r="H334" s="1">
        <f>VLOOKUP(Table1[[#This Row],[Name]],MountsByName[],7,FALSE)</f>
        <v>0</v>
      </c>
      <c r="I334" s="1">
        <f>VLOOKUP(Table1[[#This Row],[Name]],MountsByName[],8,FALSE)</f>
        <v>13328</v>
      </c>
      <c r="J334" s="1" t="str">
        <f>VLOOKUP(Table1[[#This Row],[Name]],MountsByName[],9,FALSE)</f>
        <v>Exalted IronForge</v>
      </c>
      <c r="K334" s="1">
        <f>VLOOKUP(Table1[[#This Row],[Name]],MountsByName[],10,FALSE)</f>
        <v>1</v>
      </c>
      <c r="L334" s="1">
        <f>VLOOKUP(Table1[[#This Row],[Name]],MountsByName[],11,FALSE)</f>
        <v>0</v>
      </c>
      <c r="M334" s="1">
        <f>VLOOKUP(Table1[[#This Row],[Name]],MountsByName[],12,FALSE)</f>
        <v>1</v>
      </c>
      <c r="N33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[17461] ={"Black Ram", 17461, 13328, 1, 1, 0, "Ram", "Exalted IronForge", 1, 0},</v>
      </c>
    </row>
    <row r="335" spans="1:14" x14ac:dyDescent="0.35">
      <c r="A335" s="2">
        <v>22720</v>
      </c>
      <c r="B335" t="s">
        <v>100</v>
      </c>
      <c r="C335" s="1" t="str">
        <f>VLOOKUP(Table1[[#This Row],[Name]],MountsByName[],2,FALSE)</f>
        <v>Ram</v>
      </c>
      <c r="D335" s="1">
        <f>VLOOKUP(Table1[[#This Row],[Name]],MountsByName[],3,FALSE)</f>
        <v>1</v>
      </c>
      <c r="E335" s="1">
        <f>VLOOKUP(Table1[[#This Row],[Name]],MountsByName[],4,FALSE)</f>
        <v>1</v>
      </c>
      <c r="F335" s="1">
        <f>VLOOKUP(Table1[[#This Row],[Name]],MountsByName[],5,FALSE)</f>
        <v>0</v>
      </c>
      <c r="G335" s="1">
        <f>VLOOKUP(Table1[[#This Row],[Name]],MountsByName[],6,FALSE)</f>
        <v>1</v>
      </c>
      <c r="H335" s="1">
        <f>VLOOKUP(Table1[[#This Row],[Name]],MountsByName[],7,FALSE)</f>
        <v>0</v>
      </c>
      <c r="I335" s="1">
        <f>VLOOKUP(Table1[[#This Row],[Name]],MountsByName[],8,FALSE)</f>
        <v>29467</v>
      </c>
      <c r="J335" s="1" t="str">
        <f>VLOOKUP(Table1[[#This Row],[Name]],MountsByName[],9,FALSE)</f>
        <v>Honor</v>
      </c>
      <c r="K335" s="1">
        <f>VLOOKUP(Table1[[#This Row],[Name]],MountsByName[],10,FALSE)</f>
        <v>1</v>
      </c>
      <c r="L335" s="1">
        <f>VLOOKUP(Table1[[#This Row],[Name]],MountsByName[],11,FALSE)</f>
        <v>0</v>
      </c>
      <c r="M335" s="1">
        <f>VLOOKUP(Table1[[#This Row],[Name]],MountsByName[],12,FALSE)</f>
        <v>1</v>
      </c>
      <c r="N33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[22720] ={"Black War Ram", 22720, 29467, 1, 1, 0, "Ram", "Honor", 1, 0},</v>
      </c>
    </row>
    <row r="336" spans="1:14" x14ac:dyDescent="0.35">
      <c r="A336" s="2">
        <v>23238</v>
      </c>
      <c r="B336" t="s">
        <v>215</v>
      </c>
      <c r="C336" s="1" t="str">
        <f>VLOOKUP(Table1[[#This Row],[Name]],MountsByName[],2,FALSE)</f>
        <v>Ram</v>
      </c>
      <c r="D336" s="1">
        <f>VLOOKUP(Table1[[#This Row],[Name]],MountsByName[],3,FALSE)</f>
        <v>1</v>
      </c>
      <c r="E336" s="1">
        <f>VLOOKUP(Table1[[#This Row],[Name]],MountsByName[],4,FALSE)</f>
        <v>1</v>
      </c>
      <c r="F336" s="1">
        <f>VLOOKUP(Table1[[#This Row],[Name]],MountsByName[],5,FALSE)</f>
        <v>0</v>
      </c>
      <c r="G336" s="1">
        <f>VLOOKUP(Table1[[#This Row],[Name]],MountsByName[],6,FALSE)</f>
        <v>1</v>
      </c>
      <c r="H336" s="1">
        <f>VLOOKUP(Table1[[#This Row],[Name]],MountsByName[],7,FALSE)</f>
        <v>0</v>
      </c>
      <c r="I336" s="1">
        <f>VLOOKUP(Table1[[#This Row],[Name]],MountsByName[],8,FALSE)</f>
        <v>18786</v>
      </c>
      <c r="J336" s="1" t="str">
        <f>VLOOKUP(Table1[[#This Row],[Name]],MountsByName[],9,FALSE)</f>
        <v>Exalted IronForge</v>
      </c>
      <c r="K336" s="1">
        <f>VLOOKUP(Table1[[#This Row],[Name]],MountsByName[],10,FALSE)</f>
        <v>1</v>
      </c>
      <c r="L336" s="1">
        <f>VLOOKUP(Table1[[#This Row],[Name]],MountsByName[],11,FALSE)</f>
        <v>0</v>
      </c>
      <c r="M336" s="1">
        <f>VLOOKUP(Table1[[#This Row],[Name]],MountsByName[],12,FALSE)</f>
        <v>1</v>
      </c>
      <c r="N33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[23238] ={"Swift Brown Ram", 23238, 18786, 1, 1, 0, "Ram", "Exalted IronForge", 1, 0},</v>
      </c>
    </row>
    <row r="337" spans="1:14" x14ac:dyDescent="0.35">
      <c r="A337" s="2">
        <v>23239</v>
      </c>
      <c r="B337" t="s">
        <v>221</v>
      </c>
      <c r="C337" s="1" t="str">
        <f>VLOOKUP(Table1[[#This Row],[Name]],MountsByName[],2,FALSE)</f>
        <v>Ram</v>
      </c>
      <c r="D337" s="1">
        <f>VLOOKUP(Table1[[#This Row],[Name]],MountsByName[],3,FALSE)</f>
        <v>1</v>
      </c>
      <c r="E337" s="1">
        <f>VLOOKUP(Table1[[#This Row],[Name]],MountsByName[],4,FALSE)</f>
        <v>1</v>
      </c>
      <c r="F337" s="1">
        <f>VLOOKUP(Table1[[#This Row],[Name]],MountsByName[],5,FALSE)</f>
        <v>0</v>
      </c>
      <c r="G337" s="1">
        <f>VLOOKUP(Table1[[#This Row],[Name]],MountsByName[],6,FALSE)</f>
        <v>1</v>
      </c>
      <c r="H337" s="1">
        <f>VLOOKUP(Table1[[#This Row],[Name]],MountsByName[],7,FALSE)</f>
        <v>0</v>
      </c>
      <c r="I337" s="1">
        <f>VLOOKUP(Table1[[#This Row],[Name]],MountsByName[],8,FALSE)</f>
        <v>18787</v>
      </c>
      <c r="J337" s="1" t="str">
        <f>VLOOKUP(Table1[[#This Row],[Name]],MountsByName[],9,FALSE)</f>
        <v>Exalted IronForge</v>
      </c>
      <c r="K337" s="1">
        <f>VLOOKUP(Table1[[#This Row],[Name]],MountsByName[],10,FALSE)</f>
        <v>1</v>
      </c>
      <c r="L337" s="1">
        <f>VLOOKUP(Table1[[#This Row],[Name]],MountsByName[],11,FALSE)</f>
        <v>0</v>
      </c>
      <c r="M337" s="1">
        <f>VLOOKUP(Table1[[#This Row],[Name]],MountsByName[],12,FALSE)</f>
        <v>1</v>
      </c>
      <c r="N33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[23239] ={"Swift Gray Ram", 23239, 18787, 1, 1, 0, "Ram", "Exalted IronForge", 1, 0},</v>
      </c>
    </row>
    <row r="338" spans="1:14" x14ac:dyDescent="0.35">
      <c r="A338" s="2">
        <v>23240</v>
      </c>
      <c r="B338" t="s">
        <v>245</v>
      </c>
      <c r="C338" s="1" t="str">
        <f>VLOOKUP(Table1[[#This Row],[Name]],MountsByName[],2,FALSE)</f>
        <v>Ram</v>
      </c>
      <c r="D338" s="1">
        <f>VLOOKUP(Table1[[#This Row],[Name]],MountsByName[],3,FALSE)</f>
        <v>1</v>
      </c>
      <c r="E338" s="1">
        <f>VLOOKUP(Table1[[#This Row],[Name]],MountsByName[],4,FALSE)</f>
        <v>1</v>
      </c>
      <c r="F338" s="1">
        <f>VLOOKUP(Table1[[#This Row],[Name]],MountsByName[],5,FALSE)</f>
        <v>0</v>
      </c>
      <c r="G338" s="1">
        <f>VLOOKUP(Table1[[#This Row],[Name]],MountsByName[],6,FALSE)</f>
        <v>1</v>
      </c>
      <c r="H338" s="1">
        <f>VLOOKUP(Table1[[#This Row],[Name]],MountsByName[],7,FALSE)</f>
        <v>0</v>
      </c>
      <c r="I338" s="1">
        <f>VLOOKUP(Table1[[#This Row],[Name]],MountsByName[],8,FALSE)</f>
        <v>18785</v>
      </c>
      <c r="J338" s="1" t="str">
        <f>VLOOKUP(Table1[[#This Row],[Name]],MountsByName[],9,FALSE)</f>
        <v>Exalted IronForge</v>
      </c>
      <c r="K338" s="1">
        <f>VLOOKUP(Table1[[#This Row],[Name]],MountsByName[],10,FALSE)</f>
        <v>1</v>
      </c>
      <c r="L338" s="1">
        <f>VLOOKUP(Table1[[#This Row],[Name]],MountsByName[],11,FALSE)</f>
        <v>0</v>
      </c>
      <c r="M338" s="1">
        <f>VLOOKUP(Table1[[#This Row],[Name]],MountsByName[],12,FALSE)</f>
        <v>1</v>
      </c>
      <c r="N33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[23240] ={"Swift White Ram", 23240, 18785, 1, 1, 0, "Ram", "Exalted IronForge", 1, 0},</v>
      </c>
    </row>
    <row r="339" spans="1:14" x14ac:dyDescent="0.35">
      <c r="A339" s="2">
        <v>23510</v>
      </c>
      <c r="B339" t="s">
        <v>204</v>
      </c>
      <c r="C339" s="1" t="str">
        <f>VLOOKUP(Table1[[#This Row],[Name]],MountsByName[],2,FALSE)</f>
        <v>Ram</v>
      </c>
      <c r="D339" s="1">
        <f>VLOOKUP(Table1[[#This Row],[Name]],MountsByName[],3,FALSE)</f>
        <v>1</v>
      </c>
      <c r="E339" s="1">
        <f>VLOOKUP(Table1[[#This Row],[Name]],MountsByName[],4,FALSE)</f>
        <v>1</v>
      </c>
      <c r="F339" s="1">
        <f>VLOOKUP(Table1[[#This Row],[Name]],MountsByName[],5,FALSE)</f>
        <v>0</v>
      </c>
      <c r="G339" s="1">
        <f>VLOOKUP(Table1[[#This Row],[Name]],MountsByName[],6,FALSE)</f>
        <v>1</v>
      </c>
      <c r="H339" s="1">
        <f>VLOOKUP(Table1[[#This Row],[Name]],MountsByName[],7,FALSE)</f>
        <v>0</v>
      </c>
      <c r="I339" s="1">
        <f>VLOOKUP(Table1[[#This Row],[Name]],MountsByName[],8,FALSE)</f>
        <v>19030</v>
      </c>
      <c r="J339" s="1" t="str">
        <f>VLOOKUP(Table1[[#This Row],[Name]],MountsByName[],9,FALSE)</f>
        <v>Honor</v>
      </c>
      <c r="K339" s="1">
        <f>VLOOKUP(Table1[[#This Row],[Name]],MountsByName[],10,FALSE)</f>
        <v>1</v>
      </c>
      <c r="L339" s="1">
        <f>VLOOKUP(Table1[[#This Row],[Name]],MountsByName[],11,FALSE)</f>
        <v>0</v>
      </c>
      <c r="M339" s="1">
        <f>VLOOKUP(Table1[[#This Row],[Name]],MountsByName[],12,FALSE)</f>
        <v>1</v>
      </c>
      <c r="N33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[23510] ={"Stormpike Battle Charger", 23510, 19030, 1, 1, 0, "Ram", "Honor", 1, 0},</v>
      </c>
    </row>
    <row r="340" spans="1:14" x14ac:dyDescent="0.35">
      <c r="A340" s="2">
        <v>43899</v>
      </c>
      <c r="B340" t="s">
        <v>113</v>
      </c>
      <c r="C340" s="1" t="str">
        <f>VLOOKUP(Table1[[#This Row],[Name]],MountsByName[],2,FALSE)</f>
        <v>Ram</v>
      </c>
      <c r="D340" s="1">
        <f>VLOOKUP(Table1[[#This Row],[Name]],MountsByName[],3,FALSE)</f>
        <v>0.6</v>
      </c>
      <c r="E340" s="1">
        <f>VLOOKUP(Table1[[#This Row],[Name]],MountsByName[],4,FALSE)</f>
        <v>0.6</v>
      </c>
      <c r="F340" s="1">
        <f>VLOOKUP(Table1[[#This Row],[Name]],MountsByName[],5,FALSE)</f>
        <v>0</v>
      </c>
      <c r="G340" s="1">
        <f>VLOOKUP(Table1[[#This Row],[Name]],MountsByName[],6,FALSE)</f>
        <v>1</v>
      </c>
      <c r="H340" s="1">
        <f>VLOOKUP(Table1[[#This Row],[Name]],MountsByName[],7,FALSE)</f>
        <v>0</v>
      </c>
      <c r="I340" s="1">
        <f>VLOOKUP(Table1[[#This Row],[Name]],MountsByName[],8,FALSE)</f>
        <v>33976</v>
      </c>
      <c r="J340" s="1" t="str">
        <f>VLOOKUP(Table1[[#This Row],[Name]],MountsByName[],9,FALSE)</f>
        <v>Duplicate</v>
      </c>
      <c r="K340" s="1">
        <f>VLOOKUP(Table1[[#This Row],[Name]],MountsByName[],10,FALSE)</f>
        <v>1</v>
      </c>
      <c r="L340" s="1">
        <f>VLOOKUP(Table1[[#This Row],[Name]],MountsByName[],11,FALSE)</f>
        <v>1</v>
      </c>
      <c r="M340" s="1">
        <f>VLOOKUP(Table1[[#This Row],[Name]],MountsByName[],12,FALSE)</f>
        <v>1</v>
      </c>
      <c r="N34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[43899] ={"Brewfest Ram", 43899, 33976, 0.6, 0.6, 0, "Ram", "Duplicate", 1, 0},</v>
      </c>
    </row>
    <row r="341" spans="1:14" x14ac:dyDescent="0.35">
      <c r="A341" s="2">
        <v>43900</v>
      </c>
      <c r="B341" t="s">
        <v>214</v>
      </c>
      <c r="C341" s="1" t="str">
        <f>VLOOKUP(Table1[[#This Row],[Name]],MountsByName[],2,FALSE)</f>
        <v>Ram</v>
      </c>
      <c r="D341" s="1">
        <f>VLOOKUP(Table1[[#This Row],[Name]],MountsByName[],3,FALSE)</f>
        <v>1</v>
      </c>
      <c r="E341" s="1">
        <f>VLOOKUP(Table1[[#This Row],[Name]],MountsByName[],4,FALSE)</f>
        <v>1</v>
      </c>
      <c r="F341" s="1">
        <f>VLOOKUP(Table1[[#This Row],[Name]],MountsByName[],5,FALSE)</f>
        <v>0</v>
      </c>
      <c r="G341" s="1">
        <f>VLOOKUP(Table1[[#This Row],[Name]],MountsByName[],6,FALSE)</f>
        <v>1</v>
      </c>
      <c r="H341" s="1">
        <f>VLOOKUP(Table1[[#This Row],[Name]],MountsByName[],7,FALSE)</f>
        <v>0</v>
      </c>
      <c r="I341" s="1">
        <f>VLOOKUP(Table1[[#This Row],[Name]],MountsByName[],8,FALSE)</f>
        <v>33977</v>
      </c>
      <c r="J341" s="1" t="str">
        <f>VLOOKUP(Table1[[#This Row],[Name]],MountsByName[],9,FALSE)</f>
        <v>Drop Brewfest</v>
      </c>
      <c r="K341" s="1">
        <f>VLOOKUP(Table1[[#This Row],[Name]],MountsByName[],10,FALSE)</f>
        <v>1</v>
      </c>
      <c r="L341" s="1">
        <f>VLOOKUP(Table1[[#This Row],[Name]],MountsByName[],11,FALSE)</f>
        <v>1</v>
      </c>
      <c r="M341" s="1">
        <f>VLOOKUP(Table1[[#This Row],[Name]],MountsByName[],12,FALSE)</f>
        <v>1</v>
      </c>
      <c r="N341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[43900] ={"Swift Brewfest Ram", 43900, 33977, 1, 1, 0, "Ram", "Drop Brewfest", 1, 0},</v>
      </c>
    </row>
    <row r="342" spans="1:14" x14ac:dyDescent="0.35">
      <c r="A342" s="2">
        <v>63636</v>
      </c>
      <c r="B342" t="s">
        <v>168</v>
      </c>
      <c r="C342" s="1" t="str">
        <f>VLOOKUP(Table1[[#This Row],[Name]],MountsByName[],2,FALSE)</f>
        <v>Ram</v>
      </c>
      <c r="D342" s="1">
        <f>VLOOKUP(Table1[[#This Row],[Name]],MountsByName[],3,FALSE)</f>
        <v>1</v>
      </c>
      <c r="E342" s="1">
        <f>VLOOKUP(Table1[[#This Row],[Name]],MountsByName[],4,FALSE)</f>
        <v>1</v>
      </c>
      <c r="F342" s="1">
        <f>VLOOKUP(Table1[[#This Row],[Name]],MountsByName[],5,FALSE)</f>
        <v>0</v>
      </c>
      <c r="G342" s="1">
        <f>VLOOKUP(Table1[[#This Row],[Name]],MountsByName[],6,FALSE)</f>
        <v>1</v>
      </c>
      <c r="H342" s="1">
        <f>VLOOKUP(Table1[[#This Row],[Name]],MountsByName[],7,FALSE)</f>
        <v>0</v>
      </c>
      <c r="I342" s="1">
        <f>VLOOKUP(Table1[[#This Row],[Name]],MountsByName[],8,FALSE)</f>
        <v>45586</v>
      </c>
      <c r="J342" s="1" t="str">
        <f>VLOOKUP(Table1[[#This Row],[Name]],MountsByName[],9,FALSE)</f>
        <v>Champion's Seals</v>
      </c>
      <c r="K342" s="1">
        <f>VLOOKUP(Table1[[#This Row],[Name]],MountsByName[],10,FALSE)</f>
        <v>1</v>
      </c>
      <c r="L342" s="1">
        <f>VLOOKUP(Table1[[#This Row],[Name]],MountsByName[],11,FALSE)</f>
        <v>0</v>
      </c>
      <c r="M342" s="1">
        <f>VLOOKUP(Table1[[#This Row],[Name]],MountsByName[],12,FALSE)</f>
        <v>1</v>
      </c>
      <c r="N34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[63636] ={"Ironforge Ram", 63636, 45586, 1, 1, 0, "Ram", "Champion's Seals", 1, 0},</v>
      </c>
    </row>
    <row r="343" spans="1:14" x14ac:dyDescent="0.35">
      <c r="A343" s="2">
        <v>65643</v>
      </c>
      <c r="B343" t="s">
        <v>240</v>
      </c>
      <c r="C343" s="1" t="str">
        <f>VLOOKUP(Table1[[#This Row],[Name]],MountsByName[],2,FALSE)</f>
        <v>Ram</v>
      </c>
      <c r="D343" s="1">
        <f>VLOOKUP(Table1[[#This Row],[Name]],MountsByName[],3,FALSE)</f>
        <v>1</v>
      </c>
      <c r="E343" s="1">
        <f>VLOOKUP(Table1[[#This Row],[Name]],MountsByName[],4,FALSE)</f>
        <v>1</v>
      </c>
      <c r="F343" s="1">
        <f>VLOOKUP(Table1[[#This Row],[Name]],MountsByName[],5,FALSE)</f>
        <v>0</v>
      </c>
      <c r="G343" s="1">
        <f>VLOOKUP(Table1[[#This Row],[Name]],MountsByName[],6,FALSE)</f>
        <v>1</v>
      </c>
      <c r="H343" s="1">
        <f>VLOOKUP(Table1[[#This Row],[Name]],MountsByName[],7,FALSE)</f>
        <v>0</v>
      </c>
      <c r="I343" s="1">
        <f>VLOOKUP(Table1[[#This Row],[Name]],MountsByName[],8,FALSE)</f>
        <v>46748</v>
      </c>
      <c r="J343" s="1" t="str">
        <f>VLOOKUP(Table1[[#This Row],[Name]],MountsByName[],9,FALSE)</f>
        <v>Champion's Seals</v>
      </c>
      <c r="K343" s="1">
        <f>VLOOKUP(Table1[[#This Row],[Name]],MountsByName[],10,FALSE)</f>
        <v>1</v>
      </c>
      <c r="L343" s="1">
        <f>VLOOKUP(Table1[[#This Row],[Name]],MountsByName[],11,FALSE)</f>
        <v>0</v>
      </c>
      <c r="M343" s="1">
        <f>VLOOKUP(Table1[[#This Row],[Name]],MountsByName[],12,FALSE)</f>
        <v>1</v>
      </c>
      <c r="N34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[65643] ={"Swift Violet Ram", 65643, 46748, 1, 1, 0, "Ram", "Champion's Seals", 1, 0},</v>
      </c>
    </row>
    <row r="344" spans="1:14" x14ac:dyDescent="0.35">
      <c r="A344" s="2">
        <v>8395</v>
      </c>
      <c r="B344" t="s">
        <v>135</v>
      </c>
      <c r="C344" s="1" t="str">
        <f>VLOOKUP(Table1[[#This Row],[Name]],MountsByName[],2,FALSE)</f>
        <v>Raptor</v>
      </c>
      <c r="D344" s="1">
        <f>VLOOKUP(Table1[[#This Row],[Name]],MountsByName[],3,FALSE)</f>
        <v>0.6</v>
      </c>
      <c r="E344" s="1">
        <f>VLOOKUP(Table1[[#This Row],[Name]],MountsByName[],4,FALSE)</f>
        <v>0.6</v>
      </c>
      <c r="F344" s="1">
        <f>VLOOKUP(Table1[[#This Row],[Name]],MountsByName[],5,FALSE)</f>
        <v>0</v>
      </c>
      <c r="G344" s="1">
        <f>VLOOKUP(Table1[[#This Row],[Name]],MountsByName[],6,FALSE)</f>
        <v>1</v>
      </c>
      <c r="H344" s="1">
        <f>VLOOKUP(Table1[[#This Row],[Name]],MountsByName[],7,FALSE)</f>
        <v>0</v>
      </c>
      <c r="I344" s="1">
        <f>VLOOKUP(Table1[[#This Row],[Name]],MountsByName[],8,FALSE)</f>
        <v>8588</v>
      </c>
      <c r="J344" s="1" t="str">
        <f>VLOOKUP(Table1[[#This Row],[Name]],MountsByName[],9,FALSE)</f>
        <v>Gold</v>
      </c>
      <c r="K344" s="1">
        <f>VLOOKUP(Table1[[#This Row],[Name]],MountsByName[],10,FALSE)</f>
        <v>0</v>
      </c>
      <c r="L344" s="1">
        <f>VLOOKUP(Table1[[#This Row],[Name]],MountsByName[],11,FALSE)</f>
        <v>1</v>
      </c>
      <c r="M344" s="1">
        <f>VLOOKUP(Table1[[#This Row],[Name]],MountsByName[],12,FALSE)</f>
        <v>1</v>
      </c>
      <c r="N34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[8395] ={"Emerald Raptor", 8395, 8588, 0.6, 0.6, 0, "Raptor", "Gold", 1, 0},</v>
      </c>
    </row>
    <row r="345" spans="1:14" x14ac:dyDescent="0.35">
      <c r="A345" s="2">
        <v>10795</v>
      </c>
      <c r="B345" t="s">
        <v>169</v>
      </c>
      <c r="C345" s="1" t="str">
        <f>VLOOKUP(Table1[[#This Row],[Name]],MountsByName[],2,FALSE)</f>
        <v>Raptor</v>
      </c>
      <c r="D345" s="1">
        <f>VLOOKUP(Table1[[#This Row],[Name]],MountsByName[],3,FALSE)</f>
        <v>1</v>
      </c>
      <c r="E345" s="1">
        <f>VLOOKUP(Table1[[#This Row],[Name]],MountsByName[],4,FALSE)</f>
        <v>1</v>
      </c>
      <c r="F345" s="1">
        <f>VLOOKUP(Table1[[#This Row],[Name]],MountsByName[],5,FALSE)</f>
        <v>0</v>
      </c>
      <c r="G345" s="1">
        <f>VLOOKUP(Table1[[#This Row],[Name]],MountsByName[],6,FALSE)</f>
        <v>1</v>
      </c>
      <c r="H345" s="1">
        <f>VLOOKUP(Table1[[#This Row],[Name]],MountsByName[],7,FALSE)</f>
        <v>0</v>
      </c>
      <c r="I345" s="1">
        <f>VLOOKUP(Table1[[#This Row],[Name]],MountsByName[],8,FALSE)</f>
        <v>13317</v>
      </c>
      <c r="J345" s="1" t="str">
        <f>VLOOKUP(Table1[[#This Row],[Name]],MountsByName[],9,FALSE)</f>
        <v>Removed</v>
      </c>
      <c r="K345" s="1">
        <f>VLOOKUP(Table1[[#This Row],[Name]],MountsByName[],10,FALSE)</f>
        <v>0</v>
      </c>
      <c r="L345" s="1">
        <f>VLOOKUP(Table1[[#This Row],[Name]],MountsByName[],11,FALSE)</f>
        <v>1</v>
      </c>
      <c r="M345" s="1">
        <f>VLOOKUP(Table1[[#This Row],[Name]],MountsByName[],12,FALSE)</f>
        <v>1</v>
      </c>
      <c r="N34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[10795] ={"Ivory Raptor", 10795, 13317, 1, 1, 0, "Raptor", "Removed", 1, 0},</v>
      </c>
    </row>
    <row r="346" spans="1:14" x14ac:dyDescent="0.35">
      <c r="A346" s="2">
        <v>10796</v>
      </c>
      <c r="B346" t="s">
        <v>258</v>
      </c>
      <c r="C346" s="1" t="str">
        <f>VLOOKUP(Table1[[#This Row],[Name]],MountsByName[],2,FALSE)</f>
        <v>Raptor</v>
      </c>
      <c r="D346" s="1">
        <f>VLOOKUP(Table1[[#This Row],[Name]],MountsByName[],3,FALSE)</f>
        <v>0.6</v>
      </c>
      <c r="E346" s="1">
        <f>VLOOKUP(Table1[[#This Row],[Name]],MountsByName[],4,FALSE)</f>
        <v>0.6</v>
      </c>
      <c r="F346" s="1">
        <f>VLOOKUP(Table1[[#This Row],[Name]],MountsByName[],5,FALSE)</f>
        <v>0</v>
      </c>
      <c r="G346" s="1">
        <f>VLOOKUP(Table1[[#This Row],[Name]],MountsByName[],6,FALSE)</f>
        <v>1</v>
      </c>
      <c r="H346" s="1">
        <f>VLOOKUP(Table1[[#This Row],[Name]],MountsByName[],7,FALSE)</f>
        <v>0</v>
      </c>
      <c r="I346" s="1">
        <f>VLOOKUP(Table1[[#This Row],[Name]],MountsByName[],8,FALSE)</f>
        <v>8591</v>
      </c>
      <c r="J346" s="1" t="str">
        <f>VLOOKUP(Table1[[#This Row],[Name]],MountsByName[],9,FALSE)</f>
        <v>Gold</v>
      </c>
      <c r="K346" s="1">
        <f>VLOOKUP(Table1[[#This Row],[Name]],MountsByName[],10,FALSE)</f>
        <v>0</v>
      </c>
      <c r="L346" s="1">
        <f>VLOOKUP(Table1[[#This Row],[Name]],MountsByName[],11,FALSE)</f>
        <v>1</v>
      </c>
      <c r="M346" s="1">
        <f>VLOOKUP(Table1[[#This Row],[Name]],MountsByName[],12,FALSE)</f>
        <v>1</v>
      </c>
      <c r="N34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[10796] ={"Turquoise Raptor", 10796, 8591, 0.6, 0.6, 0, "Raptor", "Gold", 1, 0},</v>
      </c>
    </row>
    <row r="347" spans="1:14" x14ac:dyDescent="0.35">
      <c r="A347" s="2">
        <v>10799</v>
      </c>
      <c r="B347" t="s">
        <v>261</v>
      </c>
      <c r="C347" s="1" t="str">
        <f>VLOOKUP(Table1[[#This Row],[Name]],MountsByName[],2,FALSE)</f>
        <v>Raptor</v>
      </c>
      <c r="D347" s="1">
        <f>VLOOKUP(Table1[[#This Row],[Name]],MountsByName[],3,FALSE)</f>
        <v>0.6</v>
      </c>
      <c r="E347" s="1">
        <f>VLOOKUP(Table1[[#This Row],[Name]],MountsByName[],4,FALSE)</f>
        <v>0.6</v>
      </c>
      <c r="F347" s="1">
        <f>VLOOKUP(Table1[[#This Row],[Name]],MountsByName[],5,FALSE)</f>
        <v>0</v>
      </c>
      <c r="G347" s="1">
        <f>VLOOKUP(Table1[[#This Row],[Name]],MountsByName[],6,FALSE)</f>
        <v>1</v>
      </c>
      <c r="H347" s="1">
        <f>VLOOKUP(Table1[[#This Row],[Name]],MountsByName[],7,FALSE)</f>
        <v>0</v>
      </c>
      <c r="I347" s="1">
        <f>VLOOKUP(Table1[[#This Row],[Name]],MountsByName[],8,FALSE)</f>
        <v>8592</v>
      </c>
      <c r="J347" s="1" t="str">
        <f>VLOOKUP(Table1[[#This Row],[Name]],MountsByName[],9,FALSE)</f>
        <v>Gold</v>
      </c>
      <c r="K347" s="1">
        <f>VLOOKUP(Table1[[#This Row],[Name]],MountsByName[],10,FALSE)</f>
        <v>0</v>
      </c>
      <c r="L347" s="1">
        <f>VLOOKUP(Table1[[#This Row],[Name]],MountsByName[],11,FALSE)</f>
        <v>1</v>
      </c>
      <c r="M347" s="1">
        <f>VLOOKUP(Table1[[#This Row],[Name]],MountsByName[],12,FALSE)</f>
        <v>1</v>
      </c>
      <c r="N34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[10799] ={"Violet Raptor", 10799, 8592, 0.6, 0.6, 0, "Raptor", "Gold", 1, 0},</v>
      </c>
    </row>
    <row r="348" spans="1:14" x14ac:dyDescent="0.35">
      <c r="A348" s="2">
        <v>16084</v>
      </c>
      <c r="B348" t="s">
        <v>173</v>
      </c>
      <c r="C348" s="1" t="str">
        <f>VLOOKUP(Table1[[#This Row],[Name]],MountsByName[],2,FALSE)</f>
        <v>Raptor</v>
      </c>
      <c r="D348" s="1">
        <f>VLOOKUP(Table1[[#This Row],[Name]],MountsByName[],3,FALSE)</f>
        <v>1</v>
      </c>
      <c r="E348" s="1">
        <f>VLOOKUP(Table1[[#This Row],[Name]],MountsByName[],4,FALSE)</f>
        <v>1</v>
      </c>
      <c r="F348" s="1">
        <f>VLOOKUP(Table1[[#This Row],[Name]],MountsByName[],5,FALSE)</f>
        <v>0</v>
      </c>
      <c r="G348" s="1">
        <f>VLOOKUP(Table1[[#This Row],[Name]],MountsByName[],6,FALSE)</f>
        <v>1</v>
      </c>
      <c r="H348" s="1">
        <f>VLOOKUP(Table1[[#This Row],[Name]],MountsByName[],7,FALSE)</f>
        <v>0</v>
      </c>
      <c r="I348" s="1">
        <f>VLOOKUP(Table1[[#This Row],[Name]],MountsByName[],8,FALSE)</f>
        <v>8586</v>
      </c>
      <c r="J348" s="1" t="str">
        <f>VLOOKUP(Table1[[#This Row],[Name]],MountsByName[],9,FALSE)</f>
        <v>removed</v>
      </c>
      <c r="K348" s="1">
        <f>VLOOKUP(Table1[[#This Row],[Name]],MountsByName[],10,FALSE)</f>
        <v>0</v>
      </c>
      <c r="L348" s="1">
        <f>VLOOKUP(Table1[[#This Row],[Name]],MountsByName[],11,FALSE)</f>
        <v>1</v>
      </c>
      <c r="M348" s="1">
        <f>VLOOKUP(Table1[[#This Row],[Name]],MountsByName[],12,FALSE)</f>
        <v>1</v>
      </c>
      <c r="N34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[16084] ={"Mottled Red Raptor", 16084, 8586, 1, 1, 0, "Raptor", "removed", 1, 0},</v>
      </c>
    </row>
    <row r="349" spans="1:14" x14ac:dyDescent="0.35">
      <c r="A349" s="2">
        <v>17450</v>
      </c>
      <c r="B349" t="s">
        <v>169</v>
      </c>
      <c r="C349" s="1" t="str">
        <f>VLOOKUP(Table1[[#This Row],[Name]],MountsByName[],2,FALSE)</f>
        <v>Raptor</v>
      </c>
      <c r="D349" s="1">
        <f>VLOOKUP(Table1[[#This Row],[Name]],MountsByName[],3,FALSE)</f>
        <v>1</v>
      </c>
      <c r="E349" s="1">
        <f>VLOOKUP(Table1[[#This Row],[Name]],MountsByName[],4,FALSE)</f>
        <v>1</v>
      </c>
      <c r="F349" s="1">
        <f>VLOOKUP(Table1[[#This Row],[Name]],MountsByName[],5,FALSE)</f>
        <v>0</v>
      </c>
      <c r="G349" s="1">
        <f>VLOOKUP(Table1[[#This Row],[Name]],MountsByName[],6,FALSE)</f>
        <v>1</v>
      </c>
      <c r="H349" s="1">
        <f>VLOOKUP(Table1[[#This Row],[Name]],MountsByName[],7,FALSE)</f>
        <v>0</v>
      </c>
      <c r="I349" s="1">
        <f>VLOOKUP(Table1[[#This Row],[Name]],MountsByName[],8,FALSE)</f>
        <v>13317</v>
      </c>
      <c r="J349" s="1" t="str">
        <f>VLOOKUP(Table1[[#This Row],[Name]],MountsByName[],9,FALSE)</f>
        <v>Removed</v>
      </c>
      <c r="K349" s="1">
        <f>VLOOKUP(Table1[[#This Row],[Name]],MountsByName[],10,FALSE)</f>
        <v>0</v>
      </c>
      <c r="L349" s="1">
        <f>VLOOKUP(Table1[[#This Row],[Name]],MountsByName[],11,FALSE)</f>
        <v>1</v>
      </c>
      <c r="M349" s="1">
        <f>VLOOKUP(Table1[[#This Row],[Name]],MountsByName[],12,FALSE)</f>
        <v>1</v>
      </c>
      <c r="N34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[17450] ={"Ivory Raptor", 17450, 13317, 1, 1, 0, "Raptor", "Removed", 1, 0},</v>
      </c>
    </row>
    <row r="350" spans="1:14" x14ac:dyDescent="0.35">
      <c r="A350" s="2">
        <v>22721</v>
      </c>
      <c r="B350" t="s">
        <v>101</v>
      </c>
      <c r="C350" s="1" t="str">
        <f>VLOOKUP(Table1[[#This Row],[Name]],MountsByName[],2,FALSE)</f>
        <v>Raptor</v>
      </c>
      <c r="D350" s="1">
        <f>VLOOKUP(Table1[[#This Row],[Name]],MountsByName[],3,FALSE)</f>
        <v>1</v>
      </c>
      <c r="E350" s="1">
        <f>VLOOKUP(Table1[[#This Row],[Name]],MountsByName[],4,FALSE)</f>
        <v>1</v>
      </c>
      <c r="F350" s="1">
        <f>VLOOKUP(Table1[[#This Row],[Name]],MountsByName[],5,FALSE)</f>
        <v>0</v>
      </c>
      <c r="G350" s="1">
        <f>VLOOKUP(Table1[[#This Row],[Name]],MountsByName[],6,FALSE)</f>
        <v>1</v>
      </c>
      <c r="H350" s="1">
        <f>VLOOKUP(Table1[[#This Row],[Name]],MountsByName[],7,FALSE)</f>
        <v>0</v>
      </c>
      <c r="I350" s="1">
        <f>VLOOKUP(Table1[[#This Row],[Name]],MountsByName[],8,FALSE)</f>
        <v>29472</v>
      </c>
      <c r="J350" s="1" t="str">
        <f>VLOOKUP(Table1[[#This Row],[Name]],MountsByName[],9,FALSE)</f>
        <v>Honor</v>
      </c>
      <c r="K350" s="1">
        <f>VLOOKUP(Table1[[#This Row],[Name]],MountsByName[],10,FALSE)</f>
        <v>0</v>
      </c>
      <c r="L350" s="1">
        <f>VLOOKUP(Table1[[#This Row],[Name]],MountsByName[],11,FALSE)</f>
        <v>1</v>
      </c>
      <c r="M350" s="1">
        <f>VLOOKUP(Table1[[#This Row],[Name]],MountsByName[],12,FALSE)</f>
        <v>1</v>
      </c>
      <c r="N35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[22721] ={"Black War Raptor", 22721, 29472, 1, 1, 0, "Raptor", "Honor", 1, 0},</v>
      </c>
    </row>
    <row r="351" spans="1:14" x14ac:dyDescent="0.35">
      <c r="A351" s="2">
        <v>23241</v>
      </c>
      <c r="B351" t="s">
        <v>213</v>
      </c>
      <c r="C351" s="1" t="str">
        <f>VLOOKUP(Table1[[#This Row],[Name]],MountsByName[],2,FALSE)</f>
        <v>Raptor</v>
      </c>
      <c r="D351" s="1">
        <f>VLOOKUP(Table1[[#This Row],[Name]],MountsByName[],3,FALSE)</f>
        <v>1</v>
      </c>
      <c r="E351" s="1">
        <f>VLOOKUP(Table1[[#This Row],[Name]],MountsByName[],4,FALSE)</f>
        <v>1</v>
      </c>
      <c r="F351" s="1">
        <f>VLOOKUP(Table1[[#This Row],[Name]],MountsByName[],5,FALSE)</f>
        <v>0</v>
      </c>
      <c r="G351" s="1">
        <f>VLOOKUP(Table1[[#This Row],[Name]],MountsByName[],6,FALSE)</f>
        <v>1</v>
      </c>
      <c r="H351" s="1">
        <f>VLOOKUP(Table1[[#This Row],[Name]],MountsByName[],7,FALSE)</f>
        <v>0</v>
      </c>
      <c r="I351" s="1">
        <f>VLOOKUP(Table1[[#This Row],[Name]],MountsByName[],8,FALSE)</f>
        <v>18788</v>
      </c>
      <c r="J351" s="1" t="str">
        <f>VLOOKUP(Table1[[#This Row],[Name]],MountsByName[],9,FALSE)</f>
        <v>Gold</v>
      </c>
      <c r="K351" s="1">
        <f>VLOOKUP(Table1[[#This Row],[Name]],MountsByName[],10,FALSE)</f>
        <v>0</v>
      </c>
      <c r="L351" s="1">
        <f>VLOOKUP(Table1[[#This Row],[Name]],MountsByName[],11,FALSE)</f>
        <v>1</v>
      </c>
      <c r="M351" s="1">
        <f>VLOOKUP(Table1[[#This Row],[Name]],MountsByName[],12,FALSE)</f>
        <v>1</v>
      </c>
      <c r="N351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[23241] ={"Swift Blue Raptor", 23241, 18788, 1, 1, 0, "Raptor", "Gold", 1, 0},</v>
      </c>
    </row>
    <row r="352" spans="1:14" x14ac:dyDescent="0.35">
      <c r="A352" s="2">
        <v>23242</v>
      </c>
      <c r="B352" t="s">
        <v>229</v>
      </c>
      <c r="C352" s="1" t="str">
        <f>VLOOKUP(Table1[[#This Row],[Name]],MountsByName[],2,FALSE)</f>
        <v>Raptor</v>
      </c>
      <c r="D352" s="1">
        <f>VLOOKUP(Table1[[#This Row],[Name]],MountsByName[],3,FALSE)</f>
        <v>1</v>
      </c>
      <c r="E352" s="1">
        <f>VLOOKUP(Table1[[#This Row],[Name]],MountsByName[],4,FALSE)</f>
        <v>1</v>
      </c>
      <c r="F352" s="1">
        <f>VLOOKUP(Table1[[#This Row],[Name]],MountsByName[],5,FALSE)</f>
        <v>0</v>
      </c>
      <c r="G352" s="1">
        <f>VLOOKUP(Table1[[#This Row],[Name]],MountsByName[],6,FALSE)</f>
        <v>1</v>
      </c>
      <c r="H352" s="1">
        <f>VLOOKUP(Table1[[#This Row],[Name]],MountsByName[],7,FALSE)</f>
        <v>0</v>
      </c>
      <c r="I352" s="1">
        <f>VLOOKUP(Table1[[#This Row],[Name]],MountsByName[],8,FALSE)</f>
        <v>18789</v>
      </c>
      <c r="J352" s="1" t="str">
        <f>VLOOKUP(Table1[[#This Row],[Name]],MountsByName[],9,FALSE)</f>
        <v>Gold</v>
      </c>
      <c r="K352" s="1">
        <f>VLOOKUP(Table1[[#This Row],[Name]],MountsByName[],10,FALSE)</f>
        <v>0</v>
      </c>
      <c r="L352" s="1">
        <f>VLOOKUP(Table1[[#This Row],[Name]],MountsByName[],11,FALSE)</f>
        <v>1</v>
      </c>
      <c r="M352" s="1">
        <f>VLOOKUP(Table1[[#This Row],[Name]],MountsByName[],12,FALSE)</f>
        <v>1</v>
      </c>
      <c r="N35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[23242] ={"Swift Olive Raptor", 23242, 18789, 1, 1, 0, "Raptor", "Gold", 1, 0},</v>
      </c>
    </row>
    <row r="353" spans="1:14" x14ac:dyDescent="0.35">
      <c r="A353" s="2">
        <v>23243</v>
      </c>
      <c r="B353" t="s">
        <v>230</v>
      </c>
      <c r="C353" s="1" t="str">
        <f>VLOOKUP(Table1[[#This Row],[Name]],MountsByName[],2,FALSE)</f>
        <v>Raptor</v>
      </c>
      <c r="D353" s="1">
        <f>VLOOKUP(Table1[[#This Row],[Name]],MountsByName[],3,FALSE)</f>
        <v>1</v>
      </c>
      <c r="E353" s="1">
        <f>VLOOKUP(Table1[[#This Row],[Name]],MountsByName[],4,FALSE)</f>
        <v>1</v>
      </c>
      <c r="F353" s="1">
        <f>VLOOKUP(Table1[[#This Row],[Name]],MountsByName[],5,FALSE)</f>
        <v>0</v>
      </c>
      <c r="G353" s="1">
        <f>VLOOKUP(Table1[[#This Row],[Name]],MountsByName[],6,FALSE)</f>
        <v>1</v>
      </c>
      <c r="H353" s="1">
        <f>VLOOKUP(Table1[[#This Row],[Name]],MountsByName[],7,FALSE)</f>
        <v>0</v>
      </c>
      <c r="I353" s="1">
        <f>VLOOKUP(Table1[[#This Row],[Name]],MountsByName[],8,FALSE)</f>
        <v>18790</v>
      </c>
      <c r="J353" s="1" t="str">
        <f>VLOOKUP(Table1[[#This Row],[Name]],MountsByName[],9,FALSE)</f>
        <v>Gold</v>
      </c>
      <c r="K353" s="1">
        <f>VLOOKUP(Table1[[#This Row],[Name]],MountsByName[],10,FALSE)</f>
        <v>0</v>
      </c>
      <c r="L353" s="1">
        <f>VLOOKUP(Table1[[#This Row],[Name]],MountsByName[],11,FALSE)</f>
        <v>1</v>
      </c>
      <c r="M353" s="1">
        <f>VLOOKUP(Table1[[#This Row],[Name]],MountsByName[],12,FALSE)</f>
        <v>1</v>
      </c>
      <c r="N35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[23243] ={"Swift Orange Raptor", 23243, 18790, 1, 1, 0, "Raptor", "Gold", 1, 0},</v>
      </c>
    </row>
    <row r="354" spans="1:14" x14ac:dyDescent="0.35">
      <c r="A354" s="2">
        <v>24242</v>
      </c>
      <c r="B354" t="s">
        <v>235</v>
      </c>
      <c r="C354" s="1" t="str">
        <f>VLOOKUP(Table1[[#This Row],[Name]],MountsByName[],2,FALSE)</f>
        <v>Raptor</v>
      </c>
      <c r="D354" s="1">
        <f>VLOOKUP(Table1[[#This Row],[Name]],MountsByName[],3,FALSE)</f>
        <v>1</v>
      </c>
      <c r="E354" s="1">
        <f>VLOOKUP(Table1[[#This Row],[Name]],MountsByName[],4,FALSE)</f>
        <v>1</v>
      </c>
      <c r="F354" s="1">
        <f>VLOOKUP(Table1[[#This Row],[Name]],MountsByName[],5,FALSE)</f>
        <v>0</v>
      </c>
      <c r="G354" s="1">
        <f>VLOOKUP(Table1[[#This Row],[Name]],MountsByName[],6,FALSE)</f>
        <v>1</v>
      </c>
      <c r="H354" s="1">
        <f>VLOOKUP(Table1[[#This Row],[Name]],MountsByName[],7,FALSE)</f>
        <v>0</v>
      </c>
      <c r="I354" s="1">
        <f>VLOOKUP(Table1[[#This Row],[Name]],MountsByName[],8,FALSE)</f>
        <v>19872</v>
      </c>
      <c r="J354" s="1" t="str">
        <f>VLOOKUP(Table1[[#This Row],[Name]],MountsByName[],9,FALSE)</f>
        <v>Drop ZG</v>
      </c>
      <c r="K354" s="1">
        <f>VLOOKUP(Table1[[#This Row],[Name]],MountsByName[],10,FALSE)</f>
        <v>1</v>
      </c>
      <c r="L354" s="1">
        <f>VLOOKUP(Table1[[#This Row],[Name]],MountsByName[],11,FALSE)</f>
        <v>1</v>
      </c>
      <c r="M354" s="1">
        <f>VLOOKUP(Table1[[#This Row],[Name]],MountsByName[],12,FALSE)</f>
        <v>1</v>
      </c>
      <c r="N35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[24242] ={"Swift Razzashi Raptor", 24242, 19872, 1, 1, 0, "Raptor", "Drop ZG", 1, 0},</v>
      </c>
    </row>
    <row r="355" spans="1:14" x14ac:dyDescent="0.35">
      <c r="A355" s="2">
        <v>63635</v>
      </c>
      <c r="B355" t="s">
        <v>131</v>
      </c>
      <c r="C355" s="1" t="str">
        <f>VLOOKUP(Table1[[#This Row],[Name]],MountsByName[],2,FALSE)</f>
        <v>Raptor</v>
      </c>
      <c r="D355" s="1">
        <f>VLOOKUP(Table1[[#This Row],[Name]],MountsByName[],3,FALSE)</f>
        <v>1</v>
      </c>
      <c r="E355" s="1">
        <f>VLOOKUP(Table1[[#This Row],[Name]],MountsByName[],4,FALSE)</f>
        <v>1</v>
      </c>
      <c r="F355" s="1">
        <f>VLOOKUP(Table1[[#This Row],[Name]],MountsByName[],5,FALSE)</f>
        <v>0</v>
      </c>
      <c r="G355" s="1">
        <f>VLOOKUP(Table1[[#This Row],[Name]],MountsByName[],6,FALSE)</f>
        <v>1</v>
      </c>
      <c r="H355" s="1">
        <f>VLOOKUP(Table1[[#This Row],[Name]],MountsByName[],7,FALSE)</f>
        <v>0</v>
      </c>
      <c r="I355" s="1">
        <f>VLOOKUP(Table1[[#This Row],[Name]],MountsByName[],8,FALSE)</f>
        <v>45593</v>
      </c>
      <c r="J355" s="1" t="str">
        <f>VLOOKUP(Table1[[#This Row],[Name]],MountsByName[],9,FALSE)</f>
        <v>Removed</v>
      </c>
      <c r="K355" s="1">
        <f>VLOOKUP(Table1[[#This Row],[Name]],MountsByName[],10,FALSE)</f>
        <v>0</v>
      </c>
      <c r="L355" s="1">
        <f>VLOOKUP(Table1[[#This Row],[Name]],MountsByName[],11,FALSE)</f>
        <v>1</v>
      </c>
      <c r="M355" s="1">
        <f>VLOOKUP(Table1[[#This Row],[Name]],MountsByName[],12,FALSE)</f>
        <v>1</v>
      </c>
      <c r="N35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[63635] ={"Darkspear Raptor", 63635, 45593, 1, 1, 0, "Raptor", "Removed", 1, 0},</v>
      </c>
    </row>
    <row r="356" spans="1:14" x14ac:dyDescent="0.35">
      <c r="A356" s="2">
        <v>64659</v>
      </c>
      <c r="B356" t="s">
        <v>260</v>
      </c>
      <c r="C356" s="1" t="str">
        <f>VLOOKUP(Table1[[#This Row],[Name]],MountsByName[],2,FALSE)</f>
        <v>Raptor</v>
      </c>
      <c r="D356" s="1">
        <f>VLOOKUP(Table1[[#This Row],[Name]],MountsByName[],3,FALSE)</f>
        <v>1</v>
      </c>
      <c r="E356" s="1">
        <f>VLOOKUP(Table1[[#This Row],[Name]],MountsByName[],4,FALSE)</f>
        <v>1</v>
      </c>
      <c r="F356" s="1">
        <f>VLOOKUP(Table1[[#This Row],[Name]],MountsByName[],5,FALSE)</f>
        <v>0</v>
      </c>
      <c r="G356" s="1">
        <f>VLOOKUP(Table1[[#This Row],[Name]],MountsByName[],6,FALSE)</f>
        <v>1</v>
      </c>
      <c r="H356" s="1">
        <f>VLOOKUP(Table1[[#This Row],[Name]],MountsByName[],7,FALSE)</f>
        <v>0</v>
      </c>
      <c r="I356" s="1">
        <f>VLOOKUP(Table1[[#This Row],[Name]],MountsByName[],8,FALSE)</f>
        <v>46102</v>
      </c>
      <c r="J356" s="1" t="str">
        <f>VLOOKUP(Table1[[#This Row],[Name]],MountsByName[],9,FALSE)</f>
        <v>Dailies Ungoro Crator</v>
      </c>
      <c r="K356" s="1">
        <f>VLOOKUP(Table1[[#This Row],[Name]],MountsByName[],10,FALSE)</f>
        <v>0</v>
      </c>
      <c r="L356" s="1">
        <f>VLOOKUP(Table1[[#This Row],[Name]],MountsByName[],11,FALSE)</f>
        <v>1</v>
      </c>
      <c r="M356" s="1">
        <f>VLOOKUP(Table1[[#This Row],[Name]],MountsByName[],12,FALSE)</f>
        <v>1</v>
      </c>
      <c r="N35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[64659] ={"Venomhide Ravasaur", 64659, 46102, 1, 1, 0, "Raptor", "Dailies Ungoro Crator", 1, 0},</v>
      </c>
    </row>
    <row r="357" spans="1:14" x14ac:dyDescent="0.35">
      <c r="A357" s="2">
        <v>65644</v>
      </c>
      <c r="B357" t="s">
        <v>234</v>
      </c>
      <c r="C357" s="1" t="str">
        <f>VLOOKUP(Table1[[#This Row],[Name]],MountsByName[],2,FALSE)</f>
        <v>Raptor</v>
      </c>
      <c r="D357" s="1">
        <f>VLOOKUP(Table1[[#This Row],[Name]],MountsByName[],3,FALSE)</f>
        <v>1</v>
      </c>
      <c r="E357" s="1">
        <f>VLOOKUP(Table1[[#This Row],[Name]],MountsByName[],4,FALSE)</f>
        <v>1</v>
      </c>
      <c r="F357" s="1">
        <f>VLOOKUP(Table1[[#This Row],[Name]],MountsByName[],5,FALSE)</f>
        <v>0</v>
      </c>
      <c r="G357" s="1">
        <f>VLOOKUP(Table1[[#This Row],[Name]],MountsByName[],6,FALSE)</f>
        <v>1</v>
      </c>
      <c r="H357" s="1">
        <f>VLOOKUP(Table1[[#This Row],[Name]],MountsByName[],7,FALSE)</f>
        <v>0</v>
      </c>
      <c r="I357" s="1">
        <f>VLOOKUP(Table1[[#This Row],[Name]],MountsByName[],8,FALSE)</f>
        <v>46743</v>
      </c>
      <c r="J357" s="1" t="str">
        <f>VLOOKUP(Table1[[#This Row],[Name]],MountsByName[],9,FALSE)</f>
        <v>Champion's Seals</v>
      </c>
      <c r="K357" s="1">
        <f>VLOOKUP(Table1[[#This Row],[Name]],MountsByName[],10,FALSE)</f>
        <v>0</v>
      </c>
      <c r="L357" s="1">
        <f>VLOOKUP(Table1[[#This Row],[Name]],MountsByName[],11,FALSE)</f>
        <v>1</v>
      </c>
      <c r="M357" s="1">
        <f>VLOOKUP(Table1[[#This Row],[Name]],MountsByName[],12,FALSE)</f>
        <v>1</v>
      </c>
      <c r="N35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[65644] ={"Swift Purple Raptor", 65644, 46743, 1, 1, 0, "Raptor", "Champion's Seals", 1, 0},</v>
      </c>
    </row>
    <row r="358" spans="1:14" x14ac:dyDescent="0.35">
      <c r="A358" s="2">
        <v>96491</v>
      </c>
      <c r="B358" t="s">
        <v>509</v>
      </c>
      <c r="C358" s="1" t="str">
        <f>VLOOKUP(Table1[[#This Row],[Name]],MountsByName[],2,FALSE)</f>
        <v>Raptor</v>
      </c>
      <c r="D358" s="1">
        <f>VLOOKUP(Table1[[#This Row],[Name]],MountsByName[],3,FALSE)</f>
        <v>1</v>
      </c>
      <c r="E358" s="1">
        <f>VLOOKUP(Table1[[#This Row],[Name]],MountsByName[],4,FALSE)</f>
        <v>1</v>
      </c>
      <c r="F358" s="1">
        <f>VLOOKUP(Table1[[#This Row],[Name]],MountsByName[],5,FALSE)</f>
        <v>0</v>
      </c>
      <c r="G358" s="1">
        <f>VLOOKUP(Table1[[#This Row],[Name]],MountsByName[],6,FALSE)</f>
        <v>1</v>
      </c>
      <c r="H358" s="1">
        <f>VLOOKUP(Table1[[#This Row],[Name]],MountsByName[],7,FALSE)</f>
        <v>0</v>
      </c>
      <c r="I358" s="1">
        <f>VLOOKUP(Table1[[#This Row],[Name]],MountsByName[],8,FALSE)</f>
        <v>0</v>
      </c>
      <c r="J358" s="1">
        <f>VLOOKUP(Table1[[#This Row],[Name]],MountsByName[],9,FALSE)</f>
        <v>0</v>
      </c>
      <c r="K358" s="1">
        <f>VLOOKUP(Table1[[#This Row],[Name]],MountsByName[],10,FALSE)</f>
        <v>0</v>
      </c>
      <c r="L358" s="1">
        <f>VLOOKUP(Table1[[#This Row],[Name]],MountsByName[],11,FALSE)</f>
        <v>0</v>
      </c>
      <c r="M358" s="1">
        <f>VLOOKUP(Table1[[#This Row],[Name]],MountsByName[],12,FALSE)</f>
        <v>1</v>
      </c>
      <c r="N35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[96491] ={"Armored Razzashi Raptor", 96491, 0, 1, 1, 0, "Raptor", "0", 1, 0},</v>
      </c>
    </row>
    <row r="359" spans="1:14" x14ac:dyDescent="0.35">
      <c r="A359" s="2">
        <v>97581</v>
      </c>
      <c r="B359" t="s">
        <v>470</v>
      </c>
      <c r="C359" s="1" t="str">
        <f>VLOOKUP(Table1[[#This Row],[Name]],MountsByName[],2,FALSE)</f>
        <v>Raptor</v>
      </c>
      <c r="D359" s="1">
        <f>VLOOKUP(Table1[[#This Row],[Name]],MountsByName[],3,FALSE)</f>
        <v>1</v>
      </c>
      <c r="E359" s="1">
        <f>VLOOKUP(Table1[[#This Row],[Name]],MountsByName[],4,FALSE)</f>
        <v>1</v>
      </c>
      <c r="F359" s="1">
        <f>VLOOKUP(Table1[[#This Row],[Name]],MountsByName[],5,FALSE)</f>
        <v>0</v>
      </c>
      <c r="G359" s="1">
        <f>VLOOKUP(Table1[[#This Row],[Name]],MountsByName[],6,FALSE)</f>
        <v>1</v>
      </c>
      <c r="H359" s="1">
        <f>VLOOKUP(Table1[[#This Row],[Name]],MountsByName[],7,FALSE)</f>
        <v>0</v>
      </c>
      <c r="I359" s="1">
        <f>VLOOKUP(Table1[[#This Row],[Name]],MountsByName[],8,FALSE)</f>
        <v>0</v>
      </c>
      <c r="J359" s="1">
        <f>VLOOKUP(Table1[[#This Row],[Name]],MountsByName[],9,FALSE)</f>
        <v>0</v>
      </c>
      <c r="K359" s="1">
        <f>VLOOKUP(Table1[[#This Row],[Name]],MountsByName[],10,FALSE)</f>
        <v>0</v>
      </c>
      <c r="L359" s="1">
        <f>VLOOKUP(Table1[[#This Row],[Name]],MountsByName[],11,FALSE)</f>
        <v>0</v>
      </c>
      <c r="M359" s="1">
        <f>VLOOKUP(Table1[[#This Row],[Name]],MountsByName[],12,FALSE)</f>
        <v>1</v>
      </c>
      <c r="N35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[97581] ={"Savage Raptor", 97581, 0, 1, 1, 0, "Raptor", "0", 1, 0},</v>
      </c>
    </row>
    <row r="360" spans="1:14" x14ac:dyDescent="0.35">
      <c r="A360" s="2">
        <v>138640</v>
      </c>
      <c r="B360" t="s">
        <v>1108</v>
      </c>
      <c r="C360" s="1" t="str">
        <f>VLOOKUP(Table1[[#This Row],[Name]],MountsByName[],2,FALSE)</f>
        <v>Raptor</v>
      </c>
      <c r="D360" s="1">
        <f>VLOOKUP(Table1[[#This Row],[Name]],MountsByName[],3,FALSE)</f>
        <v>1</v>
      </c>
      <c r="E360" s="1">
        <f>VLOOKUP(Table1[[#This Row],[Name]],MountsByName[],4,FALSE)</f>
        <v>1</v>
      </c>
      <c r="F360" s="1">
        <f>VLOOKUP(Table1[[#This Row],[Name]],MountsByName[],5,FALSE)</f>
        <v>0</v>
      </c>
      <c r="G360" s="1">
        <f>VLOOKUP(Table1[[#This Row],[Name]],MountsByName[],6,FALSE)</f>
        <v>1</v>
      </c>
      <c r="H360" s="1">
        <f>VLOOKUP(Table1[[#This Row],[Name]],MountsByName[],7,FALSE)</f>
        <v>0</v>
      </c>
      <c r="I360" s="1">
        <f>VLOOKUP(Table1[[#This Row],[Name]],MountsByName[],8,FALSE)</f>
        <v>0</v>
      </c>
      <c r="J360" s="1">
        <f>VLOOKUP(Table1[[#This Row],[Name]],MountsByName[],9,FALSE)</f>
        <v>0</v>
      </c>
      <c r="K360" s="1">
        <f>VLOOKUP(Table1[[#This Row],[Name]],MountsByName[],10,FALSE)</f>
        <v>0</v>
      </c>
      <c r="L360" s="1">
        <f>VLOOKUP(Table1[[#This Row],[Name]],MountsByName[],11,FALSE)</f>
        <v>0</v>
      </c>
      <c r="M360" s="1">
        <f>VLOOKUP(Table1[[#This Row],[Name]],MountsByName[],12,FALSE)</f>
        <v>1</v>
      </c>
      <c r="N36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[138640] ={"Bone-White Primal Raptor", 138640, 0, 1, 1, 0, "Raptor", "0", 1, 0},</v>
      </c>
    </row>
    <row r="361" spans="1:14" x14ac:dyDescent="0.35">
      <c r="A361" s="2">
        <v>138641</v>
      </c>
      <c r="B361" t="s">
        <v>1123</v>
      </c>
      <c r="C361" s="1" t="str">
        <f>VLOOKUP(Table1[[#This Row],[Name]],MountsByName[],2,FALSE)</f>
        <v>Raptor</v>
      </c>
      <c r="D361" s="1">
        <f>VLOOKUP(Table1[[#This Row],[Name]],MountsByName[],3,FALSE)</f>
        <v>1</v>
      </c>
      <c r="E361" s="1">
        <f>VLOOKUP(Table1[[#This Row],[Name]],MountsByName[],4,FALSE)</f>
        <v>1</v>
      </c>
      <c r="F361" s="1">
        <f>VLOOKUP(Table1[[#This Row],[Name]],MountsByName[],5,FALSE)</f>
        <v>0</v>
      </c>
      <c r="G361" s="1">
        <f>VLOOKUP(Table1[[#This Row],[Name]],MountsByName[],6,FALSE)</f>
        <v>1</v>
      </c>
      <c r="H361" s="1">
        <f>VLOOKUP(Table1[[#This Row],[Name]],MountsByName[],7,FALSE)</f>
        <v>0</v>
      </c>
      <c r="I361" s="1">
        <f>VLOOKUP(Table1[[#This Row],[Name]],MountsByName[],8,FALSE)</f>
        <v>0</v>
      </c>
      <c r="J361" s="1">
        <f>VLOOKUP(Table1[[#This Row],[Name]],MountsByName[],9,FALSE)</f>
        <v>0</v>
      </c>
      <c r="K361" s="1">
        <f>VLOOKUP(Table1[[#This Row],[Name]],MountsByName[],10,FALSE)</f>
        <v>0</v>
      </c>
      <c r="L361" s="1">
        <f>VLOOKUP(Table1[[#This Row],[Name]],MountsByName[],11,FALSE)</f>
        <v>0</v>
      </c>
      <c r="M361" s="1">
        <f>VLOOKUP(Table1[[#This Row],[Name]],MountsByName[],12,FALSE)</f>
        <v>1</v>
      </c>
      <c r="N361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[138641] ={"Red Primal Raptor", 138641, 0, 1, 1, 0, "Raptor", "0", 1, 0},</v>
      </c>
    </row>
    <row r="362" spans="1:14" x14ac:dyDescent="0.35">
      <c r="A362" s="2">
        <v>138642</v>
      </c>
      <c r="B362" t="s">
        <v>1113</v>
      </c>
      <c r="C362" s="1" t="str">
        <f>VLOOKUP(Table1[[#This Row],[Name]],MountsByName[],2,FALSE)</f>
        <v>Raptor</v>
      </c>
      <c r="D362" s="1">
        <f>VLOOKUP(Table1[[#This Row],[Name]],MountsByName[],3,FALSE)</f>
        <v>1</v>
      </c>
      <c r="E362" s="1">
        <f>VLOOKUP(Table1[[#This Row],[Name]],MountsByName[],4,FALSE)</f>
        <v>1</v>
      </c>
      <c r="F362" s="1">
        <f>VLOOKUP(Table1[[#This Row],[Name]],MountsByName[],5,FALSE)</f>
        <v>0</v>
      </c>
      <c r="G362" s="1">
        <f>VLOOKUP(Table1[[#This Row],[Name]],MountsByName[],6,FALSE)</f>
        <v>1</v>
      </c>
      <c r="H362" s="1">
        <f>VLOOKUP(Table1[[#This Row],[Name]],MountsByName[],7,FALSE)</f>
        <v>0</v>
      </c>
      <c r="I362" s="1">
        <f>VLOOKUP(Table1[[#This Row],[Name]],MountsByName[],8,FALSE)</f>
        <v>0</v>
      </c>
      <c r="J362" s="1">
        <f>VLOOKUP(Table1[[#This Row],[Name]],MountsByName[],9,FALSE)</f>
        <v>0</v>
      </c>
      <c r="K362" s="1">
        <f>VLOOKUP(Table1[[#This Row],[Name]],MountsByName[],10,FALSE)</f>
        <v>0</v>
      </c>
      <c r="L362" s="1">
        <f>VLOOKUP(Table1[[#This Row],[Name]],MountsByName[],11,FALSE)</f>
        <v>0</v>
      </c>
      <c r="M362" s="1">
        <f>VLOOKUP(Table1[[#This Row],[Name]],MountsByName[],12,FALSE)</f>
        <v>1</v>
      </c>
      <c r="N36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[138642] ={"Black Primal Raptor", 138642, 0, 1, 1, 0, "Raptor", "0", 1, 0},</v>
      </c>
    </row>
    <row r="363" spans="1:14" x14ac:dyDescent="0.35">
      <c r="A363" s="2">
        <v>138643</v>
      </c>
      <c r="B363" t="s">
        <v>1095</v>
      </c>
      <c r="C363" s="1" t="str">
        <f>VLOOKUP(Table1[[#This Row],[Name]],MountsByName[],2,FALSE)</f>
        <v>Raptor</v>
      </c>
      <c r="D363" s="1">
        <f>VLOOKUP(Table1[[#This Row],[Name]],MountsByName[],3,FALSE)</f>
        <v>1</v>
      </c>
      <c r="E363" s="1">
        <f>VLOOKUP(Table1[[#This Row],[Name]],MountsByName[],4,FALSE)</f>
        <v>1</v>
      </c>
      <c r="F363" s="1">
        <f>VLOOKUP(Table1[[#This Row],[Name]],MountsByName[],5,FALSE)</f>
        <v>0</v>
      </c>
      <c r="G363" s="1">
        <f>VLOOKUP(Table1[[#This Row],[Name]],MountsByName[],6,FALSE)</f>
        <v>1</v>
      </c>
      <c r="H363" s="1">
        <f>VLOOKUP(Table1[[#This Row],[Name]],MountsByName[],7,FALSE)</f>
        <v>0</v>
      </c>
      <c r="I363" s="1">
        <f>VLOOKUP(Table1[[#This Row],[Name]],MountsByName[],8,FALSE)</f>
        <v>0</v>
      </c>
      <c r="J363" s="1">
        <f>VLOOKUP(Table1[[#This Row],[Name]],MountsByName[],9,FALSE)</f>
        <v>0</v>
      </c>
      <c r="K363" s="1">
        <f>VLOOKUP(Table1[[#This Row],[Name]],MountsByName[],10,FALSE)</f>
        <v>0</v>
      </c>
      <c r="L363" s="1">
        <f>VLOOKUP(Table1[[#This Row],[Name]],MountsByName[],11,FALSE)</f>
        <v>0</v>
      </c>
      <c r="M363" s="1">
        <f>VLOOKUP(Table1[[#This Row],[Name]],MountsByName[],12,FALSE)</f>
        <v>1</v>
      </c>
      <c r="N36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[138643] ={"Green Primal Raptor", 138643, 0, 1, 1, 0, "Raptor", "0", 1, 0},</v>
      </c>
    </row>
    <row r="364" spans="1:14" x14ac:dyDescent="0.35">
      <c r="A364" s="2">
        <v>41252</v>
      </c>
      <c r="B364" t="s">
        <v>187</v>
      </c>
      <c r="C364" s="1" t="str">
        <f>VLOOKUP(Table1[[#This Row],[Name]],MountsByName[],2,FALSE)</f>
        <v>Raven</v>
      </c>
      <c r="D364" s="1">
        <f>VLOOKUP(Table1[[#This Row],[Name]],MountsByName[],3,FALSE)</f>
        <v>1</v>
      </c>
      <c r="E364" s="1">
        <f>VLOOKUP(Table1[[#This Row],[Name]],MountsByName[],4,FALSE)</f>
        <v>1</v>
      </c>
      <c r="F364" s="1">
        <f>VLOOKUP(Table1[[#This Row],[Name]],MountsByName[],5,FALSE)</f>
        <v>0</v>
      </c>
      <c r="G364" s="1">
        <f>VLOOKUP(Table1[[#This Row],[Name]],MountsByName[],6,FALSE)</f>
        <v>1</v>
      </c>
      <c r="H364" s="1">
        <f>VLOOKUP(Table1[[#This Row],[Name]],MountsByName[],7,FALSE)</f>
        <v>0</v>
      </c>
      <c r="I364" s="1">
        <f>VLOOKUP(Table1[[#This Row],[Name]],MountsByName[],8,FALSE)</f>
        <v>32768</v>
      </c>
      <c r="J364" s="1" t="str">
        <f>VLOOKUP(Table1[[#This Row],[Name]],MountsByName[],9,FALSE)</f>
        <v>Drop Sethekk Halls</v>
      </c>
      <c r="K364" s="1">
        <f>VLOOKUP(Table1[[#This Row],[Name]],MountsByName[],10,FALSE)</f>
        <v>1</v>
      </c>
      <c r="L364" s="1">
        <f>VLOOKUP(Table1[[#This Row],[Name]],MountsByName[],11,FALSE)</f>
        <v>1</v>
      </c>
      <c r="M364" s="1">
        <f>VLOOKUP(Table1[[#This Row],[Name]],MountsByName[],12,FALSE)</f>
        <v>1</v>
      </c>
      <c r="N36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[41252] ={"Raven Lord", 41252, 32768, 1, 1, 0, "Raven", "Drop Sethekk Halls", 1, 0},</v>
      </c>
    </row>
    <row r="365" spans="1:14" x14ac:dyDescent="0.35">
      <c r="A365" s="2">
        <v>101542</v>
      </c>
      <c r="B365" t="s">
        <v>472</v>
      </c>
      <c r="C365" s="1" t="str">
        <f>VLOOKUP(Table1[[#This Row],[Name]],MountsByName[],2,FALSE)</f>
        <v>Raven</v>
      </c>
      <c r="D365" s="1">
        <f>VLOOKUP(Table1[[#This Row],[Name]],MountsByName[],3,FALSE)</f>
        <v>1</v>
      </c>
      <c r="E365" s="1">
        <f>VLOOKUP(Table1[[#This Row],[Name]],MountsByName[],4,FALSE)</f>
        <v>1</v>
      </c>
      <c r="F365" s="1">
        <f>VLOOKUP(Table1[[#This Row],[Name]],MountsByName[],5,FALSE)</f>
        <v>0</v>
      </c>
      <c r="G365" s="1">
        <f>VLOOKUP(Table1[[#This Row],[Name]],MountsByName[],6,FALSE)</f>
        <v>1</v>
      </c>
      <c r="H365" s="1">
        <f>VLOOKUP(Table1[[#This Row],[Name]],MountsByName[],7,FALSE)</f>
        <v>0</v>
      </c>
      <c r="I365" s="1">
        <f>VLOOKUP(Table1[[#This Row],[Name]],MountsByName[],8,FALSE)</f>
        <v>0</v>
      </c>
      <c r="J365" s="1">
        <f>VLOOKUP(Table1[[#This Row],[Name]],MountsByName[],9,FALSE)</f>
        <v>0</v>
      </c>
      <c r="K365" s="1">
        <f>VLOOKUP(Table1[[#This Row],[Name]],MountsByName[],10,FALSE)</f>
        <v>0</v>
      </c>
      <c r="L365" s="1">
        <f>VLOOKUP(Table1[[#This Row],[Name]],MountsByName[],11,FALSE)</f>
        <v>0</v>
      </c>
      <c r="M365" s="1">
        <f>VLOOKUP(Table1[[#This Row],[Name]],MountsByName[],12,FALSE)</f>
        <v>1</v>
      </c>
      <c r="N36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[101542] ={"Flametalon of Alysrazor", 101542, 0, 1, 1, 0, "Raven", "0", 1, 0},</v>
      </c>
    </row>
    <row r="366" spans="1:14" x14ac:dyDescent="0.35">
      <c r="A366" s="2">
        <v>155741</v>
      </c>
      <c r="B366" t="s">
        <v>1091</v>
      </c>
      <c r="C366" s="1" t="str">
        <f>VLOOKUP(Table1[[#This Row],[Name]],MountsByName[],2,FALSE)</f>
        <v>Raven</v>
      </c>
      <c r="D366" s="1">
        <f>VLOOKUP(Table1[[#This Row],[Name]],MountsByName[],3,FALSE)</f>
        <v>2.8</v>
      </c>
      <c r="E366" s="1">
        <f>VLOOKUP(Table1[[#This Row],[Name]],MountsByName[],4,FALSE)</f>
        <v>2.8</v>
      </c>
      <c r="F366" s="1">
        <f>VLOOKUP(Table1[[#This Row],[Name]],MountsByName[],5,FALSE)</f>
        <v>0</v>
      </c>
      <c r="G366" s="1">
        <f>VLOOKUP(Table1[[#This Row],[Name]],MountsByName[],6,FALSE)</f>
        <v>1</v>
      </c>
      <c r="H366" s="1">
        <f>VLOOKUP(Table1[[#This Row],[Name]],MountsByName[],7,FALSE)</f>
        <v>0</v>
      </c>
      <c r="I366" s="1">
        <f>VLOOKUP(Table1[[#This Row],[Name]],MountsByName[],8,FALSE)</f>
        <v>0</v>
      </c>
      <c r="J366" s="1">
        <f>VLOOKUP(Table1[[#This Row],[Name]],MountsByName[],9,FALSE)</f>
        <v>0</v>
      </c>
      <c r="K366" s="1">
        <f>VLOOKUP(Table1[[#This Row],[Name]],MountsByName[],10,FALSE)</f>
        <v>0</v>
      </c>
      <c r="L366" s="1">
        <f>VLOOKUP(Table1[[#This Row],[Name]],MountsByName[],11,FALSE)</f>
        <v>0</v>
      </c>
      <c r="M366" s="1">
        <f>VLOOKUP(Table1[[#This Row],[Name]],MountsByName[],12,FALSE)</f>
        <v>1</v>
      </c>
      <c r="N36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[155741] ={"Dread Raven", 155741, 0, 2.8, 2.8, 0, "Raven", "0", 1, 0},</v>
      </c>
    </row>
    <row r="367" spans="1:14" x14ac:dyDescent="0.35">
      <c r="A367" s="2">
        <v>74918</v>
      </c>
      <c r="B367" t="s">
        <v>274</v>
      </c>
      <c r="C367" s="1" t="str">
        <f>VLOOKUP(Table1[[#This Row],[Name]],MountsByName[],2,FALSE)</f>
        <v>Rhino</v>
      </c>
      <c r="D367" s="1">
        <f>VLOOKUP(Table1[[#This Row],[Name]],MountsByName[],3,FALSE)</f>
        <v>1</v>
      </c>
      <c r="E367" s="1">
        <f>VLOOKUP(Table1[[#This Row],[Name]],MountsByName[],4,FALSE)</f>
        <v>1</v>
      </c>
      <c r="F367" s="1">
        <f>VLOOKUP(Table1[[#This Row],[Name]],MountsByName[],5,FALSE)</f>
        <v>0</v>
      </c>
      <c r="G367" s="1">
        <f>VLOOKUP(Table1[[#This Row],[Name]],MountsByName[],6,FALSE)</f>
        <v>1</v>
      </c>
      <c r="H367" s="1">
        <f>VLOOKUP(Table1[[#This Row],[Name]],MountsByName[],7,FALSE)</f>
        <v>0</v>
      </c>
      <c r="I367" s="1">
        <f>VLOOKUP(Table1[[#This Row],[Name]],MountsByName[],8,FALSE)</f>
        <v>198633</v>
      </c>
      <c r="J367" s="1" t="str">
        <f>VLOOKUP(Table1[[#This Row],[Name]],MountsByName[],9,FALSE)</f>
        <v>TCG</v>
      </c>
      <c r="K367" s="1">
        <f>VLOOKUP(Table1[[#This Row],[Name]],MountsByName[],10,FALSE)</f>
        <v>1</v>
      </c>
      <c r="L367" s="1">
        <f>VLOOKUP(Table1[[#This Row],[Name]],MountsByName[],11,FALSE)</f>
        <v>1</v>
      </c>
      <c r="M367" s="1">
        <f>VLOOKUP(Table1[[#This Row],[Name]],MountsByName[],12,FALSE)</f>
        <v>1</v>
      </c>
      <c r="N36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[74918] ={"Wooly White Rhino", 74918, 198633, 1, 1, 0, "Rhino", "TCG", 1, 0},</v>
      </c>
    </row>
    <row r="368" spans="1:14" x14ac:dyDescent="0.35">
      <c r="A368" s="2">
        <v>387321</v>
      </c>
      <c r="B368" t="s">
        <v>274</v>
      </c>
      <c r="C368" s="1" t="str">
        <f>VLOOKUP(Table1[[#This Row],[Name]],MountsByName[],2,FALSE)</f>
        <v>Rhino</v>
      </c>
      <c r="D368" s="1">
        <f>VLOOKUP(Table1[[#This Row],[Name]],MountsByName[],3,FALSE)</f>
        <v>1</v>
      </c>
      <c r="E368" s="1">
        <f>VLOOKUP(Table1[[#This Row],[Name]],MountsByName[],4,FALSE)</f>
        <v>1</v>
      </c>
      <c r="F368" s="1">
        <f>VLOOKUP(Table1[[#This Row],[Name]],MountsByName[],5,FALSE)</f>
        <v>0</v>
      </c>
      <c r="G368" s="1">
        <f>VLOOKUP(Table1[[#This Row],[Name]],MountsByName[],6,FALSE)</f>
        <v>1</v>
      </c>
      <c r="H368" s="1">
        <f>VLOOKUP(Table1[[#This Row],[Name]],MountsByName[],7,FALSE)</f>
        <v>0</v>
      </c>
      <c r="I368" s="1">
        <f>VLOOKUP(Table1[[#This Row],[Name]],MountsByName[],8,FALSE)</f>
        <v>198633</v>
      </c>
      <c r="J368" s="1" t="str">
        <f>VLOOKUP(Table1[[#This Row],[Name]],MountsByName[],9,FALSE)</f>
        <v>TCG</v>
      </c>
      <c r="K368" s="1">
        <f>VLOOKUP(Table1[[#This Row],[Name]],MountsByName[],10,FALSE)</f>
        <v>1</v>
      </c>
      <c r="L368" s="1">
        <f>VLOOKUP(Table1[[#This Row],[Name]],MountsByName[],11,FALSE)</f>
        <v>1</v>
      </c>
      <c r="M368" s="1">
        <f>VLOOKUP(Table1[[#This Row],[Name]],MountsByName[],12,FALSE)</f>
        <v>1</v>
      </c>
      <c r="N36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[387321] ={"Wooly White Rhino", 387321, 198633, 1, 1, 0, "Rhino", "TCG", 1, 0},</v>
      </c>
    </row>
    <row r="369" spans="1:14" x14ac:dyDescent="0.35">
      <c r="A369" s="2">
        <v>46197</v>
      </c>
      <c r="B369" t="s">
        <v>76</v>
      </c>
      <c r="C369" s="1" t="str">
        <f>VLOOKUP(Table1[[#This Row],[Name]],MountsByName[],2,FALSE)</f>
        <v>Rocket</v>
      </c>
      <c r="D369" s="1">
        <f>VLOOKUP(Table1[[#This Row],[Name]],MountsByName[],3,FALSE)</f>
        <v>2.8</v>
      </c>
      <c r="E369" s="1">
        <f>VLOOKUP(Table1[[#This Row],[Name]],MountsByName[],4,FALSE)</f>
        <v>0.6</v>
      </c>
      <c r="F369" s="1">
        <f>VLOOKUP(Table1[[#This Row],[Name]],MountsByName[],5,FALSE)</f>
        <v>0</v>
      </c>
      <c r="G369" s="1">
        <f>VLOOKUP(Table1[[#This Row],[Name]],MountsByName[],6,FALSE)</f>
        <v>1</v>
      </c>
      <c r="H369" s="1">
        <f>VLOOKUP(Table1[[#This Row],[Name]],MountsByName[],7,FALSE)</f>
        <v>0</v>
      </c>
      <c r="I369" s="1">
        <f>VLOOKUP(Table1[[#This Row],[Name]],MountsByName[],8,FALSE)</f>
        <v>0</v>
      </c>
      <c r="J369" s="1" t="str">
        <f>VLOOKUP(Table1[[#This Row],[Name]],MountsByName[],9,FALSE)</f>
        <v>?</v>
      </c>
      <c r="K369" s="1">
        <f>VLOOKUP(Table1[[#This Row],[Name]],MountsByName[],10,FALSE)</f>
        <v>1</v>
      </c>
      <c r="L369" s="1">
        <f>VLOOKUP(Table1[[#This Row],[Name]],MountsByName[],11,FALSE)</f>
        <v>1</v>
      </c>
      <c r="M369" s="1">
        <f>VLOOKUP(Table1[[#This Row],[Name]],MountsByName[],12,FALSE)</f>
        <v>1</v>
      </c>
      <c r="N36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[46197] ={"X-51 Nether-Rocket", 46197, 0, 2.8, 0.6, 0, "Rocket", "?", 1, 0},</v>
      </c>
    </row>
    <row r="370" spans="1:14" x14ac:dyDescent="0.35">
      <c r="A370" s="2">
        <v>46199</v>
      </c>
      <c r="B370" t="s">
        <v>77</v>
      </c>
      <c r="C370" s="1" t="str">
        <f>VLOOKUP(Table1[[#This Row],[Name]],MountsByName[],2,FALSE)</f>
        <v>Rocket</v>
      </c>
      <c r="D370" s="1">
        <f>VLOOKUP(Table1[[#This Row],[Name]],MountsByName[],3,FALSE)</f>
        <v>2.8</v>
      </c>
      <c r="E370" s="1">
        <f>VLOOKUP(Table1[[#This Row],[Name]],MountsByName[],4,FALSE)</f>
        <v>0.6</v>
      </c>
      <c r="F370" s="1">
        <f>VLOOKUP(Table1[[#This Row],[Name]],MountsByName[],5,FALSE)</f>
        <v>0</v>
      </c>
      <c r="G370" s="1">
        <f>VLOOKUP(Table1[[#This Row],[Name]],MountsByName[],6,FALSE)</f>
        <v>1</v>
      </c>
      <c r="H370" s="1">
        <f>VLOOKUP(Table1[[#This Row],[Name]],MountsByName[],7,FALSE)</f>
        <v>0</v>
      </c>
      <c r="I370" s="1">
        <f>VLOOKUP(Table1[[#This Row],[Name]],MountsByName[],8,FALSE)</f>
        <v>0</v>
      </c>
      <c r="J370" s="1" t="str">
        <f>VLOOKUP(Table1[[#This Row],[Name]],MountsByName[],9,FALSE)</f>
        <v>Event Valantines</v>
      </c>
      <c r="K370" s="1">
        <f>VLOOKUP(Table1[[#This Row],[Name]],MountsByName[],10,FALSE)</f>
        <v>1</v>
      </c>
      <c r="L370" s="1">
        <f>VLOOKUP(Table1[[#This Row],[Name]],MountsByName[],11,FALSE)</f>
        <v>1</v>
      </c>
      <c r="M370" s="1">
        <f>VLOOKUP(Table1[[#This Row],[Name]],MountsByName[],12,FALSE)</f>
        <v>1</v>
      </c>
      <c r="N37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[46199] ={"X-51 Nether-Rocket X-TREME", 46199, 0, 2.8, 0.6, 0, "Rocket", "Event Valantines", 1, 0},</v>
      </c>
    </row>
    <row r="371" spans="1:14" x14ac:dyDescent="0.35">
      <c r="A371" s="2">
        <v>71342</v>
      </c>
      <c r="B371" t="s">
        <v>356</v>
      </c>
      <c r="C371" s="1" t="str">
        <f>VLOOKUP(Table1[[#This Row],[Name]],MountsByName[],2,FALSE)</f>
        <v>Rocket</v>
      </c>
      <c r="D371" s="1">
        <f>VLOOKUP(Table1[[#This Row],[Name]],MountsByName[],3,FALSE)</f>
        <v>3.1</v>
      </c>
      <c r="E371" s="1">
        <f>VLOOKUP(Table1[[#This Row],[Name]],MountsByName[],4,FALSE)</f>
        <v>0.6</v>
      </c>
      <c r="F371" s="1">
        <f>VLOOKUP(Table1[[#This Row],[Name]],MountsByName[],5,FALSE)</f>
        <v>0</v>
      </c>
      <c r="G371" s="1">
        <f>VLOOKUP(Table1[[#This Row],[Name]],MountsByName[],6,FALSE)</f>
        <v>1</v>
      </c>
      <c r="H371" s="1">
        <f>VLOOKUP(Table1[[#This Row],[Name]],MountsByName[],7,FALSE)</f>
        <v>0</v>
      </c>
      <c r="I371" s="1">
        <f>VLOOKUP(Table1[[#This Row],[Name]],MountsByName[],8,FALSE)</f>
        <v>50250</v>
      </c>
      <c r="J371" s="1" t="str">
        <f>VLOOKUP(Table1[[#This Row],[Name]],MountsByName[],9,FALSE)</f>
        <v>Drop Valentines</v>
      </c>
      <c r="K371" s="1">
        <f>VLOOKUP(Table1[[#This Row],[Name]],MountsByName[],10,FALSE)</f>
        <v>1</v>
      </c>
      <c r="L371" s="1">
        <f>VLOOKUP(Table1[[#This Row],[Name]],MountsByName[],11,FALSE)</f>
        <v>1</v>
      </c>
      <c r="M371" s="1">
        <f>VLOOKUP(Table1[[#This Row],[Name]],MountsByName[],12,FALSE)</f>
        <v>1</v>
      </c>
      <c r="N371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[71342] ={"X-45 Heartbreaker", 71342, 50250, 3.1, 0.6, 0, "Rocket", "Drop Valentines", 1, 0},</v>
      </c>
    </row>
    <row r="372" spans="1:14" x14ac:dyDescent="0.35">
      <c r="A372" s="2">
        <v>126507</v>
      </c>
      <c r="B372" t="s">
        <v>1067</v>
      </c>
      <c r="C372" s="1" t="str">
        <f>VLOOKUP(Table1[[#This Row],[Name]],MountsByName[],2,FALSE)</f>
        <v>Rocket</v>
      </c>
      <c r="D372" s="1">
        <f>VLOOKUP(Table1[[#This Row],[Name]],MountsByName[],3,FALSE)</f>
        <v>2.8</v>
      </c>
      <c r="E372" s="1">
        <f>VLOOKUP(Table1[[#This Row],[Name]],MountsByName[],4,FALSE)</f>
        <v>2.8</v>
      </c>
      <c r="F372" s="1">
        <f>VLOOKUP(Table1[[#This Row],[Name]],MountsByName[],5,FALSE)</f>
        <v>0</v>
      </c>
      <c r="G372" s="1">
        <f>VLOOKUP(Table1[[#This Row],[Name]],MountsByName[],6,FALSE)</f>
        <v>1</v>
      </c>
      <c r="H372" s="1">
        <f>VLOOKUP(Table1[[#This Row],[Name]],MountsByName[],7,FALSE)</f>
        <v>0</v>
      </c>
      <c r="I372" s="1">
        <f>VLOOKUP(Table1[[#This Row],[Name]],MountsByName[],8,FALSE)</f>
        <v>0</v>
      </c>
      <c r="J372" s="1">
        <f>VLOOKUP(Table1[[#This Row],[Name]],MountsByName[],9,FALSE)</f>
        <v>0</v>
      </c>
      <c r="K372" s="1">
        <f>VLOOKUP(Table1[[#This Row],[Name]],MountsByName[],10,FALSE)</f>
        <v>0</v>
      </c>
      <c r="L372" s="1">
        <f>VLOOKUP(Table1[[#This Row],[Name]],MountsByName[],11,FALSE)</f>
        <v>0</v>
      </c>
      <c r="M372" s="1">
        <f>VLOOKUP(Table1[[#This Row],[Name]],MountsByName[],12,FALSE)</f>
        <v>1</v>
      </c>
      <c r="N37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[126507] ={"Depleted-Kyparium Rocket", 126507, 0, 2.8, 2.8, 0, "Rocket", "0", 1, 0},</v>
      </c>
    </row>
    <row r="373" spans="1:14" x14ac:dyDescent="0.35">
      <c r="A373" s="2">
        <v>126508</v>
      </c>
      <c r="B373" t="s">
        <v>1130</v>
      </c>
      <c r="C373" s="1" t="str">
        <f>VLOOKUP(Table1[[#This Row],[Name]],MountsByName[],2,FALSE)</f>
        <v>Rocket</v>
      </c>
      <c r="D373" s="1">
        <f>VLOOKUP(Table1[[#This Row],[Name]],MountsByName[],3,FALSE)</f>
        <v>2.8</v>
      </c>
      <c r="E373" s="1">
        <f>VLOOKUP(Table1[[#This Row],[Name]],MountsByName[],4,FALSE)</f>
        <v>2.8</v>
      </c>
      <c r="F373" s="1">
        <f>VLOOKUP(Table1[[#This Row],[Name]],MountsByName[],5,FALSE)</f>
        <v>0</v>
      </c>
      <c r="G373" s="1">
        <f>VLOOKUP(Table1[[#This Row],[Name]],MountsByName[],6,FALSE)</f>
        <v>1</v>
      </c>
      <c r="H373" s="1">
        <f>VLOOKUP(Table1[[#This Row],[Name]],MountsByName[],7,FALSE)</f>
        <v>0</v>
      </c>
      <c r="I373" s="1">
        <f>VLOOKUP(Table1[[#This Row],[Name]],MountsByName[],8,FALSE)</f>
        <v>0</v>
      </c>
      <c r="J373" s="1">
        <f>VLOOKUP(Table1[[#This Row],[Name]],MountsByName[],9,FALSE)</f>
        <v>0</v>
      </c>
      <c r="K373" s="1">
        <f>VLOOKUP(Table1[[#This Row],[Name]],MountsByName[],10,FALSE)</f>
        <v>0</v>
      </c>
      <c r="L373" s="1">
        <f>VLOOKUP(Table1[[#This Row],[Name]],MountsByName[],11,FALSE)</f>
        <v>0</v>
      </c>
      <c r="M373" s="1">
        <f>VLOOKUP(Table1[[#This Row],[Name]],MountsByName[],12,FALSE)</f>
        <v>1</v>
      </c>
      <c r="N37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[126508] ={"Geosynchronous World Spinner", 126508, 0, 2.8, 2.8, 0, "Rocket", "0", 1, 0},</v>
      </c>
    </row>
    <row r="374" spans="1:14" x14ac:dyDescent="0.35">
      <c r="A374" s="2">
        <v>387311</v>
      </c>
      <c r="B374" t="s">
        <v>77</v>
      </c>
      <c r="C374" s="1" t="str">
        <f>VLOOKUP(Table1[[#This Row],[Name]],MountsByName[],2,FALSE)</f>
        <v>Rocket</v>
      </c>
      <c r="D374" s="1">
        <f>VLOOKUP(Table1[[#This Row],[Name]],MountsByName[],3,FALSE)</f>
        <v>2.8</v>
      </c>
      <c r="E374" s="1">
        <f>VLOOKUP(Table1[[#This Row],[Name]],MountsByName[],4,FALSE)</f>
        <v>0.6</v>
      </c>
      <c r="F374" s="1">
        <f>VLOOKUP(Table1[[#This Row],[Name]],MountsByName[],5,FALSE)</f>
        <v>0</v>
      </c>
      <c r="G374" s="1">
        <f>VLOOKUP(Table1[[#This Row],[Name]],MountsByName[],6,FALSE)</f>
        <v>1</v>
      </c>
      <c r="H374" s="1">
        <f>VLOOKUP(Table1[[#This Row],[Name]],MountsByName[],7,FALSE)</f>
        <v>0</v>
      </c>
      <c r="I374" s="1">
        <f>VLOOKUP(Table1[[#This Row],[Name]],MountsByName[],8,FALSE)</f>
        <v>0</v>
      </c>
      <c r="J374" s="1" t="str">
        <f>VLOOKUP(Table1[[#This Row],[Name]],MountsByName[],9,FALSE)</f>
        <v>Event Valantines</v>
      </c>
      <c r="K374" s="1">
        <f>VLOOKUP(Table1[[#This Row],[Name]],MountsByName[],10,FALSE)</f>
        <v>1</v>
      </c>
      <c r="L374" s="1">
        <f>VLOOKUP(Table1[[#This Row],[Name]],MountsByName[],11,FALSE)</f>
        <v>1</v>
      </c>
      <c r="M374" s="1">
        <f>VLOOKUP(Table1[[#This Row],[Name]],MountsByName[],12,FALSE)</f>
        <v>1</v>
      </c>
      <c r="N37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[387311] ={"X-51 Nether-Rocket X-TREME", 387311, 0, 2.8, 0.6, 0, "Rocket", "Event Valantines", 1, 0},</v>
      </c>
    </row>
    <row r="375" spans="1:14" x14ac:dyDescent="0.35">
      <c r="A375" s="2">
        <v>387323</v>
      </c>
      <c r="B375" t="s">
        <v>76</v>
      </c>
      <c r="C375" s="1" t="str">
        <f>VLOOKUP(Table1[[#This Row],[Name]],MountsByName[],2,FALSE)</f>
        <v>Rocket</v>
      </c>
      <c r="D375" s="1">
        <f>VLOOKUP(Table1[[#This Row],[Name]],MountsByName[],3,FALSE)</f>
        <v>2.8</v>
      </c>
      <c r="E375" s="1">
        <f>VLOOKUP(Table1[[#This Row],[Name]],MountsByName[],4,FALSE)</f>
        <v>0.6</v>
      </c>
      <c r="F375" s="1">
        <f>VLOOKUP(Table1[[#This Row],[Name]],MountsByName[],5,FALSE)</f>
        <v>0</v>
      </c>
      <c r="G375" s="1">
        <f>VLOOKUP(Table1[[#This Row],[Name]],MountsByName[],6,FALSE)</f>
        <v>1</v>
      </c>
      <c r="H375" s="1">
        <f>VLOOKUP(Table1[[#This Row],[Name]],MountsByName[],7,FALSE)</f>
        <v>0</v>
      </c>
      <c r="I375" s="1">
        <f>VLOOKUP(Table1[[#This Row],[Name]],MountsByName[],8,FALSE)</f>
        <v>0</v>
      </c>
      <c r="J375" s="1" t="str">
        <f>VLOOKUP(Table1[[#This Row],[Name]],MountsByName[],9,FALSE)</f>
        <v>?</v>
      </c>
      <c r="K375" s="1">
        <f>VLOOKUP(Table1[[#This Row],[Name]],MountsByName[],10,FALSE)</f>
        <v>1</v>
      </c>
      <c r="L375" s="1">
        <f>VLOOKUP(Table1[[#This Row],[Name]],MountsByName[],11,FALSE)</f>
        <v>1</v>
      </c>
      <c r="M375" s="1">
        <f>VLOOKUP(Table1[[#This Row],[Name]],MountsByName[],12,FALSE)</f>
        <v>1</v>
      </c>
      <c r="N37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[387323] ={"X-51 Nether-Rocket", 387323, 0, 2.8, 0.6, 0, "Rocket", "?", 1, 0},</v>
      </c>
    </row>
    <row r="376" spans="1:14" x14ac:dyDescent="0.35">
      <c r="A376" s="2">
        <v>65917</v>
      </c>
      <c r="B376" t="s">
        <v>170</v>
      </c>
      <c r="C376" s="1" t="str">
        <f>VLOOKUP(Table1[[#This Row],[Name]],MountsByName[],2,FALSE)</f>
        <v>Rooster</v>
      </c>
      <c r="D376" s="1">
        <f>VLOOKUP(Table1[[#This Row],[Name]],MountsByName[],3,FALSE)</f>
        <v>1</v>
      </c>
      <c r="E376" s="1">
        <f>VLOOKUP(Table1[[#This Row],[Name]],MountsByName[],4,FALSE)</f>
        <v>1</v>
      </c>
      <c r="F376" s="1">
        <f>VLOOKUP(Table1[[#This Row],[Name]],MountsByName[],5,FALSE)</f>
        <v>0</v>
      </c>
      <c r="G376" s="1">
        <f>VLOOKUP(Table1[[#This Row],[Name]],MountsByName[],6,FALSE)</f>
        <v>1</v>
      </c>
      <c r="H376" s="1">
        <f>VLOOKUP(Table1[[#This Row],[Name]],MountsByName[],7,FALSE)</f>
        <v>0</v>
      </c>
      <c r="I376" s="1">
        <f>VLOOKUP(Table1[[#This Row],[Name]],MountsByName[],8,FALSE)</f>
        <v>198631</v>
      </c>
      <c r="J376" s="1" t="str">
        <f>VLOOKUP(Table1[[#This Row],[Name]],MountsByName[],9,FALSE)</f>
        <v>TCG</v>
      </c>
      <c r="K376" s="1">
        <f>VLOOKUP(Table1[[#This Row],[Name]],MountsByName[],10,FALSE)</f>
        <v>1</v>
      </c>
      <c r="L376" s="1">
        <f>VLOOKUP(Table1[[#This Row],[Name]],MountsByName[],11,FALSE)</f>
        <v>1</v>
      </c>
      <c r="M376" s="1">
        <f>VLOOKUP(Table1[[#This Row],[Name]],MountsByName[],12,FALSE)</f>
        <v>1</v>
      </c>
      <c r="N37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[65917] ={"Magic Rooster", 65917, 198631, 1, 1, 0, "Rooster", "TCG", 1, 0},</v>
      </c>
    </row>
    <row r="377" spans="1:14" x14ac:dyDescent="0.35">
      <c r="A377" s="2">
        <v>66122</v>
      </c>
      <c r="B377" t="s">
        <v>170</v>
      </c>
      <c r="C377" s="1" t="str">
        <f>VLOOKUP(Table1[[#This Row],[Name]],MountsByName[],2,FALSE)</f>
        <v>Rooster</v>
      </c>
      <c r="D377" s="1">
        <f>VLOOKUP(Table1[[#This Row],[Name]],MountsByName[],3,FALSE)</f>
        <v>1</v>
      </c>
      <c r="E377" s="1">
        <f>VLOOKUP(Table1[[#This Row],[Name]],MountsByName[],4,FALSE)</f>
        <v>1</v>
      </c>
      <c r="F377" s="1">
        <f>VLOOKUP(Table1[[#This Row],[Name]],MountsByName[],5,FALSE)</f>
        <v>0</v>
      </c>
      <c r="G377" s="1">
        <f>VLOOKUP(Table1[[#This Row],[Name]],MountsByName[],6,FALSE)</f>
        <v>1</v>
      </c>
      <c r="H377" s="1">
        <f>VLOOKUP(Table1[[#This Row],[Name]],MountsByName[],7,FALSE)</f>
        <v>0</v>
      </c>
      <c r="I377" s="1">
        <f>VLOOKUP(Table1[[#This Row],[Name]],MountsByName[],8,FALSE)</f>
        <v>198631</v>
      </c>
      <c r="J377" s="1" t="str">
        <f>VLOOKUP(Table1[[#This Row],[Name]],MountsByName[],9,FALSE)</f>
        <v>TCG</v>
      </c>
      <c r="K377" s="1">
        <f>VLOOKUP(Table1[[#This Row],[Name]],MountsByName[],10,FALSE)</f>
        <v>1</v>
      </c>
      <c r="L377" s="1">
        <f>VLOOKUP(Table1[[#This Row],[Name]],MountsByName[],11,FALSE)</f>
        <v>1</v>
      </c>
      <c r="M377" s="1">
        <f>VLOOKUP(Table1[[#This Row],[Name]],MountsByName[],12,FALSE)</f>
        <v>1</v>
      </c>
      <c r="N37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[66122] ={"Magic Rooster", 66122, 198631, 1, 1, 0, "Rooster", "TCG", 1, 0},</v>
      </c>
    </row>
    <row r="378" spans="1:14" x14ac:dyDescent="0.35">
      <c r="A378" s="2">
        <v>66123</v>
      </c>
      <c r="B378" t="s">
        <v>170</v>
      </c>
      <c r="C378" s="1" t="str">
        <f>VLOOKUP(Table1[[#This Row],[Name]],MountsByName[],2,FALSE)</f>
        <v>Rooster</v>
      </c>
      <c r="D378" s="1">
        <f>VLOOKUP(Table1[[#This Row],[Name]],MountsByName[],3,FALSE)</f>
        <v>1</v>
      </c>
      <c r="E378" s="1">
        <f>VLOOKUP(Table1[[#This Row],[Name]],MountsByName[],4,FALSE)</f>
        <v>1</v>
      </c>
      <c r="F378" s="1">
        <f>VLOOKUP(Table1[[#This Row],[Name]],MountsByName[],5,FALSE)</f>
        <v>0</v>
      </c>
      <c r="G378" s="1">
        <f>VLOOKUP(Table1[[#This Row],[Name]],MountsByName[],6,FALSE)</f>
        <v>1</v>
      </c>
      <c r="H378" s="1">
        <f>VLOOKUP(Table1[[#This Row],[Name]],MountsByName[],7,FALSE)</f>
        <v>0</v>
      </c>
      <c r="I378" s="1">
        <f>VLOOKUP(Table1[[#This Row],[Name]],MountsByName[],8,FALSE)</f>
        <v>198631</v>
      </c>
      <c r="J378" s="1" t="str">
        <f>VLOOKUP(Table1[[#This Row],[Name]],MountsByName[],9,FALSE)</f>
        <v>TCG</v>
      </c>
      <c r="K378" s="1">
        <f>VLOOKUP(Table1[[#This Row],[Name]],MountsByName[],10,FALSE)</f>
        <v>1</v>
      </c>
      <c r="L378" s="1">
        <f>VLOOKUP(Table1[[#This Row],[Name]],MountsByName[],11,FALSE)</f>
        <v>1</v>
      </c>
      <c r="M378" s="1">
        <f>VLOOKUP(Table1[[#This Row],[Name]],MountsByName[],12,FALSE)</f>
        <v>1</v>
      </c>
      <c r="N37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[66123] ={"Magic Rooster", 66123, 198631, 1, 1, 0, "Rooster", "TCG", 1, 0},</v>
      </c>
    </row>
    <row r="379" spans="1:14" x14ac:dyDescent="0.35">
      <c r="A379" s="2">
        <v>66124</v>
      </c>
      <c r="B379" t="s">
        <v>170</v>
      </c>
      <c r="C379" s="1" t="str">
        <f>VLOOKUP(Table1[[#This Row],[Name]],MountsByName[],2,FALSE)</f>
        <v>Rooster</v>
      </c>
      <c r="D379" s="1">
        <f>VLOOKUP(Table1[[#This Row],[Name]],MountsByName[],3,FALSE)</f>
        <v>1</v>
      </c>
      <c r="E379" s="1">
        <f>VLOOKUP(Table1[[#This Row],[Name]],MountsByName[],4,FALSE)</f>
        <v>1</v>
      </c>
      <c r="F379" s="1">
        <f>VLOOKUP(Table1[[#This Row],[Name]],MountsByName[],5,FALSE)</f>
        <v>0</v>
      </c>
      <c r="G379" s="1">
        <f>VLOOKUP(Table1[[#This Row],[Name]],MountsByName[],6,FALSE)</f>
        <v>1</v>
      </c>
      <c r="H379" s="1">
        <f>VLOOKUP(Table1[[#This Row],[Name]],MountsByName[],7,FALSE)</f>
        <v>0</v>
      </c>
      <c r="I379" s="1">
        <f>VLOOKUP(Table1[[#This Row],[Name]],MountsByName[],8,FALSE)</f>
        <v>198631</v>
      </c>
      <c r="J379" s="1" t="str">
        <f>VLOOKUP(Table1[[#This Row],[Name]],MountsByName[],9,FALSE)</f>
        <v>TCG</v>
      </c>
      <c r="K379" s="1">
        <f>VLOOKUP(Table1[[#This Row],[Name]],MountsByName[],10,FALSE)</f>
        <v>1</v>
      </c>
      <c r="L379" s="1">
        <f>VLOOKUP(Table1[[#This Row],[Name]],MountsByName[],11,FALSE)</f>
        <v>1</v>
      </c>
      <c r="M379" s="1">
        <f>VLOOKUP(Table1[[#This Row],[Name]],MountsByName[],12,FALSE)</f>
        <v>1</v>
      </c>
      <c r="N37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[66124] ={"Magic Rooster", 66124, 198631, 1, 1, 0, "Rooster", "TCG", 1, 0},</v>
      </c>
    </row>
    <row r="380" spans="1:14" x14ac:dyDescent="0.35">
      <c r="A380" s="2">
        <v>387308</v>
      </c>
      <c r="B380" t="s">
        <v>170</v>
      </c>
      <c r="C380" s="1" t="str">
        <f>VLOOKUP(Table1[[#This Row],[Name]],MountsByName[],2,FALSE)</f>
        <v>Rooster</v>
      </c>
      <c r="D380" s="1">
        <f>VLOOKUP(Table1[[#This Row],[Name]],MountsByName[],3,FALSE)</f>
        <v>1</v>
      </c>
      <c r="E380" s="1">
        <f>VLOOKUP(Table1[[#This Row],[Name]],MountsByName[],4,FALSE)</f>
        <v>1</v>
      </c>
      <c r="F380" s="1">
        <f>VLOOKUP(Table1[[#This Row],[Name]],MountsByName[],5,FALSE)</f>
        <v>0</v>
      </c>
      <c r="G380" s="1">
        <f>VLOOKUP(Table1[[#This Row],[Name]],MountsByName[],6,FALSE)</f>
        <v>1</v>
      </c>
      <c r="H380" s="1">
        <f>VLOOKUP(Table1[[#This Row],[Name]],MountsByName[],7,FALSE)</f>
        <v>0</v>
      </c>
      <c r="I380" s="1">
        <f>VLOOKUP(Table1[[#This Row],[Name]],MountsByName[],8,FALSE)</f>
        <v>198631</v>
      </c>
      <c r="J380" s="1" t="str">
        <f>VLOOKUP(Table1[[#This Row],[Name]],MountsByName[],9,FALSE)</f>
        <v>TCG</v>
      </c>
      <c r="K380" s="1">
        <f>VLOOKUP(Table1[[#This Row],[Name]],MountsByName[],10,FALSE)</f>
        <v>1</v>
      </c>
      <c r="L380" s="1">
        <f>VLOOKUP(Table1[[#This Row],[Name]],MountsByName[],11,FALSE)</f>
        <v>1</v>
      </c>
      <c r="M380" s="1">
        <f>VLOOKUP(Table1[[#This Row],[Name]],MountsByName[],12,FALSE)</f>
        <v>1</v>
      </c>
      <c r="N38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[387308] ={"Magic Rooster", 387308, 198631, 1, 1, 0, "Rooster", "TCG", 1, 0},</v>
      </c>
    </row>
    <row r="381" spans="1:14" x14ac:dyDescent="0.35">
      <c r="A381" s="2">
        <v>8394</v>
      </c>
      <c r="B381" t="s">
        <v>207</v>
      </c>
      <c r="C381" s="1" t="str">
        <f>VLOOKUP(Table1[[#This Row],[Name]],MountsByName[],2,FALSE)</f>
        <v>Saber</v>
      </c>
      <c r="D381" s="1">
        <f>VLOOKUP(Table1[[#This Row],[Name]],MountsByName[],3,FALSE)</f>
        <v>0.6</v>
      </c>
      <c r="E381" s="1">
        <f>VLOOKUP(Table1[[#This Row],[Name]],MountsByName[],4,FALSE)</f>
        <v>0.6</v>
      </c>
      <c r="F381" s="1">
        <f>VLOOKUP(Table1[[#This Row],[Name]],MountsByName[],5,FALSE)</f>
        <v>0</v>
      </c>
      <c r="G381" s="1">
        <f>VLOOKUP(Table1[[#This Row],[Name]],MountsByName[],6,FALSE)</f>
        <v>1</v>
      </c>
      <c r="H381" s="1">
        <f>VLOOKUP(Table1[[#This Row],[Name]],MountsByName[],7,FALSE)</f>
        <v>0</v>
      </c>
      <c r="I381" s="1">
        <f>VLOOKUP(Table1[[#This Row],[Name]],MountsByName[],8,FALSE)</f>
        <v>8631</v>
      </c>
      <c r="J381" s="1" t="str">
        <f>VLOOKUP(Table1[[#This Row],[Name]],MountsByName[],9,FALSE)</f>
        <v>Exalted Darnasses</v>
      </c>
      <c r="K381" s="1">
        <f>VLOOKUP(Table1[[#This Row],[Name]],MountsByName[],10,FALSE)</f>
        <v>1</v>
      </c>
      <c r="L381" s="1">
        <f>VLOOKUP(Table1[[#This Row],[Name]],MountsByName[],11,FALSE)</f>
        <v>0</v>
      </c>
      <c r="M381" s="1">
        <f>VLOOKUP(Table1[[#This Row],[Name]],MountsByName[],12,FALSE)</f>
        <v>1</v>
      </c>
      <c r="N381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[8394] ={"Striped Frostsaber", 8394, 8631, 0.6, 0.6, 0, "Saber", "Exalted Darnasses", 1, 0},</v>
      </c>
    </row>
    <row r="382" spans="1:14" x14ac:dyDescent="0.35">
      <c r="A382" s="2">
        <v>10789</v>
      </c>
      <c r="B382" t="s">
        <v>202</v>
      </c>
      <c r="C382" s="1" t="str">
        <f>VLOOKUP(Table1[[#This Row],[Name]],MountsByName[],2,FALSE)</f>
        <v>Saber</v>
      </c>
      <c r="D382" s="1">
        <f>VLOOKUP(Table1[[#This Row],[Name]],MountsByName[],3,FALSE)</f>
        <v>0.6</v>
      </c>
      <c r="E382" s="1">
        <f>VLOOKUP(Table1[[#This Row],[Name]],MountsByName[],4,FALSE)</f>
        <v>0.6</v>
      </c>
      <c r="F382" s="1">
        <f>VLOOKUP(Table1[[#This Row],[Name]],MountsByName[],5,FALSE)</f>
        <v>0</v>
      </c>
      <c r="G382" s="1">
        <f>VLOOKUP(Table1[[#This Row],[Name]],MountsByName[],6,FALSE)</f>
        <v>1</v>
      </c>
      <c r="H382" s="1">
        <f>VLOOKUP(Table1[[#This Row],[Name]],MountsByName[],7,FALSE)</f>
        <v>0</v>
      </c>
      <c r="I382" s="1">
        <f>VLOOKUP(Table1[[#This Row],[Name]],MountsByName[],8,FALSE)</f>
        <v>8632</v>
      </c>
      <c r="J382" s="1" t="str">
        <f>VLOOKUP(Table1[[#This Row],[Name]],MountsByName[],9,FALSE)</f>
        <v>Exalted Darnasses</v>
      </c>
      <c r="K382" s="1">
        <f>VLOOKUP(Table1[[#This Row],[Name]],MountsByName[],10,FALSE)</f>
        <v>1</v>
      </c>
      <c r="L382" s="1">
        <f>VLOOKUP(Table1[[#This Row],[Name]],MountsByName[],11,FALSE)</f>
        <v>0</v>
      </c>
      <c r="M382" s="1">
        <f>VLOOKUP(Table1[[#This Row],[Name]],MountsByName[],12,FALSE)</f>
        <v>1</v>
      </c>
      <c r="N38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[10789] ={"Spotted Frostsaber", 10789, 8632, 0.6, 0.6, 0, "Saber", "Exalted Darnasses", 1, 0},</v>
      </c>
    </row>
    <row r="383" spans="1:14" x14ac:dyDescent="0.35">
      <c r="A383" s="2">
        <v>10790</v>
      </c>
      <c r="B383" t="s">
        <v>438</v>
      </c>
      <c r="C383" s="1" t="str">
        <f>VLOOKUP(Table1[[#This Row],[Name]],MountsByName[],2,FALSE)</f>
        <v>Saber</v>
      </c>
      <c r="D383" s="1">
        <f>VLOOKUP(Table1[[#This Row],[Name]],MountsByName[],3,FALSE)</f>
        <v>1</v>
      </c>
      <c r="E383" s="1">
        <f>VLOOKUP(Table1[[#This Row],[Name]],MountsByName[],4,FALSE)</f>
        <v>1</v>
      </c>
      <c r="F383" s="1">
        <f>VLOOKUP(Table1[[#This Row],[Name]],MountsByName[],5,FALSE)</f>
        <v>0</v>
      </c>
      <c r="G383" s="1">
        <f>VLOOKUP(Table1[[#This Row],[Name]],MountsByName[],6,FALSE)</f>
        <v>1</v>
      </c>
      <c r="H383" s="1">
        <f>VLOOKUP(Table1[[#This Row],[Name]],MountsByName[],7,FALSE)</f>
        <v>0</v>
      </c>
      <c r="I383" s="1">
        <f>VLOOKUP(Table1[[#This Row],[Name]],MountsByName[],8,FALSE)</f>
        <v>0</v>
      </c>
      <c r="J383" s="1">
        <f>VLOOKUP(Table1[[#This Row],[Name]],MountsByName[],9,FALSE)</f>
        <v>0</v>
      </c>
      <c r="K383" s="1">
        <f>VLOOKUP(Table1[[#This Row],[Name]],MountsByName[],10,FALSE)</f>
        <v>0</v>
      </c>
      <c r="L383" s="1">
        <f>VLOOKUP(Table1[[#This Row],[Name]],MountsByName[],11,FALSE)</f>
        <v>0</v>
      </c>
      <c r="M383" s="1">
        <f>VLOOKUP(Table1[[#This Row],[Name]],MountsByName[],12,FALSE)</f>
        <v>1</v>
      </c>
      <c r="N38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[10790] ={"Tiger", 10790, 0, 1, 1, 0, "Saber", "0", 1, 0},</v>
      </c>
    </row>
    <row r="384" spans="1:14" x14ac:dyDescent="0.35">
      <c r="A384" s="2">
        <v>10793</v>
      </c>
      <c r="B384" t="s">
        <v>208</v>
      </c>
      <c r="C384" s="1" t="str">
        <f>VLOOKUP(Table1[[#This Row],[Name]],MountsByName[],2,FALSE)</f>
        <v>Saber</v>
      </c>
      <c r="D384" s="1">
        <f>VLOOKUP(Table1[[#This Row],[Name]],MountsByName[],3,FALSE)</f>
        <v>0.6</v>
      </c>
      <c r="E384" s="1">
        <f>VLOOKUP(Table1[[#This Row],[Name]],MountsByName[],4,FALSE)</f>
        <v>0.6</v>
      </c>
      <c r="F384" s="1">
        <f>VLOOKUP(Table1[[#This Row],[Name]],MountsByName[],5,FALSE)</f>
        <v>0</v>
      </c>
      <c r="G384" s="1">
        <f>VLOOKUP(Table1[[#This Row],[Name]],MountsByName[],6,FALSE)</f>
        <v>1</v>
      </c>
      <c r="H384" s="1">
        <f>VLOOKUP(Table1[[#This Row],[Name]],MountsByName[],7,FALSE)</f>
        <v>0</v>
      </c>
      <c r="I384" s="1">
        <f>VLOOKUP(Table1[[#This Row],[Name]],MountsByName[],8,FALSE)</f>
        <v>8629</v>
      </c>
      <c r="J384" s="1" t="str">
        <f>VLOOKUP(Table1[[#This Row],[Name]],MountsByName[],9,FALSE)</f>
        <v>Exalted Darnasses</v>
      </c>
      <c r="K384" s="1">
        <f>VLOOKUP(Table1[[#This Row],[Name]],MountsByName[],10,FALSE)</f>
        <v>1</v>
      </c>
      <c r="L384" s="1">
        <f>VLOOKUP(Table1[[#This Row],[Name]],MountsByName[],11,FALSE)</f>
        <v>0</v>
      </c>
      <c r="M384" s="1">
        <f>VLOOKUP(Table1[[#This Row],[Name]],MountsByName[],12,FALSE)</f>
        <v>1</v>
      </c>
      <c r="N38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[10793] ={"Striped Nightsaber", 10793, 8629, 0.6, 0.6, 0, "Saber", "Exalted Darnasses", 1, 0},</v>
      </c>
    </row>
    <row r="385" spans="1:14" x14ac:dyDescent="0.35">
      <c r="A385" s="2">
        <v>16055</v>
      </c>
      <c r="B385" t="s">
        <v>90</v>
      </c>
      <c r="C385" s="1" t="str">
        <f>VLOOKUP(Table1[[#This Row],[Name]],MountsByName[],2,FALSE)</f>
        <v>Saber</v>
      </c>
      <c r="D385" s="1">
        <f>VLOOKUP(Table1[[#This Row],[Name]],MountsByName[],3,FALSE)</f>
        <v>1</v>
      </c>
      <c r="E385" s="1">
        <f>VLOOKUP(Table1[[#This Row],[Name]],MountsByName[],4,FALSE)</f>
        <v>1</v>
      </c>
      <c r="F385" s="1">
        <f>VLOOKUP(Table1[[#This Row],[Name]],MountsByName[],5,FALSE)</f>
        <v>0</v>
      </c>
      <c r="G385" s="1">
        <f>VLOOKUP(Table1[[#This Row],[Name]],MountsByName[],6,FALSE)</f>
        <v>1</v>
      </c>
      <c r="H385" s="1">
        <f>VLOOKUP(Table1[[#This Row],[Name]],MountsByName[],7,FALSE)</f>
        <v>0</v>
      </c>
      <c r="I385" s="1">
        <f>VLOOKUP(Table1[[#This Row],[Name]],MountsByName[],8,FALSE)</f>
        <v>12303</v>
      </c>
      <c r="J385" s="1" t="str">
        <f>VLOOKUP(Table1[[#This Row],[Name]],MountsByName[],9,FALSE)</f>
        <v>Removed</v>
      </c>
      <c r="K385" s="1">
        <f>VLOOKUP(Table1[[#This Row],[Name]],MountsByName[],10,FALSE)</f>
        <v>1</v>
      </c>
      <c r="L385" s="1">
        <f>VLOOKUP(Table1[[#This Row],[Name]],MountsByName[],11,FALSE)</f>
        <v>0</v>
      </c>
      <c r="M385" s="1">
        <f>VLOOKUP(Table1[[#This Row],[Name]],MountsByName[],12,FALSE)</f>
        <v>1</v>
      </c>
      <c r="N38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[16055] ={"Black Nightsaber", 16055, 12303, 1, 1, 0, "Saber", "Removed", 1, 0},</v>
      </c>
    </row>
    <row r="386" spans="1:14" x14ac:dyDescent="0.35">
      <c r="A386" s="2">
        <v>16056</v>
      </c>
      <c r="B386" t="s">
        <v>83</v>
      </c>
      <c r="C386" s="1" t="str">
        <f>VLOOKUP(Table1[[#This Row],[Name]],MountsByName[],2,FALSE)</f>
        <v>Saber</v>
      </c>
      <c r="D386" s="1">
        <f>VLOOKUP(Table1[[#This Row],[Name]],MountsByName[],3,FALSE)</f>
        <v>1</v>
      </c>
      <c r="E386" s="1">
        <f>VLOOKUP(Table1[[#This Row],[Name]],MountsByName[],4,FALSE)</f>
        <v>1</v>
      </c>
      <c r="F386" s="1">
        <f>VLOOKUP(Table1[[#This Row],[Name]],MountsByName[],5,FALSE)</f>
        <v>0</v>
      </c>
      <c r="G386" s="1">
        <f>VLOOKUP(Table1[[#This Row],[Name]],MountsByName[],6,FALSE)</f>
        <v>1</v>
      </c>
      <c r="H386" s="1">
        <f>VLOOKUP(Table1[[#This Row],[Name]],MountsByName[],7,FALSE)</f>
        <v>0</v>
      </c>
      <c r="I386" s="1">
        <f>VLOOKUP(Table1[[#This Row],[Name]],MountsByName[],8,FALSE)</f>
        <v>12302</v>
      </c>
      <c r="J386" s="1" t="str">
        <f>VLOOKUP(Table1[[#This Row],[Name]],MountsByName[],9,FALSE)</f>
        <v>Removed</v>
      </c>
      <c r="K386" s="1">
        <f>VLOOKUP(Table1[[#This Row],[Name]],MountsByName[],10,FALSE)</f>
        <v>1</v>
      </c>
      <c r="L386" s="1">
        <f>VLOOKUP(Table1[[#This Row],[Name]],MountsByName[],11,FALSE)</f>
        <v>0</v>
      </c>
      <c r="M386" s="1">
        <f>VLOOKUP(Table1[[#This Row],[Name]],MountsByName[],12,FALSE)</f>
        <v>1</v>
      </c>
      <c r="N38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[16056] ={"Ancient Frostsaber", 16056, 12302, 1, 1, 0, "Saber", "Removed", 1, 0},</v>
      </c>
    </row>
    <row r="387" spans="1:14" x14ac:dyDescent="0.35">
      <c r="A387" s="2">
        <v>17229</v>
      </c>
      <c r="B387" t="s">
        <v>272</v>
      </c>
      <c r="C387" s="1" t="str">
        <f>VLOOKUP(Table1[[#This Row],[Name]],MountsByName[],2,FALSE)</f>
        <v>Saber</v>
      </c>
      <c r="D387" s="1">
        <f>VLOOKUP(Table1[[#This Row],[Name]],MountsByName[],3,FALSE)</f>
        <v>1</v>
      </c>
      <c r="E387" s="1">
        <f>VLOOKUP(Table1[[#This Row],[Name]],MountsByName[],4,FALSE)</f>
        <v>1</v>
      </c>
      <c r="F387" s="1">
        <f>VLOOKUP(Table1[[#This Row],[Name]],MountsByName[],5,FALSE)</f>
        <v>0</v>
      </c>
      <c r="G387" s="1">
        <f>VLOOKUP(Table1[[#This Row],[Name]],MountsByName[],6,FALSE)</f>
        <v>1</v>
      </c>
      <c r="H387" s="1">
        <f>VLOOKUP(Table1[[#This Row],[Name]],MountsByName[],7,FALSE)</f>
        <v>0</v>
      </c>
      <c r="I387" s="1">
        <f>VLOOKUP(Table1[[#This Row],[Name]],MountsByName[],8,FALSE)</f>
        <v>13086</v>
      </c>
      <c r="J387" s="1" t="str">
        <f>VLOOKUP(Table1[[#This Row],[Name]],MountsByName[],9,FALSE)</f>
        <v>Exalted Winterspring Frostsaber</v>
      </c>
      <c r="K387" s="1">
        <f>VLOOKUP(Table1[[#This Row],[Name]],MountsByName[],10,FALSE)</f>
        <v>1</v>
      </c>
      <c r="L387" s="1">
        <f>VLOOKUP(Table1[[#This Row],[Name]],MountsByName[],11,FALSE)</f>
        <v>0</v>
      </c>
      <c r="M387" s="1">
        <f>VLOOKUP(Table1[[#This Row],[Name]],MountsByName[],12,FALSE)</f>
        <v>1</v>
      </c>
      <c r="N38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[17229] ={"Winterspring Frostsaber", 17229, 13086, 1, 1, 0, "Saber", "Exalted Winterspring Frostsaber", 1, 0},</v>
      </c>
    </row>
    <row r="388" spans="1:14" x14ac:dyDescent="0.35">
      <c r="A388" s="2">
        <v>22723</v>
      </c>
      <c r="B388" t="s">
        <v>103</v>
      </c>
      <c r="C388" s="1" t="str">
        <f>VLOOKUP(Table1[[#This Row],[Name]],MountsByName[],2,FALSE)</f>
        <v>Saber</v>
      </c>
      <c r="D388" s="1">
        <f>VLOOKUP(Table1[[#This Row],[Name]],MountsByName[],3,FALSE)</f>
        <v>1</v>
      </c>
      <c r="E388" s="1">
        <f>VLOOKUP(Table1[[#This Row],[Name]],MountsByName[],4,FALSE)</f>
        <v>1</v>
      </c>
      <c r="F388" s="1">
        <f>VLOOKUP(Table1[[#This Row],[Name]],MountsByName[],5,FALSE)</f>
        <v>0</v>
      </c>
      <c r="G388" s="1">
        <f>VLOOKUP(Table1[[#This Row],[Name]],MountsByName[],6,FALSE)</f>
        <v>1</v>
      </c>
      <c r="H388" s="1">
        <f>VLOOKUP(Table1[[#This Row],[Name]],MountsByName[],7,FALSE)</f>
        <v>0</v>
      </c>
      <c r="I388" s="1">
        <f>VLOOKUP(Table1[[#This Row],[Name]],MountsByName[],8,FALSE)</f>
        <v>29471</v>
      </c>
      <c r="J388" s="1" t="str">
        <f>VLOOKUP(Table1[[#This Row],[Name]],MountsByName[],9,FALSE)</f>
        <v>Honor</v>
      </c>
      <c r="K388" s="1">
        <f>VLOOKUP(Table1[[#This Row],[Name]],MountsByName[],10,FALSE)</f>
        <v>1</v>
      </c>
      <c r="L388" s="1">
        <f>VLOOKUP(Table1[[#This Row],[Name]],MountsByName[],11,FALSE)</f>
        <v>0</v>
      </c>
      <c r="M388" s="1">
        <f>VLOOKUP(Table1[[#This Row],[Name]],MountsByName[],12,FALSE)</f>
        <v>1</v>
      </c>
      <c r="N38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[22723] ={"Black War Tiger", 22723, 29471, 1, 1, 0, "Saber", "Honor", 1, 0},</v>
      </c>
    </row>
    <row r="389" spans="1:14" x14ac:dyDescent="0.35">
      <c r="A389" s="2">
        <v>23219</v>
      </c>
      <c r="B389" t="s">
        <v>227</v>
      </c>
      <c r="C389" s="1" t="str">
        <f>VLOOKUP(Table1[[#This Row],[Name]],MountsByName[],2,FALSE)</f>
        <v>Saber</v>
      </c>
      <c r="D389" s="1">
        <f>VLOOKUP(Table1[[#This Row],[Name]],MountsByName[],3,FALSE)</f>
        <v>1</v>
      </c>
      <c r="E389" s="1">
        <f>VLOOKUP(Table1[[#This Row],[Name]],MountsByName[],4,FALSE)</f>
        <v>1</v>
      </c>
      <c r="F389" s="1">
        <f>VLOOKUP(Table1[[#This Row],[Name]],MountsByName[],5,FALSE)</f>
        <v>0</v>
      </c>
      <c r="G389" s="1">
        <f>VLOOKUP(Table1[[#This Row],[Name]],MountsByName[],6,FALSE)</f>
        <v>1</v>
      </c>
      <c r="H389" s="1">
        <f>VLOOKUP(Table1[[#This Row],[Name]],MountsByName[],7,FALSE)</f>
        <v>0</v>
      </c>
      <c r="I389" s="1">
        <f>VLOOKUP(Table1[[#This Row],[Name]],MountsByName[],8,FALSE)</f>
        <v>18767</v>
      </c>
      <c r="J389" s="1" t="str">
        <f>VLOOKUP(Table1[[#This Row],[Name]],MountsByName[],9,FALSE)</f>
        <v>Exalted Darnasses</v>
      </c>
      <c r="K389" s="1">
        <f>VLOOKUP(Table1[[#This Row],[Name]],MountsByName[],10,FALSE)</f>
        <v>1</v>
      </c>
      <c r="L389" s="1">
        <f>VLOOKUP(Table1[[#This Row],[Name]],MountsByName[],11,FALSE)</f>
        <v>0</v>
      </c>
      <c r="M389" s="1">
        <f>VLOOKUP(Table1[[#This Row],[Name]],MountsByName[],12,FALSE)</f>
        <v>1</v>
      </c>
      <c r="N38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[23219] ={"Swift Mistsaber", 23219, 18767, 1, 1, 0, "Saber", "Exalted Darnasses", 1, 0},</v>
      </c>
    </row>
    <row r="390" spans="1:14" x14ac:dyDescent="0.35">
      <c r="A390" s="2">
        <v>23221</v>
      </c>
      <c r="B390" t="s">
        <v>220</v>
      </c>
      <c r="C390" s="1" t="str">
        <f>VLOOKUP(Table1[[#This Row],[Name]],MountsByName[],2,FALSE)</f>
        <v>Saber</v>
      </c>
      <c r="D390" s="1">
        <f>VLOOKUP(Table1[[#This Row],[Name]],MountsByName[],3,FALSE)</f>
        <v>1</v>
      </c>
      <c r="E390" s="1">
        <f>VLOOKUP(Table1[[#This Row],[Name]],MountsByName[],4,FALSE)</f>
        <v>1</v>
      </c>
      <c r="F390" s="1">
        <f>VLOOKUP(Table1[[#This Row],[Name]],MountsByName[],5,FALSE)</f>
        <v>0</v>
      </c>
      <c r="G390" s="1">
        <f>VLOOKUP(Table1[[#This Row],[Name]],MountsByName[],6,FALSE)</f>
        <v>1</v>
      </c>
      <c r="H390" s="1">
        <f>VLOOKUP(Table1[[#This Row],[Name]],MountsByName[],7,FALSE)</f>
        <v>0</v>
      </c>
      <c r="I390" s="1">
        <f>VLOOKUP(Table1[[#This Row],[Name]],MountsByName[],8,FALSE)</f>
        <v>18766</v>
      </c>
      <c r="J390" s="1" t="str">
        <f>VLOOKUP(Table1[[#This Row],[Name]],MountsByName[],9,FALSE)</f>
        <v>Exalted Darnasses</v>
      </c>
      <c r="K390" s="1">
        <f>VLOOKUP(Table1[[#This Row],[Name]],MountsByName[],10,FALSE)</f>
        <v>1</v>
      </c>
      <c r="L390" s="1">
        <f>VLOOKUP(Table1[[#This Row],[Name]],MountsByName[],11,FALSE)</f>
        <v>0</v>
      </c>
      <c r="M390" s="1">
        <f>VLOOKUP(Table1[[#This Row],[Name]],MountsByName[],12,FALSE)</f>
        <v>1</v>
      </c>
      <c r="N39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[23221] ={"Swift Frostsaber", 23221, 18766, 1, 1, 0, "Saber", "Exalted Darnasses", 1, 0},</v>
      </c>
    </row>
    <row r="391" spans="1:14" x14ac:dyDescent="0.35">
      <c r="A391" s="2">
        <v>23338</v>
      </c>
      <c r="B391" t="s">
        <v>238</v>
      </c>
      <c r="C391" s="1" t="str">
        <f>VLOOKUP(Table1[[#This Row],[Name]],MountsByName[],2,FALSE)</f>
        <v>Saber</v>
      </c>
      <c r="D391" s="1">
        <f>VLOOKUP(Table1[[#This Row],[Name]],MountsByName[],3,FALSE)</f>
        <v>1</v>
      </c>
      <c r="E391" s="1">
        <f>VLOOKUP(Table1[[#This Row],[Name]],MountsByName[],4,FALSE)</f>
        <v>1</v>
      </c>
      <c r="F391" s="1">
        <f>VLOOKUP(Table1[[#This Row],[Name]],MountsByName[],5,FALSE)</f>
        <v>0</v>
      </c>
      <c r="G391" s="1">
        <f>VLOOKUP(Table1[[#This Row],[Name]],MountsByName[],6,FALSE)</f>
        <v>1</v>
      </c>
      <c r="H391" s="1">
        <f>VLOOKUP(Table1[[#This Row],[Name]],MountsByName[],7,FALSE)</f>
        <v>0</v>
      </c>
      <c r="I391" s="1">
        <f>VLOOKUP(Table1[[#This Row],[Name]],MountsByName[],8,FALSE)</f>
        <v>18902</v>
      </c>
      <c r="J391" s="1" t="str">
        <f>VLOOKUP(Table1[[#This Row],[Name]],MountsByName[],9,FALSE)</f>
        <v>Exalted Darnasses</v>
      </c>
      <c r="K391" s="1">
        <f>VLOOKUP(Table1[[#This Row],[Name]],MountsByName[],10,FALSE)</f>
        <v>1</v>
      </c>
      <c r="L391" s="1">
        <f>VLOOKUP(Table1[[#This Row],[Name]],MountsByName[],11,FALSE)</f>
        <v>0</v>
      </c>
      <c r="M391" s="1">
        <f>VLOOKUP(Table1[[#This Row],[Name]],MountsByName[],12,FALSE)</f>
        <v>1</v>
      </c>
      <c r="N391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[23338] ={"Swift Stormsaber", 23338, 18902, 1, 1, 0, "Saber", "Exalted Darnasses", 1, 0},</v>
      </c>
    </row>
    <row r="392" spans="1:14" x14ac:dyDescent="0.35">
      <c r="A392" s="2">
        <v>24252</v>
      </c>
      <c r="B392" t="s">
        <v>249</v>
      </c>
      <c r="C392" s="1" t="str">
        <f>VLOOKUP(Table1[[#This Row],[Name]],MountsByName[],2,FALSE)</f>
        <v>Saber</v>
      </c>
      <c r="D392" s="1">
        <f>VLOOKUP(Table1[[#This Row],[Name]],MountsByName[],3,FALSE)</f>
        <v>1</v>
      </c>
      <c r="E392" s="1">
        <f>VLOOKUP(Table1[[#This Row],[Name]],MountsByName[],4,FALSE)</f>
        <v>1</v>
      </c>
      <c r="F392" s="1">
        <f>VLOOKUP(Table1[[#This Row],[Name]],MountsByName[],5,FALSE)</f>
        <v>0</v>
      </c>
      <c r="G392" s="1">
        <f>VLOOKUP(Table1[[#This Row],[Name]],MountsByName[],6,FALSE)</f>
        <v>1</v>
      </c>
      <c r="H392" s="1">
        <f>VLOOKUP(Table1[[#This Row],[Name]],MountsByName[],7,FALSE)</f>
        <v>0</v>
      </c>
      <c r="I392" s="1">
        <f>VLOOKUP(Table1[[#This Row],[Name]],MountsByName[],8,FALSE)</f>
        <v>19902</v>
      </c>
      <c r="J392" s="1" t="str">
        <f>VLOOKUP(Table1[[#This Row],[Name]],MountsByName[],9,FALSE)</f>
        <v>Drop ZG</v>
      </c>
      <c r="K392" s="1">
        <f>VLOOKUP(Table1[[#This Row],[Name]],MountsByName[],10,FALSE)</f>
        <v>1</v>
      </c>
      <c r="L392" s="1">
        <f>VLOOKUP(Table1[[#This Row],[Name]],MountsByName[],11,FALSE)</f>
        <v>1</v>
      </c>
      <c r="M392" s="1">
        <f>VLOOKUP(Table1[[#This Row],[Name]],MountsByName[],12,FALSE)</f>
        <v>1</v>
      </c>
      <c r="N39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[24252] ={"Swift Zulian Tiger", 24252, 19902, 1, 1, 0, "Saber", "Drop ZG", 1, 0},</v>
      </c>
    </row>
    <row r="393" spans="1:14" x14ac:dyDescent="0.35">
      <c r="A393" s="2">
        <v>42776</v>
      </c>
      <c r="B393" t="s">
        <v>201</v>
      </c>
      <c r="C393" s="1" t="str">
        <f>VLOOKUP(Table1[[#This Row],[Name]],MountsByName[],2,FALSE)</f>
        <v>Saber</v>
      </c>
      <c r="D393" s="1">
        <f>VLOOKUP(Table1[[#This Row],[Name]],MountsByName[],3,FALSE)</f>
        <v>0.6</v>
      </c>
      <c r="E393" s="1">
        <f>VLOOKUP(Table1[[#This Row],[Name]],MountsByName[],4,FALSE)</f>
        <v>0.6</v>
      </c>
      <c r="F393" s="1">
        <f>VLOOKUP(Table1[[#This Row],[Name]],MountsByName[],5,FALSE)</f>
        <v>0</v>
      </c>
      <c r="G393" s="1">
        <f>VLOOKUP(Table1[[#This Row],[Name]],MountsByName[],6,FALSE)</f>
        <v>1</v>
      </c>
      <c r="H393" s="1">
        <f>VLOOKUP(Table1[[#This Row],[Name]],MountsByName[],7,FALSE)</f>
        <v>0</v>
      </c>
      <c r="I393" s="1">
        <f>VLOOKUP(Table1[[#This Row],[Name]],MountsByName[],8,FALSE)</f>
        <v>49283</v>
      </c>
      <c r="J393" s="1" t="str">
        <f>VLOOKUP(Table1[[#This Row],[Name]],MountsByName[],9,FALSE)</f>
        <v>TCG</v>
      </c>
      <c r="K393" s="1">
        <f>VLOOKUP(Table1[[#This Row],[Name]],MountsByName[],10,FALSE)</f>
        <v>1</v>
      </c>
      <c r="L393" s="1">
        <f>VLOOKUP(Table1[[#This Row],[Name]],MountsByName[],11,FALSE)</f>
        <v>1</v>
      </c>
      <c r="M393" s="1">
        <f>VLOOKUP(Table1[[#This Row],[Name]],MountsByName[],12,FALSE)</f>
        <v>1</v>
      </c>
      <c r="N39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[42776] ={"Spectral Tiger", 42776, 49283, 0.6, 0.6, 0, "Saber", "TCG", 1, 0},</v>
      </c>
    </row>
    <row r="394" spans="1:14" x14ac:dyDescent="0.35">
      <c r="A394" s="2">
        <v>42777</v>
      </c>
      <c r="B394" t="s">
        <v>237</v>
      </c>
      <c r="C394" s="1" t="str">
        <f>VLOOKUP(Table1[[#This Row],[Name]],MountsByName[],2,FALSE)</f>
        <v>Saber</v>
      </c>
      <c r="D394" s="1">
        <f>VLOOKUP(Table1[[#This Row],[Name]],MountsByName[],3,FALSE)</f>
        <v>1</v>
      </c>
      <c r="E394" s="1">
        <f>VLOOKUP(Table1[[#This Row],[Name]],MountsByName[],4,FALSE)</f>
        <v>1</v>
      </c>
      <c r="F394" s="1">
        <f>VLOOKUP(Table1[[#This Row],[Name]],MountsByName[],5,FALSE)</f>
        <v>0</v>
      </c>
      <c r="G394" s="1">
        <f>VLOOKUP(Table1[[#This Row],[Name]],MountsByName[],6,FALSE)</f>
        <v>1</v>
      </c>
      <c r="H394" s="1">
        <f>VLOOKUP(Table1[[#This Row],[Name]],MountsByName[],7,FALSE)</f>
        <v>0</v>
      </c>
      <c r="I394" s="1">
        <f>VLOOKUP(Table1[[#This Row],[Name]],MountsByName[],8,FALSE)</f>
        <v>49284</v>
      </c>
      <c r="J394" s="1" t="str">
        <f>VLOOKUP(Table1[[#This Row],[Name]],MountsByName[],9,FALSE)</f>
        <v>TCG</v>
      </c>
      <c r="K394" s="1">
        <f>VLOOKUP(Table1[[#This Row],[Name]],MountsByName[],10,FALSE)</f>
        <v>1</v>
      </c>
      <c r="L394" s="1">
        <f>VLOOKUP(Table1[[#This Row],[Name]],MountsByName[],11,FALSE)</f>
        <v>1</v>
      </c>
      <c r="M394" s="1">
        <f>VLOOKUP(Table1[[#This Row],[Name]],MountsByName[],12,FALSE)</f>
        <v>1</v>
      </c>
      <c r="N39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[42777] ={"Swift Spectral Tiger", 42777, 49284, 1, 1, 0, "Saber", "TCG", 1, 0},</v>
      </c>
    </row>
    <row r="395" spans="1:14" x14ac:dyDescent="0.35">
      <c r="A395" s="2">
        <v>63637</v>
      </c>
      <c r="B395" t="s">
        <v>132</v>
      </c>
      <c r="C395" s="1" t="str">
        <f>VLOOKUP(Table1[[#This Row],[Name]],MountsByName[],2,FALSE)</f>
        <v>Saber</v>
      </c>
      <c r="D395" s="1">
        <f>VLOOKUP(Table1[[#This Row],[Name]],MountsByName[],3,FALSE)</f>
        <v>1</v>
      </c>
      <c r="E395" s="1">
        <f>VLOOKUP(Table1[[#This Row],[Name]],MountsByName[],4,FALSE)</f>
        <v>1</v>
      </c>
      <c r="F395" s="1">
        <f>VLOOKUP(Table1[[#This Row],[Name]],MountsByName[],5,FALSE)</f>
        <v>0</v>
      </c>
      <c r="G395" s="1">
        <f>VLOOKUP(Table1[[#This Row],[Name]],MountsByName[],6,FALSE)</f>
        <v>1</v>
      </c>
      <c r="H395" s="1">
        <f>VLOOKUP(Table1[[#This Row],[Name]],MountsByName[],7,FALSE)</f>
        <v>0</v>
      </c>
      <c r="I395" s="1">
        <f>VLOOKUP(Table1[[#This Row],[Name]],MountsByName[],8,FALSE)</f>
        <v>45591</v>
      </c>
      <c r="J395" s="1" t="str">
        <f>VLOOKUP(Table1[[#This Row],[Name]],MountsByName[],9,FALSE)</f>
        <v>Champion's Seals</v>
      </c>
      <c r="K395" s="1">
        <f>VLOOKUP(Table1[[#This Row],[Name]],MountsByName[],10,FALSE)</f>
        <v>1</v>
      </c>
      <c r="L395" s="1">
        <f>VLOOKUP(Table1[[#This Row],[Name]],MountsByName[],11,FALSE)</f>
        <v>0</v>
      </c>
      <c r="M395" s="1">
        <f>VLOOKUP(Table1[[#This Row],[Name]],MountsByName[],12,FALSE)</f>
        <v>1</v>
      </c>
      <c r="N39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[63637] ={"Darnassian Nightsaber", 63637, 45591, 1, 1, 0, "Saber", "Champion's Seals", 1, 0},</v>
      </c>
    </row>
    <row r="396" spans="1:14" x14ac:dyDescent="0.35">
      <c r="A396" s="2">
        <v>65638</v>
      </c>
      <c r="B396" t="s">
        <v>228</v>
      </c>
      <c r="C396" s="1" t="str">
        <f>VLOOKUP(Table1[[#This Row],[Name]],MountsByName[],2,FALSE)</f>
        <v>Saber</v>
      </c>
      <c r="D396" s="1">
        <f>VLOOKUP(Table1[[#This Row],[Name]],MountsByName[],3,FALSE)</f>
        <v>1</v>
      </c>
      <c r="E396" s="1">
        <f>VLOOKUP(Table1[[#This Row],[Name]],MountsByName[],4,FALSE)</f>
        <v>1</v>
      </c>
      <c r="F396" s="1">
        <f>VLOOKUP(Table1[[#This Row],[Name]],MountsByName[],5,FALSE)</f>
        <v>0</v>
      </c>
      <c r="G396" s="1">
        <f>VLOOKUP(Table1[[#This Row],[Name]],MountsByName[],6,FALSE)</f>
        <v>1</v>
      </c>
      <c r="H396" s="1">
        <f>VLOOKUP(Table1[[#This Row],[Name]],MountsByName[],7,FALSE)</f>
        <v>0</v>
      </c>
      <c r="I396" s="1">
        <f>VLOOKUP(Table1[[#This Row],[Name]],MountsByName[],8,FALSE)</f>
        <v>46744</v>
      </c>
      <c r="J396" s="1" t="str">
        <f>VLOOKUP(Table1[[#This Row],[Name]],MountsByName[],9,FALSE)</f>
        <v>Champion's Seals</v>
      </c>
      <c r="K396" s="1">
        <f>VLOOKUP(Table1[[#This Row],[Name]],MountsByName[],10,FALSE)</f>
        <v>1</v>
      </c>
      <c r="L396" s="1">
        <f>VLOOKUP(Table1[[#This Row],[Name]],MountsByName[],11,FALSE)</f>
        <v>0</v>
      </c>
      <c r="M396" s="1">
        <f>VLOOKUP(Table1[[#This Row],[Name]],MountsByName[],12,FALSE)</f>
        <v>1</v>
      </c>
      <c r="N39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[65638] ={"Swift Moonsaber", 65638, 46744, 1, 1, 0, "Saber", "Champion's Seals", 1, 0},</v>
      </c>
    </row>
    <row r="397" spans="1:14" x14ac:dyDescent="0.35">
      <c r="A397" s="2">
        <v>66847</v>
      </c>
      <c r="B397" t="s">
        <v>206</v>
      </c>
      <c r="C397" s="1" t="str">
        <f>VLOOKUP(Table1[[#This Row],[Name]],MountsByName[],2,FALSE)</f>
        <v>Saber</v>
      </c>
      <c r="D397" s="1">
        <f>VLOOKUP(Table1[[#This Row],[Name]],MountsByName[],3,FALSE)</f>
        <v>0.6</v>
      </c>
      <c r="E397" s="1">
        <f>VLOOKUP(Table1[[#This Row],[Name]],MountsByName[],4,FALSE)</f>
        <v>0.6</v>
      </c>
      <c r="F397" s="1">
        <f>VLOOKUP(Table1[[#This Row],[Name]],MountsByName[],5,FALSE)</f>
        <v>0</v>
      </c>
      <c r="G397" s="1">
        <f>VLOOKUP(Table1[[#This Row],[Name]],MountsByName[],6,FALSE)</f>
        <v>1</v>
      </c>
      <c r="H397" s="1">
        <f>VLOOKUP(Table1[[#This Row],[Name]],MountsByName[],7,FALSE)</f>
        <v>0</v>
      </c>
      <c r="I397" s="1">
        <f>VLOOKUP(Table1[[#This Row],[Name]],MountsByName[],8,FALSE)</f>
        <v>47100</v>
      </c>
      <c r="J397" s="1" t="str">
        <f>VLOOKUP(Table1[[#This Row],[Name]],MountsByName[],9,FALSE)</f>
        <v>Exalted Darnasses</v>
      </c>
      <c r="K397" s="1">
        <f>VLOOKUP(Table1[[#This Row],[Name]],MountsByName[],10,FALSE)</f>
        <v>1</v>
      </c>
      <c r="L397" s="1">
        <f>VLOOKUP(Table1[[#This Row],[Name]],MountsByName[],11,FALSE)</f>
        <v>0</v>
      </c>
      <c r="M397" s="1">
        <f>VLOOKUP(Table1[[#This Row],[Name]],MountsByName[],12,FALSE)</f>
        <v>1</v>
      </c>
      <c r="N39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[66847] ={"Striped Dawnsaber", 66847, 47100, 0.6, 0.6, 0, "Saber", "Exalted Darnasses", 1, 0},</v>
      </c>
    </row>
    <row r="398" spans="1:14" x14ac:dyDescent="0.35">
      <c r="A398" s="2">
        <v>96499</v>
      </c>
      <c r="B398" t="s">
        <v>487</v>
      </c>
      <c r="C398" s="1" t="str">
        <f>VLOOKUP(Table1[[#This Row],[Name]],MountsByName[],2,FALSE)</f>
        <v>Saber</v>
      </c>
      <c r="D398" s="1">
        <f>VLOOKUP(Table1[[#This Row],[Name]],MountsByName[],3,FALSE)</f>
        <v>1</v>
      </c>
      <c r="E398" s="1">
        <f>VLOOKUP(Table1[[#This Row],[Name]],MountsByName[],4,FALSE)</f>
        <v>1</v>
      </c>
      <c r="F398" s="1">
        <f>VLOOKUP(Table1[[#This Row],[Name]],MountsByName[],5,FALSE)</f>
        <v>0</v>
      </c>
      <c r="G398" s="1">
        <f>VLOOKUP(Table1[[#This Row],[Name]],MountsByName[],6,FALSE)</f>
        <v>1</v>
      </c>
      <c r="H398" s="1">
        <f>VLOOKUP(Table1[[#This Row],[Name]],MountsByName[],7,FALSE)</f>
        <v>0</v>
      </c>
      <c r="I398" s="1">
        <f>VLOOKUP(Table1[[#This Row],[Name]],MountsByName[],8,FALSE)</f>
        <v>0</v>
      </c>
      <c r="J398" s="1">
        <f>VLOOKUP(Table1[[#This Row],[Name]],MountsByName[],9,FALSE)</f>
        <v>0</v>
      </c>
      <c r="K398" s="1">
        <f>VLOOKUP(Table1[[#This Row],[Name]],MountsByName[],10,FALSE)</f>
        <v>0</v>
      </c>
      <c r="L398" s="1">
        <f>VLOOKUP(Table1[[#This Row],[Name]],MountsByName[],11,FALSE)</f>
        <v>0</v>
      </c>
      <c r="M398" s="1">
        <f>VLOOKUP(Table1[[#This Row],[Name]],MountsByName[],12,FALSE)</f>
        <v>1</v>
      </c>
      <c r="N39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[96499] ={"Swift Zulian Panther", 96499, 0, 1, 1, 0, "Saber", "0", 1, 0},</v>
      </c>
    </row>
    <row r="399" spans="1:14" x14ac:dyDescent="0.35">
      <c r="A399" s="2">
        <v>102346</v>
      </c>
      <c r="B399" t="s">
        <v>901</v>
      </c>
      <c r="C399" s="1" t="str">
        <f>VLOOKUP(Table1[[#This Row],[Name]],MountsByName[],2,FALSE)</f>
        <v>saber</v>
      </c>
      <c r="D399" s="1">
        <f>VLOOKUP(Table1[[#This Row],[Name]],MountsByName[],3,FALSE)</f>
        <v>1</v>
      </c>
      <c r="E399" s="1">
        <f>VLOOKUP(Table1[[#This Row],[Name]],MountsByName[],4,FALSE)</f>
        <v>1</v>
      </c>
      <c r="F399" s="1">
        <f>VLOOKUP(Table1[[#This Row],[Name]],MountsByName[],5,FALSE)</f>
        <v>0</v>
      </c>
      <c r="G399" s="1">
        <f>VLOOKUP(Table1[[#This Row],[Name]],MountsByName[],6,FALSE)</f>
        <v>1</v>
      </c>
      <c r="H399" s="1">
        <f>VLOOKUP(Table1[[#This Row],[Name]],MountsByName[],7,FALSE)</f>
        <v>0</v>
      </c>
      <c r="I399" s="1">
        <f>VLOOKUP(Table1[[#This Row],[Name]],MountsByName[],8,FALSE)</f>
        <v>0</v>
      </c>
      <c r="J399" s="1">
        <f>VLOOKUP(Table1[[#This Row],[Name]],MountsByName[],9,FALSE)</f>
        <v>0</v>
      </c>
      <c r="K399" s="1">
        <f>VLOOKUP(Table1[[#This Row],[Name]],MountsByName[],10,FALSE)</f>
        <v>0</v>
      </c>
      <c r="L399" s="1">
        <f>VLOOKUP(Table1[[#This Row],[Name]],MountsByName[],11,FALSE)</f>
        <v>0</v>
      </c>
      <c r="M399" s="1">
        <f>VLOOKUP(Table1[[#This Row],[Name]],MountsByName[],12,FALSE)</f>
        <v>1</v>
      </c>
      <c r="N39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[102346] ={"Swift Forest Strider", 102346, 0, 1, 1, 0, "saber", "0", 1, 0},</v>
      </c>
    </row>
    <row r="400" spans="1:14" x14ac:dyDescent="0.35">
      <c r="A400" s="2">
        <v>120043</v>
      </c>
      <c r="B400" t="s">
        <v>1141</v>
      </c>
      <c r="C400" s="1" t="str">
        <f>VLOOKUP(Table1[[#This Row],[Name]],MountsByName[],2,FALSE)</f>
        <v>Saber</v>
      </c>
      <c r="D400" s="1">
        <f>VLOOKUP(Table1[[#This Row],[Name]],MountsByName[],3,FALSE)</f>
        <v>1</v>
      </c>
      <c r="E400" s="1">
        <f>VLOOKUP(Table1[[#This Row],[Name]],MountsByName[],4,FALSE)</f>
        <v>1</v>
      </c>
      <c r="F400" s="1">
        <f>VLOOKUP(Table1[[#This Row],[Name]],MountsByName[],5,FALSE)</f>
        <v>0</v>
      </c>
      <c r="G400" s="1">
        <f>VLOOKUP(Table1[[#This Row],[Name]],MountsByName[],6,FALSE)</f>
        <v>1</v>
      </c>
      <c r="H400" s="1">
        <f>VLOOKUP(Table1[[#This Row],[Name]],MountsByName[],7,FALSE)</f>
        <v>0</v>
      </c>
      <c r="I400" s="1">
        <f>VLOOKUP(Table1[[#This Row],[Name]],MountsByName[],8,FALSE)</f>
        <v>0</v>
      </c>
      <c r="J400" s="1">
        <f>VLOOKUP(Table1[[#This Row],[Name]],MountsByName[],9,FALSE)</f>
        <v>0</v>
      </c>
      <c r="K400" s="1">
        <f>VLOOKUP(Table1[[#This Row],[Name]],MountsByName[],10,FALSE)</f>
        <v>0</v>
      </c>
      <c r="L400" s="1">
        <f>VLOOKUP(Table1[[#This Row],[Name]],MountsByName[],11,FALSE)</f>
        <v>0</v>
      </c>
      <c r="M400" s="1">
        <f>VLOOKUP(Table1[[#This Row],[Name]],MountsByName[],12,FALSE)</f>
        <v>1</v>
      </c>
      <c r="N40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[120043] ={"Jeweled Onyx Panther", 120043, 0, 1, 1, 0, "Saber", "0", 1, 0},</v>
      </c>
    </row>
    <row r="401" spans="1:14" x14ac:dyDescent="0.35">
      <c r="A401" s="2">
        <v>121836</v>
      </c>
      <c r="B401" t="s">
        <v>1151</v>
      </c>
      <c r="C401" s="1" t="str">
        <f>VLOOKUP(Table1[[#This Row],[Name]],MountsByName[],2,FALSE)</f>
        <v>Saber</v>
      </c>
      <c r="D401" s="1">
        <f>VLOOKUP(Table1[[#This Row],[Name]],MountsByName[],3,FALSE)</f>
        <v>1</v>
      </c>
      <c r="E401" s="1">
        <f>VLOOKUP(Table1[[#This Row],[Name]],MountsByName[],4,FALSE)</f>
        <v>1</v>
      </c>
      <c r="F401" s="1">
        <f>VLOOKUP(Table1[[#This Row],[Name]],MountsByName[],5,FALSE)</f>
        <v>0</v>
      </c>
      <c r="G401" s="1">
        <f>VLOOKUP(Table1[[#This Row],[Name]],MountsByName[],6,FALSE)</f>
        <v>1</v>
      </c>
      <c r="H401" s="1">
        <f>VLOOKUP(Table1[[#This Row],[Name]],MountsByName[],7,FALSE)</f>
        <v>0</v>
      </c>
      <c r="I401" s="1">
        <f>VLOOKUP(Table1[[#This Row],[Name]],MountsByName[],8,FALSE)</f>
        <v>0</v>
      </c>
      <c r="J401" s="1">
        <f>VLOOKUP(Table1[[#This Row],[Name]],MountsByName[],9,FALSE)</f>
        <v>0</v>
      </c>
      <c r="K401" s="1">
        <f>VLOOKUP(Table1[[#This Row],[Name]],MountsByName[],10,FALSE)</f>
        <v>0</v>
      </c>
      <c r="L401" s="1">
        <f>VLOOKUP(Table1[[#This Row],[Name]],MountsByName[],11,FALSE)</f>
        <v>0</v>
      </c>
      <c r="M401" s="1">
        <f>VLOOKUP(Table1[[#This Row],[Name]],MountsByName[],12,FALSE)</f>
        <v>1</v>
      </c>
      <c r="N401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[121836] ={"Sapphire Panther", 121836, 0, 1, 1, 0, "Saber", "0", 1, 0},</v>
      </c>
    </row>
    <row r="402" spans="1:14" x14ac:dyDescent="0.35">
      <c r="A402" s="2">
        <v>121837</v>
      </c>
      <c r="B402" t="s">
        <v>1153</v>
      </c>
      <c r="C402" s="1" t="str">
        <f>VLOOKUP(Table1[[#This Row],[Name]],MountsByName[],2,FALSE)</f>
        <v>Saber</v>
      </c>
      <c r="D402" s="1">
        <f>VLOOKUP(Table1[[#This Row],[Name]],MountsByName[],3,FALSE)</f>
        <v>1</v>
      </c>
      <c r="E402" s="1">
        <f>VLOOKUP(Table1[[#This Row],[Name]],MountsByName[],4,FALSE)</f>
        <v>1</v>
      </c>
      <c r="F402" s="1">
        <f>VLOOKUP(Table1[[#This Row],[Name]],MountsByName[],5,FALSE)</f>
        <v>0</v>
      </c>
      <c r="G402" s="1">
        <f>VLOOKUP(Table1[[#This Row],[Name]],MountsByName[],6,FALSE)</f>
        <v>1</v>
      </c>
      <c r="H402" s="1">
        <f>VLOOKUP(Table1[[#This Row],[Name]],MountsByName[],7,FALSE)</f>
        <v>0</v>
      </c>
      <c r="I402" s="1">
        <f>VLOOKUP(Table1[[#This Row],[Name]],MountsByName[],8,FALSE)</f>
        <v>0</v>
      </c>
      <c r="J402" s="1">
        <f>VLOOKUP(Table1[[#This Row],[Name]],MountsByName[],9,FALSE)</f>
        <v>0</v>
      </c>
      <c r="K402" s="1">
        <f>VLOOKUP(Table1[[#This Row],[Name]],MountsByName[],10,FALSE)</f>
        <v>0</v>
      </c>
      <c r="L402" s="1">
        <f>VLOOKUP(Table1[[#This Row],[Name]],MountsByName[],11,FALSE)</f>
        <v>0</v>
      </c>
      <c r="M402" s="1">
        <f>VLOOKUP(Table1[[#This Row],[Name]],MountsByName[],12,FALSE)</f>
        <v>1</v>
      </c>
      <c r="N40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[121837] ={"Jade Panther", 121837, 0, 1, 1, 0, "Saber", "0", 1, 0},</v>
      </c>
    </row>
    <row r="403" spans="1:14" x14ac:dyDescent="0.35">
      <c r="A403" s="2">
        <v>121838</v>
      </c>
      <c r="B403" t="s">
        <v>1138</v>
      </c>
      <c r="C403" s="1" t="str">
        <f>VLOOKUP(Table1[[#This Row],[Name]],MountsByName[],2,FALSE)</f>
        <v>Saber</v>
      </c>
      <c r="D403" s="1">
        <f>VLOOKUP(Table1[[#This Row],[Name]],MountsByName[],3,FALSE)</f>
        <v>1</v>
      </c>
      <c r="E403" s="1">
        <f>VLOOKUP(Table1[[#This Row],[Name]],MountsByName[],4,FALSE)</f>
        <v>1</v>
      </c>
      <c r="F403" s="1">
        <f>VLOOKUP(Table1[[#This Row],[Name]],MountsByName[],5,FALSE)</f>
        <v>0</v>
      </c>
      <c r="G403" s="1">
        <f>VLOOKUP(Table1[[#This Row],[Name]],MountsByName[],6,FALSE)</f>
        <v>1</v>
      </c>
      <c r="H403" s="1">
        <f>VLOOKUP(Table1[[#This Row],[Name]],MountsByName[],7,FALSE)</f>
        <v>0</v>
      </c>
      <c r="I403" s="1">
        <f>VLOOKUP(Table1[[#This Row],[Name]],MountsByName[],8,FALSE)</f>
        <v>0</v>
      </c>
      <c r="J403" s="1">
        <f>VLOOKUP(Table1[[#This Row],[Name]],MountsByName[],9,FALSE)</f>
        <v>0</v>
      </c>
      <c r="K403" s="1">
        <f>VLOOKUP(Table1[[#This Row],[Name]],MountsByName[],10,FALSE)</f>
        <v>0</v>
      </c>
      <c r="L403" s="1">
        <f>VLOOKUP(Table1[[#This Row],[Name]],MountsByName[],11,FALSE)</f>
        <v>0</v>
      </c>
      <c r="M403" s="1">
        <f>VLOOKUP(Table1[[#This Row],[Name]],MountsByName[],12,FALSE)</f>
        <v>1</v>
      </c>
      <c r="N40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[121838] ={"Ruby Panther", 121838, 0, 1, 1, 0, "Saber", "0", 1, 0},</v>
      </c>
    </row>
    <row r="404" spans="1:14" x14ac:dyDescent="0.35">
      <c r="A404" s="2">
        <v>121839</v>
      </c>
      <c r="B404" t="s">
        <v>1137</v>
      </c>
      <c r="C404" s="1" t="str">
        <f>VLOOKUP(Table1[[#This Row],[Name]],MountsByName[],2,FALSE)</f>
        <v>Saber</v>
      </c>
      <c r="D404" s="1">
        <f>VLOOKUP(Table1[[#This Row],[Name]],MountsByName[],3,FALSE)</f>
        <v>1</v>
      </c>
      <c r="E404" s="1">
        <f>VLOOKUP(Table1[[#This Row],[Name]],MountsByName[],4,FALSE)</f>
        <v>1</v>
      </c>
      <c r="F404" s="1">
        <f>VLOOKUP(Table1[[#This Row],[Name]],MountsByName[],5,FALSE)</f>
        <v>0</v>
      </c>
      <c r="G404" s="1">
        <f>VLOOKUP(Table1[[#This Row],[Name]],MountsByName[],6,FALSE)</f>
        <v>1</v>
      </c>
      <c r="H404" s="1">
        <f>VLOOKUP(Table1[[#This Row],[Name]],MountsByName[],7,FALSE)</f>
        <v>0</v>
      </c>
      <c r="I404" s="1">
        <f>VLOOKUP(Table1[[#This Row],[Name]],MountsByName[],8,FALSE)</f>
        <v>0</v>
      </c>
      <c r="J404" s="1">
        <f>VLOOKUP(Table1[[#This Row],[Name]],MountsByName[],9,FALSE)</f>
        <v>0</v>
      </c>
      <c r="K404" s="1">
        <f>VLOOKUP(Table1[[#This Row],[Name]],MountsByName[],10,FALSE)</f>
        <v>0</v>
      </c>
      <c r="L404" s="1">
        <f>VLOOKUP(Table1[[#This Row],[Name]],MountsByName[],11,FALSE)</f>
        <v>0</v>
      </c>
      <c r="M404" s="1">
        <f>VLOOKUP(Table1[[#This Row],[Name]],MountsByName[],12,FALSE)</f>
        <v>1</v>
      </c>
      <c r="N40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[121839] ={"Sunstone Panther", 121839, 0, 1, 1, 0, "Saber", "0", 1, 0},</v>
      </c>
    </row>
    <row r="405" spans="1:14" x14ac:dyDescent="0.35">
      <c r="A405" s="2">
        <v>129932</v>
      </c>
      <c r="B405" t="s">
        <v>1096</v>
      </c>
      <c r="C405" s="1" t="str">
        <f>VLOOKUP(Table1[[#This Row],[Name]],MountsByName[],2,FALSE)</f>
        <v>Saber</v>
      </c>
      <c r="D405" s="1">
        <f>VLOOKUP(Table1[[#This Row],[Name]],MountsByName[],3,FALSE)</f>
        <v>1</v>
      </c>
      <c r="E405" s="1">
        <f>VLOOKUP(Table1[[#This Row],[Name]],MountsByName[],4,FALSE)</f>
        <v>1</v>
      </c>
      <c r="F405" s="1">
        <f>VLOOKUP(Table1[[#This Row],[Name]],MountsByName[],5,FALSE)</f>
        <v>0</v>
      </c>
      <c r="G405" s="1">
        <f>VLOOKUP(Table1[[#This Row],[Name]],MountsByName[],6,FALSE)</f>
        <v>1</v>
      </c>
      <c r="H405" s="1">
        <f>VLOOKUP(Table1[[#This Row],[Name]],MountsByName[],7,FALSE)</f>
        <v>0</v>
      </c>
      <c r="I405" s="1">
        <f>VLOOKUP(Table1[[#This Row],[Name]],MountsByName[],8,FALSE)</f>
        <v>0</v>
      </c>
      <c r="J405" s="1">
        <f>VLOOKUP(Table1[[#This Row],[Name]],MountsByName[],9,FALSE)</f>
        <v>0</v>
      </c>
      <c r="K405" s="1">
        <f>VLOOKUP(Table1[[#This Row],[Name]],MountsByName[],10,FALSE)</f>
        <v>0</v>
      </c>
      <c r="L405" s="1">
        <f>VLOOKUP(Table1[[#This Row],[Name]],MountsByName[],11,FALSE)</f>
        <v>0</v>
      </c>
      <c r="M405" s="1">
        <f>VLOOKUP(Table1[[#This Row],[Name]],MountsByName[],12,FALSE)</f>
        <v>1</v>
      </c>
      <c r="N40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[129932] ={"Green Shado-Pan Riding Tiger", 129932, 0, 1, 1, 0, "Saber", "0", 1, 0},</v>
      </c>
    </row>
    <row r="406" spans="1:14" x14ac:dyDescent="0.35">
      <c r="A406" s="2">
        <v>129934</v>
      </c>
      <c r="B406" t="s">
        <v>1127</v>
      </c>
      <c r="C406" s="1" t="str">
        <f>VLOOKUP(Table1[[#This Row],[Name]],MountsByName[],2,FALSE)</f>
        <v>Saber</v>
      </c>
      <c r="D406" s="1">
        <f>VLOOKUP(Table1[[#This Row],[Name]],MountsByName[],3,FALSE)</f>
        <v>1</v>
      </c>
      <c r="E406" s="1">
        <f>VLOOKUP(Table1[[#This Row],[Name]],MountsByName[],4,FALSE)</f>
        <v>1</v>
      </c>
      <c r="F406" s="1">
        <f>VLOOKUP(Table1[[#This Row],[Name]],MountsByName[],5,FALSE)</f>
        <v>0</v>
      </c>
      <c r="G406" s="1">
        <f>VLOOKUP(Table1[[#This Row],[Name]],MountsByName[],6,FALSE)</f>
        <v>1</v>
      </c>
      <c r="H406" s="1">
        <f>VLOOKUP(Table1[[#This Row],[Name]],MountsByName[],7,FALSE)</f>
        <v>0</v>
      </c>
      <c r="I406" s="1">
        <f>VLOOKUP(Table1[[#This Row],[Name]],MountsByName[],8,FALSE)</f>
        <v>0</v>
      </c>
      <c r="J406" s="1">
        <f>VLOOKUP(Table1[[#This Row],[Name]],MountsByName[],9,FALSE)</f>
        <v>0</v>
      </c>
      <c r="K406" s="1">
        <f>VLOOKUP(Table1[[#This Row],[Name]],MountsByName[],10,FALSE)</f>
        <v>0</v>
      </c>
      <c r="L406" s="1">
        <f>VLOOKUP(Table1[[#This Row],[Name]],MountsByName[],11,FALSE)</f>
        <v>0</v>
      </c>
      <c r="M406" s="1">
        <f>VLOOKUP(Table1[[#This Row],[Name]],MountsByName[],12,FALSE)</f>
        <v>1</v>
      </c>
      <c r="N40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[129934] ={"Blue Shado-Pan Riding Tiger", 129934, 0, 1, 1, 0, "Saber", "0", 1, 0},</v>
      </c>
    </row>
    <row r="407" spans="1:14" x14ac:dyDescent="0.35">
      <c r="A407" s="2">
        <v>129935</v>
      </c>
      <c r="B407" t="s">
        <v>1126</v>
      </c>
      <c r="C407" s="1" t="str">
        <f>VLOOKUP(Table1[[#This Row],[Name]],MountsByName[],2,FALSE)</f>
        <v>Saber</v>
      </c>
      <c r="D407" s="1">
        <f>VLOOKUP(Table1[[#This Row],[Name]],MountsByName[],3,FALSE)</f>
        <v>1</v>
      </c>
      <c r="E407" s="1">
        <f>VLOOKUP(Table1[[#This Row],[Name]],MountsByName[],4,FALSE)</f>
        <v>1</v>
      </c>
      <c r="F407" s="1">
        <f>VLOOKUP(Table1[[#This Row],[Name]],MountsByName[],5,FALSE)</f>
        <v>0</v>
      </c>
      <c r="G407" s="1">
        <f>VLOOKUP(Table1[[#This Row],[Name]],MountsByName[],6,FALSE)</f>
        <v>1</v>
      </c>
      <c r="H407" s="1">
        <f>VLOOKUP(Table1[[#This Row],[Name]],MountsByName[],7,FALSE)</f>
        <v>0</v>
      </c>
      <c r="I407" s="1">
        <f>VLOOKUP(Table1[[#This Row],[Name]],MountsByName[],8,FALSE)</f>
        <v>0</v>
      </c>
      <c r="J407" s="1">
        <f>VLOOKUP(Table1[[#This Row],[Name]],MountsByName[],9,FALSE)</f>
        <v>0</v>
      </c>
      <c r="K407" s="1">
        <f>VLOOKUP(Table1[[#This Row],[Name]],MountsByName[],10,FALSE)</f>
        <v>0</v>
      </c>
      <c r="L407" s="1">
        <f>VLOOKUP(Table1[[#This Row],[Name]],MountsByName[],11,FALSE)</f>
        <v>0</v>
      </c>
      <c r="M407" s="1">
        <f>VLOOKUP(Table1[[#This Row],[Name]],MountsByName[],12,FALSE)</f>
        <v>1</v>
      </c>
      <c r="N40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[129935] ={"Red Shado-Pan Riding Tiger", 129935, 0, 1, 1, 0, "Saber", "0", 1, 0},</v>
      </c>
    </row>
    <row r="408" spans="1:14" x14ac:dyDescent="0.35">
      <c r="A408" s="2">
        <v>146615</v>
      </c>
      <c r="B408" t="s">
        <v>1100</v>
      </c>
      <c r="C408" s="1" t="str">
        <f>VLOOKUP(Table1[[#This Row],[Name]],MountsByName[],2,FALSE)</f>
        <v>Saber</v>
      </c>
      <c r="D408" s="1">
        <f>VLOOKUP(Table1[[#This Row],[Name]],MountsByName[],3,FALSE)</f>
        <v>1</v>
      </c>
      <c r="E408" s="1">
        <f>VLOOKUP(Table1[[#This Row],[Name]],MountsByName[],4,FALSE)</f>
        <v>1</v>
      </c>
      <c r="F408" s="1">
        <f>VLOOKUP(Table1[[#This Row],[Name]],MountsByName[],5,FALSE)</f>
        <v>0</v>
      </c>
      <c r="G408" s="1">
        <f>VLOOKUP(Table1[[#This Row],[Name]],MountsByName[],6,FALSE)</f>
        <v>1</v>
      </c>
      <c r="H408" s="1">
        <f>VLOOKUP(Table1[[#This Row],[Name]],MountsByName[],7,FALSE)</f>
        <v>0</v>
      </c>
      <c r="I408" s="1">
        <f>VLOOKUP(Table1[[#This Row],[Name]],MountsByName[],8,FALSE)</f>
        <v>0</v>
      </c>
      <c r="J408" s="1">
        <f>VLOOKUP(Table1[[#This Row],[Name]],MountsByName[],9,FALSE)</f>
        <v>0</v>
      </c>
      <c r="K408" s="1">
        <f>VLOOKUP(Table1[[#This Row],[Name]],MountsByName[],10,FALSE)</f>
        <v>0</v>
      </c>
      <c r="L408" s="1">
        <f>VLOOKUP(Table1[[#This Row],[Name]],MountsByName[],11,FALSE)</f>
        <v>0</v>
      </c>
      <c r="M408" s="1">
        <f>VLOOKUP(Table1[[#This Row],[Name]],MountsByName[],12,FALSE)</f>
        <v>1</v>
      </c>
      <c r="N40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[146615] ={"Vicious Warsaber", 146615, 0, 1, 1, 0, "Saber", "0", 1, 0},</v>
      </c>
    </row>
    <row r="409" spans="1:14" x14ac:dyDescent="0.35">
      <c r="A409" s="2">
        <v>473478</v>
      </c>
      <c r="B409" t="s">
        <v>523</v>
      </c>
      <c r="C409" s="1" t="str">
        <f>VLOOKUP(Table1[[#This Row],[Name]],MountsByName[],2,FALSE)</f>
        <v>Saber</v>
      </c>
      <c r="D409" s="1">
        <f>VLOOKUP(Table1[[#This Row],[Name]],MountsByName[],3,FALSE)</f>
        <v>1</v>
      </c>
      <c r="E409" s="1">
        <f>VLOOKUP(Table1[[#This Row],[Name]],MountsByName[],4,FALSE)</f>
        <v>1</v>
      </c>
      <c r="F409" s="1">
        <f>VLOOKUP(Table1[[#This Row],[Name]],MountsByName[],5,FALSE)</f>
        <v>0</v>
      </c>
      <c r="G409" s="1">
        <f>VLOOKUP(Table1[[#This Row],[Name]],MountsByName[],6,FALSE)</f>
        <v>1</v>
      </c>
      <c r="H409" s="1">
        <f>VLOOKUP(Table1[[#This Row],[Name]],MountsByName[],7,FALSE)</f>
        <v>0</v>
      </c>
      <c r="I409" s="1">
        <f>VLOOKUP(Table1[[#This Row],[Name]],MountsByName[],8,FALSE)</f>
        <v>0</v>
      </c>
      <c r="J409" s="1">
        <f>VLOOKUP(Table1[[#This Row],[Name]],MountsByName[],9,FALSE)</f>
        <v>0</v>
      </c>
      <c r="K409" s="1">
        <f>VLOOKUP(Table1[[#This Row],[Name]],MountsByName[],10,FALSE)</f>
        <v>0</v>
      </c>
      <c r="L409" s="1">
        <f>VLOOKUP(Table1[[#This Row],[Name]],MountsByName[],11,FALSE)</f>
        <v>0</v>
      </c>
      <c r="M409" s="1">
        <f>VLOOKUP(Table1[[#This Row],[Name]],MountsByName[],12,FALSE)</f>
        <v>1</v>
      </c>
      <c r="N40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[473478] ={"Sha-Touched Riding Tiger", 473478, 0, 1, 1, 0, "Saber", "0", 1, 0},</v>
      </c>
    </row>
    <row r="410" spans="1:14" x14ac:dyDescent="0.35">
      <c r="A410" s="2">
        <v>93644</v>
      </c>
      <c r="B410" t="s">
        <v>519</v>
      </c>
      <c r="C410" s="1" t="str">
        <f>VLOOKUP(Table1[[#This Row],[Name]],MountsByName[],2,FALSE)</f>
        <v>Scorpion</v>
      </c>
      <c r="D410" s="1">
        <f>VLOOKUP(Table1[[#This Row],[Name]],MountsByName[],3,FALSE)</f>
        <v>1</v>
      </c>
      <c r="E410" s="1">
        <f>VLOOKUP(Table1[[#This Row],[Name]],MountsByName[],4,FALSE)</f>
        <v>1</v>
      </c>
      <c r="F410" s="1">
        <f>VLOOKUP(Table1[[#This Row],[Name]],MountsByName[],5,FALSE)</f>
        <v>0</v>
      </c>
      <c r="G410" s="1">
        <f>VLOOKUP(Table1[[#This Row],[Name]],MountsByName[],6,FALSE)</f>
        <v>1</v>
      </c>
      <c r="H410" s="1">
        <f>VLOOKUP(Table1[[#This Row],[Name]],MountsByName[],7,FALSE)</f>
        <v>0</v>
      </c>
      <c r="I410" s="1">
        <f>VLOOKUP(Table1[[#This Row],[Name]],MountsByName[],8,FALSE)</f>
        <v>0</v>
      </c>
      <c r="J410" s="1">
        <f>VLOOKUP(Table1[[#This Row],[Name]],MountsByName[],9,FALSE)</f>
        <v>0</v>
      </c>
      <c r="K410" s="1">
        <f>VLOOKUP(Table1[[#This Row],[Name]],MountsByName[],10,FALSE)</f>
        <v>0</v>
      </c>
      <c r="L410" s="1">
        <f>VLOOKUP(Table1[[#This Row],[Name]],MountsByName[],11,FALSE)</f>
        <v>0</v>
      </c>
      <c r="M410" s="1">
        <f>VLOOKUP(Table1[[#This Row],[Name]],MountsByName[],12,FALSE)</f>
        <v>1</v>
      </c>
      <c r="N41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[93644] ={"Kor'kron Annihilator", 93644, 0, 1, 1, 0, "Scorpion", "0", 1, 0},</v>
      </c>
    </row>
    <row r="411" spans="1:14" x14ac:dyDescent="0.35">
      <c r="A411" s="2">
        <v>123886</v>
      </c>
      <c r="B411" t="s">
        <v>1136</v>
      </c>
      <c r="C411" s="1" t="str">
        <f>VLOOKUP(Table1[[#This Row],[Name]],MountsByName[],2,FALSE)</f>
        <v>Scorpion</v>
      </c>
      <c r="D411" s="1">
        <f>VLOOKUP(Table1[[#This Row],[Name]],MountsByName[],3,FALSE)</f>
        <v>1</v>
      </c>
      <c r="E411" s="1">
        <f>VLOOKUP(Table1[[#This Row],[Name]],MountsByName[],4,FALSE)</f>
        <v>1</v>
      </c>
      <c r="F411" s="1">
        <f>VLOOKUP(Table1[[#This Row],[Name]],MountsByName[],5,FALSE)</f>
        <v>0</v>
      </c>
      <c r="G411" s="1">
        <f>VLOOKUP(Table1[[#This Row],[Name]],MountsByName[],6,FALSE)</f>
        <v>1</v>
      </c>
      <c r="H411" s="1">
        <f>VLOOKUP(Table1[[#This Row],[Name]],MountsByName[],7,FALSE)</f>
        <v>0</v>
      </c>
      <c r="I411" s="1">
        <f>VLOOKUP(Table1[[#This Row],[Name]],MountsByName[],8,FALSE)</f>
        <v>0</v>
      </c>
      <c r="J411" s="1">
        <f>VLOOKUP(Table1[[#This Row],[Name]],MountsByName[],9,FALSE)</f>
        <v>0</v>
      </c>
      <c r="K411" s="1">
        <f>VLOOKUP(Table1[[#This Row],[Name]],MountsByName[],10,FALSE)</f>
        <v>0</v>
      </c>
      <c r="L411" s="1">
        <f>VLOOKUP(Table1[[#This Row],[Name]],MountsByName[],11,FALSE)</f>
        <v>0</v>
      </c>
      <c r="M411" s="1">
        <f>VLOOKUP(Table1[[#This Row],[Name]],MountsByName[],12,FALSE)</f>
        <v>1</v>
      </c>
      <c r="N411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[123886] ={"Amber Scorpion", 123886, 0, 1, 1, 0, "Scorpion", "0", 1, 0},</v>
      </c>
    </row>
    <row r="412" spans="1:14" x14ac:dyDescent="0.35">
      <c r="A412" s="2">
        <v>148417</v>
      </c>
      <c r="B412" t="s">
        <v>1133</v>
      </c>
      <c r="C412" s="1" t="str">
        <f>VLOOKUP(Table1[[#This Row],[Name]],MountsByName[],2,FALSE)</f>
        <v>Scorpion</v>
      </c>
      <c r="D412" s="1">
        <f>VLOOKUP(Table1[[#This Row],[Name]],MountsByName[],3,FALSE)</f>
        <v>1</v>
      </c>
      <c r="E412" s="1">
        <f>VLOOKUP(Table1[[#This Row],[Name]],MountsByName[],4,FALSE)</f>
        <v>1</v>
      </c>
      <c r="F412" s="1">
        <f>VLOOKUP(Table1[[#This Row],[Name]],MountsByName[],5,FALSE)</f>
        <v>0</v>
      </c>
      <c r="G412" s="1">
        <f>VLOOKUP(Table1[[#This Row],[Name]],MountsByName[],6,FALSE)</f>
        <v>1</v>
      </c>
      <c r="H412" s="1">
        <f>VLOOKUP(Table1[[#This Row],[Name]],MountsByName[],7,FALSE)</f>
        <v>0</v>
      </c>
      <c r="I412" s="1">
        <f>VLOOKUP(Table1[[#This Row],[Name]],MountsByName[],8,FALSE)</f>
        <v>0</v>
      </c>
      <c r="J412" s="1">
        <f>VLOOKUP(Table1[[#This Row],[Name]],MountsByName[],9,FALSE)</f>
        <v>0</v>
      </c>
      <c r="K412" s="1">
        <f>VLOOKUP(Table1[[#This Row],[Name]],MountsByName[],10,FALSE)</f>
        <v>0</v>
      </c>
      <c r="L412" s="1">
        <f>VLOOKUP(Table1[[#This Row],[Name]],MountsByName[],11,FALSE)</f>
        <v>0</v>
      </c>
      <c r="M412" s="1">
        <f>VLOOKUP(Table1[[#This Row],[Name]],MountsByName[],12,FALSE)</f>
        <v>1</v>
      </c>
      <c r="N41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[148417] ={"Kor'kron Juggernaut", 148417, 0, 1, 1, 0, "Scorpion", "0", 1, 0},</v>
      </c>
    </row>
    <row r="413" spans="1:14" x14ac:dyDescent="0.35">
      <c r="A413" s="2">
        <v>75207</v>
      </c>
      <c r="B413" t="s">
        <v>454</v>
      </c>
      <c r="C413" s="1" t="str">
        <f>VLOOKUP(Table1[[#This Row],[Name]],MountsByName[],2,FALSE)</f>
        <v>Seahorse</v>
      </c>
      <c r="D413" s="1">
        <f>VLOOKUP(Table1[[#This Row],[Name]],MountsByName[],3,FALSE)</f>
        <v>0</v>
      </c>
      <c r="E413" s="1">
        <f>VLOOKUP(Table1[[#This Row],[Name]],MountsByName[],4,FALSE)</f>
        <v>0</v>
      </c>
      <c r="F413" s="1">
        <f>VLOOKUP(Table1[[#This Row],[Name]],MountsByName[],5,FALSE)</f>
        <v>1</v>
      </c>
      <c r="G413" s="1">
        <f>VLOOKUP(Table1[[#This Row],[Name]],MountsByName[],6,FALSE)</f>
        <v>1</v>
      </c>
      <c r="H413" s="1">
        <f>VLOOKUP(Table1[[#This Row],[Name]],MountsByName[],7,FALSE)</f>
        <v>0</v>
      </c>
      <c r="I413" s="1">
        <f>VLOOKUP(Table1[[#This Row],[Name]],MountsByName[],8,FALSE)</f>
        <v>0</v>
      </c>
      <c r="J413" s="1">
        <f>VLOOKUP(Table1[[#This Row],[Name]],MountsByName[],9,FALSE)</f>
        <v>0</v>
      </c>
      <c r="K413" s="1">
        <f>VLOOKUP(Table1[[#This Row],[Name]],MountsByName[],10,FALSE)</f>
        <v>0</v>
      </c>
      <c r="L413" s="1">
        <f>VLOOKUP(Table1[[#This Row],[Name]],MountsByName[],11,FALSE)</f>
        <v>0</v>
      </c>
      <c r="M413" s="1">
        <f>VLOOKUP(Table1[[#This Row],[Name]],MountsByName[],12,FALSE)</f>
        <v>1</v>
      </c>
      <c r="N41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[75207] ={"Abyssal Seahorse", 75207, 0, 0, 0, 1, "Seahorse", "0", 1, 0},</v>
      </c>
    </row>
    <row r="414" spans="1:14" x14ac:dyDescent="0.35">
      <c r="A414" s="2">
        <v>98718</v>
      </c>
      <c r="B414" t="s">
        <v>516</v>
      </c>
      <c r="C414" s="1" t="str">
        <f>VLOOKUP(Table1[[#This Row],[Name]],MountsByName[],2,FALSE)</f>
        <v>Seahorse</v>
      </c>
      <c r="D414" s="1">
        <f>VLOOKUP(Table1[[#This Row],[Name]],MountsByName[],3,FALSE)</f>
        <v>0</v>
      </c>
      <c r="E414" s="1">
        <f>VLOOKUP(Table1[[#This Row],[Name]],MountsByName[],4,FALSE)</f>
        <v>0</v>
      </c>
      <c r="F414" s="1">
        <f>VLOOKUP(Table1[[#This Row],[Name]],MountsByName[],5,FALSE)</f>
        <v>1</v>
      </c>
      <c r="G414" s="1">
        <f>VLOOKUP(Table1[[#This Row],[Name]],MountsByName[],6,FALSE)</f>
        <v>1</v>
      </c>
      <c r="H414" s="1">
        <f>VLOOKUP(Table1[[#This Row],[Name]],MountsByName[],7,FALSE)</f>
        <v>0</v>
      </c>
      <c r="I414" s="1">
        <f>VLOOKUP(Table1[[#This Row],[Name]],MountsByName[],8,FALSE)</f>
        <v>0</v>
      </c>
      <c r="J414" s="1">
        <f>VLOOKUP(Table1[[#This Row],[Name]],MountsByName[],9,FALSE)</f>
        <v>0</v>
      </c>
      <c r="K414" s="1">
        <f>VLOOKUP(Table1[[#This Row],[Name]],MountsByName[],10,FALSE)</f>
        <v>0</v>
      </c>
      <c r="L414" s="1">
        <f>VLOOKUP(Table1[[#This Row],[Name]],MountsByName[],11,FALSE)</f>
        <v>0</v>
      </c>
      <c r="M414" s="1">
        <f>VLOOKUP(Table1[[#This Row],[Name]],MountsByName[],12,FALSE)</f>
        <v>1</v>
      </c>
      <c r="N41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[98718] ={"Subdued Seahorse", 98718, 0, 0, 0, 1, "Seahorse", "0", 1, 0},</v>
      </c>
    </row>
    <row r="415" spans="1:14" x14ac:dyDescent="0.35">
      <c r="A415" s="2">
        <v>34790</v>
      </c>
      <c r="B415" t="s">
        <v>130</v>
      </c>
      <c r="C415" s="1" t="str">
        <f>VLOOKUP(Table1[[#This Row],[Name]],MountsByName[],2,FALSE)</f>
        <v>Talbuk</v>
      </c>
      <c r="D415" s="1">
        <f>VLOOKUP(Table1[[#This Row],[Name]],MountsByName[],3,FALSE)</f>
        <v>1</v>
      </c>
      <c r="E415" s="1">
        <f>VLOOKUP(Table1[[#This Row],[Name]],MountsByName[],4,FALSE)</f>
        <v>1</v>
      </c>
      <c r="F415" s="1">
        <f>VLOOKUP(Table1[[#This Row],[Name]],MountsByName[],5,FALSE)</f>
        <v>0</v>
      </c>
      <c r="G415" s="1">
        <f>VLOOKUP(Table1[[#This Row],[Name]],MountsByName[],6,FALSE)</f>
        <v>1</v>
      </c>
      <c r="H415" s="1">
        <f>VLOOKUP(Table1[[#This Row],[Name]],MountsByName[],7,FALSE)</f>
        <v>0</v>
      </c>
      <c r="I415" s="1">
        <f>VLOOKUP(Table1[[#This Row],[Name]],MountsByName[],8,FALSE)</f>
        <v>29228</v>
      </c>
      <c r="J415" s="1" t="str">
        <f>VLOOKUP(Table1[[#This Row],[Name]],MountsByName[],9,FALSE)</f>
        <v>Hala tokens</v>
      </c>
      <c r="K415" s="1">
        <f>VLOOKUP(Table1[[#This Row],[Name]],MountsByName[],10,FALSE)</f>
        <v>1</v>
      </c>
      <c r="L415" s="1">
        <f>VLOOKUP(Table1[[#This Row],[Name]],MountsByName[],11,FALSE)</f>
        <v>1</v>
      </c>
      <c r="M415" s="1">
        <f>VLOOKUP(Table1[[#This Row],[Name]],MountsByName[],12,FALSE)</f>
        <v>1</v>
      </c>
      <c r="N41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[34790] ={"Dark War Talbuk", 34790, 29228, 1, 1, 0, "Talbuk", "Hala tokens", 1, 0},</v>
      </c>
    </row>
    <row r="416" spans="1:14" x14ac:dyDescent="0.35">
      <c r="A416" s="2">
        <v>34896</v>
      </c>
      <c r="B416" t="s">
        <v>125</v>
      </c>
      <c r="C416" s="1" t="str">
        <f>VLOOKUP(Table1[[#This Row],[Name]],MountsByName[],2,FALSE)</f>
        <v>Talbuk</v>
      </c>
      <c r="D416" s="1">
        <f>VLOOKUP(Table1[[#This Row],[Name]],MountsByName[],3,FALSE)</f>
        <v>1</v>
      </c>
      <c r="E416" s="1">
        <f>VLOOKUP(Table1[[#This Row],[Name]],MountsByName[],4,FALSE)</f>
        <v>1</v>
      </c>
      <c r="F416" s="1">
        <f>VLOOKUP(Table1[[#This Row],[Name]],MountsByName[],5,FALSE)</f>
        <v>0</v>
      </c>
      <c r="G416" s="1">
        <f>VLOOKUP(Table1[[#This Row],[Name]],MountsByName[],6,FALSE)</f>
        <v>1</v>
      </c>
      <c r="H416" s="1">
        <f>VLOOKUP(Table1[[#This Row],[Name]],MountsByName[],7,FALSE)</f>
        <v>0</v>
      </c>
      <c r="I416" s="1">
        <f>VLOOKUP(Table1[[#This Row],[Name]],MountsByName[],8,FALSE)</f>
        <v>29227</v>
      </c>
      <c r="J416" s="1" t="str">
        <f>VLOOKUP(Table1[[#This Row],[Name]],MountsByName[],9,FALSE)</f>
        <v>Exalted Kurenai</v>
      </c>
      <c r="K416" s="1">
        <f>VLOOKUP(Table1[[#This Row],[Name]],MountsByName[],10,FALSE)</f>
        <v>1</v>
      </c>
      <c r="L416" s="1">
        <f>VLOOKUP(Table1[[#This Row],[Name]],MountsByName[],11,FALSE)</f>
        <v>0</v>
      </c>
      <c r="M416" s="1">
        <f>VLOOKUP(Table1[[#This Row],[Name]],MountsByName[],12,FALSE)</f>
        <v>1</v>
      </c>
      <c r="N41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[34896] ={"Cobalt War Talbuk", 34896, 29227, 1, 1, 0, "Talbuk", "Exalted Kurenai", 1, 0},</v>
      </c>
    </row>
    <row r="417" spans="1:14" x14ac:dyDescent="0.35">
      <c r="A417" s="2">
        <v>34897</v>
      </c>
      <c r="B417" t="s">
        <v>270</v>
      </c>
      <c r="C417" s="1" t="str">
        <f>VLOOKUP(Table1[[#This Row],[Name]],MountsByName[],2,FALSE)</f>
        <v>Talbuk</v>
      </c>
      <c r="D417" s="1">
        <f>VLOOKUP(Table1[[#This Row],[Name]],MountsByName[],3,FALSE)</f>
        <v>1</v>
      </c>
      <c r="E417" s="1">
        <f>VLOOKUP(Table1[[#This Row],[Name]],MountsByName[],4,FALSE)</f>
        <v>1</v>
      </c>
      <c r="F417" s="1">
        <f>VLOOKUP(Table1[[#This Row],[Name]],MountsByName[],5,FALSE)</f>
        <v>0</v>
      </c>
      <c r="G417" s="1">
        <f>VLOOKUP(Table1[[#This Row],[Name]],MountsByName[],6,FALSE)</f>
        <v>1</v>
      </c>
      <c r="H417" s="1">
        <f>VLOOKUP(Table1[[#This Row],[Name]],MountsByName[],7,FALSE)</f>
        <v>0</v>
      </c>
      <c r="I417" s="1">
        <f>VLOOKUP(Table1[[#This Row],[Name]],MountsByName[],8,FALSE)</f>
        <v>29231</v>
      </c>
      <c r="J417" s="1" t="str">
        <f>VLOOKUP(Table1[[#This Row],[Name]],MountsByName[],9,FALSE)</f>
        <v>Exalted Kurenai</v>
      </c>
      <c r="K417" s="1">
        <f>VLOOKUP(Table1[[#This Row],[Name]],MountsByName[],10,FALSE)</f>
        <v>1</v>
      </c>
      <c r="L417" s="1">
        <f>VLOOKUP(Table1[[#This Row],[Name]],MountsByName[],11,FALSE)</f>
        <v>0</v>
      </c>
      <c r="M417" s="1">
        <f>VLOOKUP(Table1[[#This Row],[Name]],MountsByName[],12,FALSE)</f>
        <v>1</v>
      </c>
      <c r="N41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[34897] ={"White War Talbuk", 34897, 29231, 1, 1, 0, "Talbuk", "Exalted Kurenai", 1, 0},</v>
      </c>
    </row>
    <row r="418" spans="1:14" x14ac:dyDescent="0.35">
      <c r="A418" s="2">
        <v>34898</v>
      </c>
      <c r="B418" t="s">
        <v>198</v>
      </c>
      <c r="C418" s="1" t="str">
        <f>VLOOKUP(Table1[[#This Row],[Name]],MountsByName[],2,FALSE)</f>
        <v>Talbuk</v>
      </c>
      <c r="D418" s="1">
        <f>VLOOKUP(Table1[[#This Row],[Name]],MountsByName[],3,FALSE)</f>
        <v>1</v>
      </c>
      <c r="E418" s="1">
        <f>VLOOKUP(Table1[[#This Row],[Name]],MountsByName[],4,FALSE)</f>
        <v>1</v>
      </c>
      <c r="F418" s="1">
        <f>VLOOKUP(Table1[[#This Row],[Name]],MountsByName[],5,FALSE)</f>
        <v>0</v>
      </c>
      <c r="G418" s="1">
        <f>VLOOKUP(Table1[[#This Row],[Name]],MountsByName[],6,FALSE)</f>
        <v>1</v>
      </c>
      <c r="H418" s="1">
        <f>VLOOKUP(Table1[[#This Row],[Name]],MountsByName[],7,FALSE)</f>
        <v>0</v>
      </c>
      <c r="I418" s="1">
        <f>VLOOKUP(Table1[[#This Row],[Name]],MountsByName[],8,FALSE)</f>
        <v>29229</v>
      </c>
      <c r="J418" s="1" t="str">
        <f>VLOOKUP(Table1[[#This Row],[Name]],MountsByName[],9,FALSE)</f>
        <v>Exalted Kurenai</v>
      </c>
      <c r="K418" s="1">
        <f>VLOOKUP(Table1[[#This Row],[Name]],MountsByName[],10,FALSE)</f>
        <v>1</v>
      </c>
      <c r="L418" s="1">
        <f>VLOOKUP(Table1[[#This Row],[Name]],MountsByName[],11,FALSE)</f>
        <v>0</v>
      </c>
      <c r="M418" s="1">
        <f>VLOOKUP(Table1[[#This Row],[Name]],MountsByName[],12,FALSE)</f>
        <v>1</v>
      </c>
      <c r="N41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[34898] ={"Silver War Talbuk", 34898, 29229, 1, 1, 0, "Talbuk", "Exalted Kurenai", 1, 0},</v>
      </c>
    </row>
    <row r="419" spans="1:14" x14ac:dyDescent="0.35">
      <c r="A419" s="2">
        <v>34899</v>
      </c>
      <c r="B419" t="s">
        <v>251</v>
      </c>
      <c r="C419" s="1" t="str">
        <f>VLOOKUP(Table1[[#This Row],[Name]],MountsByName[],2,FALSE)</f>
        <v>Talbuk</v>
      </c>
      <c r="D419" s="1">
        <f>VLOOKUP(Table1[[#This Row],[Name]],MountsByName[],3,FALSE)</f>
        <v>1</v>
      </c>
      <c r="E419" s="1">
        <f>VLOOKUP(Table1[[#This Row],[Name]],MountsByName[],4,FALSE)</f>
        <v>1</v>
      </c>
      <c r="F419" s="1">
        <f>VLOOKUP(Table1[[#This Row],[Name]],MountsByName[],5,FALSE)</f>
        <v>0</v>
      </c>
      <c r="G419" s="1">
        <f>VLOOKUP(Table1[[#This Row],[Name]],MountsByName[],6,FALSE)</f>
        <v>1</v>
      </c>
      <c r="H419" s="1">
        <f>VLOOKUP(Table1[[#This Row],[Name]],MountsByName[],7,FALSE)</f>
        <v>0</v>
      </c>
      <c r="I419" s="1">
        <f>VLOOKUP(Table1[[#This Row],[Name]],MountsByName[],8,FALSE)</f>
        <v>29230</v>
      </c>
      <c r="J419" s="1" t="str">
        <f>VLOOKUP(Table1[[#This Row],[Name]],MountsByName[],9,FALSE)</f>
        <v>Exalted Kurenai</v>
      </c>
      <c r="K419" s="1">
        <f>VLOOKUP(Table1[[#This Row],[Name]],MountsByName[],10,FALSE)</f>
        <v>1</v>
      </c>
      <c r="L419" s="1">
        <f>VLOOKUP(Table1[[#This Row],[Name]],MountsByName[],11,FALSE)</f>
        <v>0</v>
      </c>
      <c r="M419" s="1">
        <f>VLOOKUP(Table1[[#This Row],[Name]],MountsByName[],12,FALSE)</f>
        <v>1</v>
      </c>
      <c r="N41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[34899] ={"Tan War Talbuk", 34899, 29230, 1, 1, 0, "Talbuk", "Exalted Kurenai", 1, 0},</v>
      </c>
    </row>
    <row r="420" spans="1:14" x14ac:dyDescent="0.35">
      <c r="A420" s="2">
        <v>39315</v>
      </c>
      <c r="B420" t="s">
        <v>124</v>
      </c>
      <c r="C420" s="1" t="str">
        <f>VLOOKUP(Table1[[#This Row],[Name]],MountsByName[],2,FALSE)</f>
        <v>Talbuk</v>
      </c>
      <c r="D420" s="1">
        <f>VLOOKUP(Table1[[#This Row],[Name]],MountsByName[],3,FALSE)</f>
        <v>1</v>
      </c>
      <c r="E420" s="1">
        <f>VLOOKUP(Table1[[#This Row],[Name]],MountsByName[],4,FALSE)</f>
        <v>1</v>
      </c>
      <c r="F420" s="1">
        <f>VLOOKUP(Table1[[#This Row],[Name]],MountsByName[],5,FALSE)</f>
        <v>0</v>
      </c>
      <c r="G420" s="1">
        <f>VLOOKUP(Table1[[#This Row],[Name]],MountsByName[],6,FALSE)</f>
        <v>1</v>
      </c>
      <c r="H420" s="1">
        <f>VLOOKUP(Table1[[#This Row],[Name]],MountsByName[],7,FALSE)</f>
        <v>0</v>
      </c>
      <c r="I420" s="1">
        <f>VLOOKUP(Table1[[#This Row],[Name]],MountsByName[],8,FALSE)</f>
        <v>31830</v>
      </c>
      <c r="J420" s="1" t="str">
        <f>VLOOKUP(Table1[[#This Row],[Name]],MountsByName[],9,FALSE)</f>
        <v>Exalted Kurenai</v>
      </c>
      <c r="K420" s="1">
        <f>VLOOKUP(Table1[[#This Row],[Name]],MountsByName[],10,FALSE)</f>
        <v>1</v>
      </c>
      <c r="L420" s="1">
        <f>VLOOKUP(Table1[[#This Row],[Name]],MountsByName[],11,FALSE)</f>
        <v>0</v>
      </c>
      <c r="M420" s="1">
        <f>VLOOKUP(Table1[[#This Row],[Name]],MountsByName[],12,FALSE)</f>
        <v>1</v>
      </c>
      <c r="N42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[39315] ={"Cobalt Riding Talbuk", 39315, 31830, 1, 1, 0, "Talbuk", "Exalted Kurenai", 1, 0},</v>
      </c>
    </row>
    <row r="421" spans="1:14" x14ac:dyDescent="0.35">
      <c r="A421" s="2">
        <v>39316</v>
      </c>
      <c r="B421" t="s">
        <v>129</v>
      </c>
      <c r="C421" s="1" t="str">
        <f>VLOOKUP(Table1[[#This Row],[Name]],MountsByName[],2,FALSE)</f>
        <v>Talbuk</v>
      </c>
      <c r="D421" s="1">
        <f>VLOOKUP(Table1[[#This Row],[Name]],MountsByName[],3,FALSE)</f>
        <v>1</v>
      </c>
      <c r="E421" s="1">
        <f>VLOOKUP(Table1[[#This Row],[Name]],MountsByName[],4,FALSE)</f>
        <v>1</v>
      </c>
      <c r="F421" s="1">
        <f>VLOOKUP(Table1[[#This Row],[Name]],MountsByName[],5,FALSE)</f>
        <v>0</v>
      </c>
      <c r="G421" s="1">
        <f>VLOOKUP(Table1[[#This Row],[Name]],MountsByName[],6,FALSE)</f>
        <v>1</v>
      </c>
      <c r="H421" s="1">
        <f>VLOOKUP(Table1[[#This Row],[Name]],MountsByName[],7,FALSE)</f>
        <v>0</v>
      </c>
      <c r="I421" s="1">
        <f>VLOOKUP(Table1[[#This Row],[Name]],MountsByName[],8,FALSE)</f>
        <v>28915</v>
      </c>
      <c r="J421" s="1" t="str">
        <f>VLOOKUP(Table1[[#This Row],[Name]],MountsByName[],9,FALSE)</f>
        <v>Hala tokens</v>
      </c>
      <c r="K421" s="1">
        <f>VLOOKUP(Table1[[#This Row],[Name]],MountsByName[],10,FALSE)</f>
        <v>1</v>
      </c>
      <c r="L421" s="1">
        <f>VLOOKUP(Table1[[#This Row],[Name]],MountsByName[],11,FALSE)</f>
        <v>1</v>
      </c>
      <c r="M421" s="1">
        <f>VLOOKUP(Table1[[#This Row],[Name]],MountsByName[],12,FALSE)</f>
        <v>1</v>
      </c>
      <c r="N421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[39316] ={"Dark Riding Talbuk", 39316, 28915, 1, 1, 0, "Talbuk", "Hala tokens", 1, 0},</v>
      </c>
    </row>
    <row r="422" spans="1:14" x14ac:dyDescent="0.35">
      <c r="A422" s="2">
        <v>39317</v>
      </c>
      <c r="B422" t="s">
        <v>197</v>
      </c>
      <c r="C422" s="1" t="str">
        <f>VLOOKUP(Table1[[#This Row],[Name]],MountsByName[],2,FALSE)</f>
        <v>Talbuk</v>
      </c>
      <c r="D422" s="1">
        <f>VLOOKUP(Table1[[#This Row],[Name]],MountsByName[],3,FALSE)</f>
        <v>1</v>
      </c>
      <c r="E422" s="1">
        <f>VLOOKUP(Table1[[#This Row],[Name]],MountsByName[],4,FALSE)</f>
        <v>1</v>
      </c>
      <c r="F422" s="1">
        <f>VLOOKUP(Table1[[#This Row],[Name]],MountsByName[],5,FALSE)</f>
        <v>0</v>
      </c>
      <c r="G422" s="1">
        <f>VLOOKUP(Table1[[#This Row],[Name]],MountsByName[],6,FALSE)</f>
        <v>1</v>
      </c>
      <c r="H422" s="1">
        <f>VLOOKUP(Table1[[#This Row],[Name]],MountsByName[],7,FALSE)</f>
        <v>0</v>
      </c>
      <c r="I422" s="1">
        <f>VLOOKUP(Table1[[#This Row],[Name]],MountsByName[],8,FALSE)</f>
        <v>31832</v>
      </c>
      <c r="J422" s="1" t="str">
        <f>VLOOKUP(Table1[[#This Row],[Name]],MountsByName[],9,FALSE)</f>
        <v>Exalted Kurenai</v>
      </c>
      <c r="K422" s="1">
        <f>VLOOKUP(Table1[[#This Row],[Name]],MountsByName[],10,FALSE)</f>
        <v>1</v>
      </c>
      <c r="L422" s="1">
        <f>VLOOKUP(Table1[[#This Row],[Name]],MountsByName[],11,FALSE)</f>
        <v>0</v>
      </c>
      <c r="M422" s="1">
        <f>VLOOKUP(Table1[[#This Row],[Name]],MountsByName[],12,FALSE)</f>
        <v>1</v>
      </c>
      <c r="N42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[39317] ={"Silver Riding Talbuk", 39317, 31832, 1, 1, 0, "Talbuk", "Exalted Kurenai", 1, 0},</v>
      </c>
    </row>
    <row r="423" spans="1:14" x14ac:dyDescent="0.35">
      <c r="A423" s="2">
        <v>39318</v>
      </c>
      <c r="B423" t="s">
        <v>250</v>
      </c>
      <c r="C423" s="1" t="str">
        <f>VLOOKUP(Table1[[#This Row],[Name]],MountsByName[],2,FALSE)</f>
        <v>Talbuk</v>
      </c>
      <c r="D423" s="1">
        <f>VLOOKUP(Table1[[#This Row],[Name]],MountsByName[],3,FALSE)</f>
        <v>1</v>
      </c>
      <c r="E423" s="1">
        <f>VLOOKUP(Table1[[#This Row],[Name]],MountsByName[],4,FALSE)</f>
        <v>1</v>
      </c>
      <c r="F423" s="1">
        <f>VLOOKUP(Table1[[#This Row],[Name]],MountsByName[],5,FALSE)</f>
        <v>0</v>
      </c>
      <c r="G423" s="1">
        <f>VLOOKUP(Table1[[#This Row],[Name]],MountsByName[],6,FALSE)</f>
        <v>1</v>
      </c>
      <c r="H423" s="1">
        <f>VLOOKUP(Table1[[#This Row],[Name]],MountsByName[],7,FALSE)</f>
        <v>0</v>
      </c>
      <c r="I423" s="1">
        <f>VLOOKUP(Table1[[#This Row],[Name]],MountsByName[],8,FALSE)</f>
        <v>31834</v>
      </c>
      <c r="J423" s="1" t="str">
        <f>VLOOKUP(Table1[[#This Row],[Name]],MountsByName[],9,FALSE)</f>
        <v>Exalted Kurenai</v>
      </c>
      <c r="K423" s="1">
        <f>VLOOKUP(Table1[[#This Row],[Name]],MountsByName[],10,FALSE)</f>
        <v>1</v>
      </c>
      <c r="L423" s="1">
        <f>VLOOKUP(Table1[[#This Row],[Name]],MountsByName[],11,FALSE)</f>
        <v>0</v>
      </c>
      <c r="M423" s="1">
        <f>VLOOKUP(Table1[[#This Row],[Name]],MountsByName[],12,FALSE)</f>
        <v>1</v>
      </c>
      <c r="N42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[39318] ={"Tan Riding Talbuk", 39318, 31834, 1, 1, 0, "Talbuk", "Exalted Kurenai", 1, 0},</v>
      </c>
    </row>
    <row r="424" spans="1:14" x14ac:dyDescent="0.35">
      <c r="A424" s="2">
        <v>39319</v>
      </c>
      <c r="B424" t="s">
        <v>267</v>
      </c>
      <c r="C424" s="1" t="str">
        <f>VLOOKUP(Table1[[#This Row],[Name]],MountsByName[],2,FALSE)</f>
        <v>Talbuk</v>
      </c>
      <c r="D424" s="1">
        <f>VLOOKUP(Table1[[#This Row],[Name]],MountsByName[],3,FALSE)</f>
        <v>1</v>
      </c>
      <c r="E424" s="1">
        <f>VLOOKUP(Table1[[#This Row],[Name]],MountsByName[],4,FALSE)</f>
        <v>1</v>
      </c>
      <c r="F424" s="1">
        <f>VLOOKUP(Table1[[#This Row],[Name]],MountsByName[],5,FALSE)</f>
        <v>0</v>
      </c>
      <c r="G424" s="1">
        <f>VLOOKUP(Table1[[#This Row],[Name]],MountsByName[],6,FALSE)</f>
        <v>1</v>
      </c>
      <c r="H424" s="1">
        <f>VLOOKUP(Table1[[#This Row],[Name]],MountsByName[],7,FALSE)</f>
        <v>0</v>
      </c>
      <c r="I424" s="1">
        <f>VLOOKUP(Table1[[#This Row],[Name]],MountsByName[],8,FALSE)</f>
        <v>31836</v>
      </c>
      <c r="J424" s="1" t="str">
        <f>VLOOKUP(Table1[[#This Row],[Name]],MountsByName[],9,FALSE)</f>
        <v>Exalted Kurenai</v>
      </c>
      <c r="K424" s="1">
        <f>VLOOKUP(Table1[[#This Row],[Name]],MountsByName[],10,FALSE)</f>
        <v>1</v>
      </c>
      <c r="L424" s="1">
        <f>VLOOKUP(Table1[[#This Row],[Name]],MountsByName[],11,FALSE)</f>
        <v>0</v>
      </c>
      <c r="M424" s="1">
        <f>VLOOKUP(Table1[[#This Row],[Name]],MountsByName[],12,FALSE)</f>
        <v>1</v>
      </c>
      <c r="N42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[39319] ={"White Riding Talbuk", 39319, 31836, 1, 1, 0, "Talbuk", "Exalted Kurenai", 1, 0},</v>
      </c>
    </row>
    <row r="425" spans="1:14" x14ac:dyDescent="0.35">
      <c r="A425" s="2">
        <v>440915</v>
      </c>
      <c r="B425" t="s">
        <v>474</v>
      </c>
      <c r="C425" s="1" t="str">
        <f>VLOOKUP(Table1[[#This Row],[Name]],MountsByName[],2,FALSE)</f>
        <v>TreeDrake</v>
      </c>
      <c r="D425" s="1">
        <f>VLOOKUP(Table1[[#This Row],[Name]],MountsByName[],3,FALSE)</f>
        <v>2.8</v>
      </c>
      <c r="E425" s="1">
        <f>VLOOKUP(Table1[[#This Row],[Name]],MountsByName[],4,FALSE)</f>
        <v>2.8</v>
      </c>
      <c r="F425" s="1">
        <f>VLOOKUP(Table1[[#This Row],[Name]],MountsByName[],5,FALSE)</f>
        <v>0</v>
      </c>
      <c r="G425" s="1">
        <f>VLOOKUP(Table1[[#This Row],[Name]],MountsByName[],6,FALSE)</f>
        <v>1</v>
      </c>
      <c r="H425" s="1">
        <f>VLOOKUP(Table1[[#This Row],[Name]],MountsByName[],7,FALSE)</f>
        <v>0</v>
      </c>
      <c r="I425" s="1">
        <f>VLOOKUP(Table1[[#This Row],[Name]],MountsByName[],8,FALSE)</f>
        <v>0</v>
      </c>
      <c r="J425" s="1">
        <f>VLOOKUP(Table1[[#This Row],[Name]],MountsByName[],9,FALSE)</f>
        <v>0</v>
      </c>
      <c r="K425" s="1">
        <f>VLOOKUP(Table1[[#This Row],[Name]],MountsByName[],10,FALSE)</f>
        <v>0</v>
      </c>
      <c r="L425" s="1">
        <f>VLOOKUP(Table1[[#This Row],[Name]],MountsByName[],11,FALSE)</f>
        <v>0</v>
      </c>
      <c r="M425" s="1">
        <f>VLOOKUP(Table1[[#This Row],[Name]],MountsByName[],12,FALSE)</f>
        <v>1</v>
      </c>
      <c r="N42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[440915] ={"Auspicious Arborwyrm", 440915, 0, 2.8, 2.8, 0, "TreeDrake", "0", 1, 0},</v>
      </c>
    </row>
    <row r="426" spans="1:14" x14ac:dyDescent="0.35">
      <c r="A426" s="2">
        <v>87090</v>
      </c>
      <c r="B426" t="s">
        <v>443</v>
      </c>
      <c r="C426" s="1" t="str">
        <f>VLOOKUP(Table1[[#This Row],[Name]],MountsByName[],2,FALSE)</f>
        <v>Trike</v>
      </c>
      <c r="D426" s="1">
        <f>VLOOKUP(Table1[[#This Row],[Name]],MountsByName[],3,FALSE)</f>
        <v>1</v>
      </c>
      <c r="E426" s="1">
        <f>VLOOKUP(Table1[[#This Row],[Name]],MountsByName[],4,FALSE)</f>
        <v>1</v>
      </c>
      <c r="F426" s="1">
        <f>VLOOKUP(Table1[[#This Row],[Name]],MountsByName[],5,FALSE)</f>
        <v>0</v>
      </c>
      <c r="G426" s="1">
        <f>VLOOKUP(Table1[[#This Row],[Name]],MountsByName[],6,FALSE)</f>
        <v>1</v>
      </c>
      <c r="H426" s="1">
        <f>VLOOKUP(Table1[[#This Row],[Name]],MountsByName[],7,FALSE)</f>
        <v>0</v>
      </c>
      <c r="I426" s="1">
        <f>VLOOKUP(Table1[[#This Row],[Name]],MountsByName[],8,FALSE)</f>
        <v>0</v>
      </c>
      <c r="J426" s="1">
        <f>VLOOKUP(Table1[[#This Row],[Name]],MountsByName[],9,FALSE)</f>
        <v>0</v>
      </c>
      <c r="K426" s="1">
        <f>VLOOKUP(Table1[[#This Row],[Name]],MountsByName[],10,FALSE)</f>
        <v>0</v>
      </c>
      <c r="L426" s="1">
        <f>VLOOKUP(Table1[[#This Row],[Name]],MountsByName[],11,FALSE)</f>
        <v>0</v>
      </c>
      <c r="M426" s="1">
        <f>VLOOKUP(Table1[[#This Row],[Name]],MountsByName[],12,FALSE)</f>
        <v>1</v>
      </c>
      <c r="N42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[87090] ={"Goblin Trike", 87090, 0, 1, 1, 0, "Trike", "0", 1, 0},</v>
      </c>
    </row>
    <row r="427" spans="1:14" x14ac:dyDescent="0.35">
      <c r="A427" s="2">
        <v>87091</v>
      </c>
      <c r="B427" t="s">
        <v>442</v>
      </c>
      <c r="C427" s="1" t="str">
        <f>VLOOKUP(Table1[[#This Row],[Name]],MountsByName[],2,FALSE)</f>
        <v>Trike</v>
      </c>
      <c r="D427" s="1">
        <f>VLOOKUP(Table1[[#This Row],[Name]],MountsByName[],3,FALSE)</f>
        <v>1</v>
      </c>
      <c r="E427" s="1">
        <f>VLOOKUP(Table1[[#This Row],[Name]],MountsByName[],4,FALSE)</f>
        <v>1</v>
      </c>
      <c r="F427" s="1">
        <f>VLOOKUP(Table1[[#This Row],[Name]],MountsByName[],5,FALSE)</f>
        <v>0</v>
      </c>
      <c r="G427" s="1">
        <f>VLOOKUP(Table1[[#This Row],[Name]],MountsByName[],6,FALSE)</f>
        <v>1</v>
      </c>
      <c r="H427" s="1">
        <f>VLOOKUP(Table1[[#This Row],[Name]],MountsByName[],7,FALSE)</f>
        <v>0</v>
      </c>
      <c r="I427" s="1">
        <f>VLOOKUP(Table1[[#This Row],[Name]],MountsByName[],8,FALSE)</f>
        <v>0</v>
      </c>
      <c r="J427" s="1">
        <f>VLOOKUP(Table1[[#This Row],[Name]],MountsByName[],9,FALSE)</f>
        <v>0</v>
      </c>
      <c r="K427" s="1">
        <f>VLOOKUP(Table1[[#This Row],[Name]],MountsByName[],10,FALSE)</f>
        <v>0</v>
      </c>
      <c r="L427" s="1">
        <f>VLOOKUP(Table1[[#This Row],[Name]],MountsByName[],11,FALSE)</f>
        <v>0</v>
      </c>
      <c r="M427" s="1">
        <f>VLOOKUP(Table1[[#This Row],[Name]],MountsByName[],12,FALSE)</f>
        <v>1</v>
      </c>
      <c r="N42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[87091] ={"Goblin Turbo-Trike", 87091, 0, 1, 1, 0, "Trike", "0", 1, 0},</v>
      </c>
    </row>
    <row r="428" spans="1:14" x14ac:dyDescent="0.35">
      <c r="A428" s="2">
        <v>30174</v>
      </c>
      <c r="B428" t="s">
        <v>1084</v>
      </c>
      <c r="C428" s="1" t="str">
        <f>VLOOKUP(Table1[[#This Row],[Name]],MountsByName[],2,FALSE)</f>
        <v>Turtle</v>
      </c>
      <c r="D428" s="1">
        <f>VLOOKUP(Table1[[#This Row],[Name]],MountsByName[],3,FALSE)</f>
        <v>0</v>
      </c>
      <c r="E428" s="1">
        <f>VLOOKUP(Table1[[#This Row],[Name]],MountsByName[],4,FALSE)</f>
        <v>0</v>
      </c>
      <c r="F428" s="1">
        <f>VLOOKUP(Table1[[#This Row],[Name]],MountsByName[],5,FALSE)</f>
        <v>1</v>
      </c>
      <c r="G428" s="1">
        <f>VLOOKUP(Table1[[#This Row],[Name]],MountsByName[],6,FALSE)</f>
        <v>1</v>
      </c>
      <c r="H428" s="1">
        <f>VLOOKUP(Table1[[#This Row],[Name]],MountsByName[],7,FALSE)</f>
        <v>0</v>
      </c>
      <c r="I428" s="1">
        <f>VLOOKUP(Table1[[#This Row],[Name]],MountsByName[],8,FALSE)</f>
        <v>0</v>
      </c>
      <c r="J428" s="1">
        <f>VLOOKUP(Table1[[#This Row],[Name]],MountsByName[],9,FALSE)</f>
        <v>0</v>
      </c>
      <c r="K428" s="1">
        <f>VLOOKUP(Table1[[#This Row],[Name]],MountsByName[],10,FALSE)</f>
        <v>0</v>
      </c>
      <c r="L428" s="1">
        <f>VLOOKUP(Table1[[#This Row],[Name]],MountsByName[],11,FALSE)</f>
        <v>0</v>
      </c>
      <c r="M428" s="1">
        <f>VLOOKUP(Table1[[#This Row],[Name]],MountsByName[],12,FALSE)</f>
        <v>1</v>
      </c>
      <c r="N42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[30174] ={"Riding Turtle", 30174, 0, 0, 0, 1, "Turtle", "0", 1, 0},</v>
      </c>
    </row>
    <row r="429" spans="1:14" x14ac:dyDescent="0.35">
      <c r="A429" s="2">
        <v>64731</v>
      </c>
      <c r="B429" t="s">
        <v>354</v>
      </c>
      <c r="C429" s="1" t="str">
        <f>VLOOKUP(Table1[[#This Row],[Name]],MountsByName[],2,FALSE)</f>
        <v>Turtle</v>
      </c>
      <c r="D429" s="1">
        <f>VLOOKUP(Table1[[#This Row],[Name]],MountsByName[],3,FALSE)</f>
        <v>0</v>
      </c>
      <c r="E429" s="1">
        <f>VLOOKUP(Table1[[#This Row],[Name]],MountsByName[],4,FALSE)</f>
        <v>0</v>
      </c>
      <c r="F429" s="1">
        <f>VLOOKUP(Table1[[#This Row],[Name]],MountsByName[],5,FALSE)</f>
        <v>1</v>
      </c>
      <c r="G429" s="1">
        <f>VLOOKUP(Table1[[#This Row],[Name]],MountsByName[],6,FALSE)</f>
        <v>1</v>
      </c>
      <c r="H429" s="1">
        <f>VLOOKUP(Table1[[#This Row],[Name]],MountsByName[],7,FALSE)</f>
        <v>0</v>
      </c>
      <c r="I429" s="1">
        <f>VLOOKUP(Table1[[#This Row],[Name]],MountsByName[],8,FALSE)</f>
        <v>46109</v>
      </c>
      <c r="J429" s="1" t="str">
        <f>VLOOKUP(Table1[[#This Row],[Name]],MountsByName[],9,FALSE)</f>
        <v>fishing</v>
      </c>
      <c r="K429" s="1">
        <f>VLOOKUP(Table1[[#This Row],[Name]],MountsByName[],10,FALSE)</f>
        <v>1</v>
      </c>
      <c r="L429" s="1">
        <f>VLOOKUP(Table1[[#This Row],[Name]],MountsByName[],11,FALSE)</f>
        <v>1</v>
      </c>
      <c r="M429" s="1">
        <f>VLOOKUP(Table1[[#This Row],[Name]],MountsByName[],12,FALSE)</f>
        <v>1</v>
      </c>
      <c r="N42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[64731] ={"Sea Turtle", 64731, 46109, 0, 0, 1, "Turtle", "fishing", 1, 0},</v>
      </c>
    </row>
    <row r="430" spans="1:14" x14ac:dyDescent="0.35">
      <c r="A430" s="2">
        <v>142073</v>
      </c>
      <c r="B430" t="s">
        <v>1110</v>
      </c>
      <c r="C430" s="1" t="str">
        <f>VLOOKUP(Table1[[#This Row],[Name]],MountsByName[],2,FALSE)</f>
        <v>Undead Horse</v>
      </c>
      <c r="D430" s="1">
        <f>VLOOKUP(Table1[[#This Row],[Name]],MountsByName[],3,FALSE)</f>
        <v>1</v>
      </c>
      <c r="E430" s="1">
        <f>VLOOKUP(Table1[[#This Row],[Name]],MountsByName[],4,FALSE)</f>
        <v>1</v>
      </c>
      <c r="F430" s="1">
        <f>VLOOKUP(Table1[[#This Row],[Name]],MountsByName[],5,FALSE)</f>
        <v>0</v>
      </c>
      <c r="G430" s="1">
        <f>VLOOKUP(Table1[[#This Row],[Name]],MountsByName[],6,FALSE)</f>
        <v>1</v>
      </c>
      <c r="H430" s="1">
        <f>VLOOKUP(Table1[[#This Row],[Name]],MountsByName[],7,FALSE)</f>
        <v>0</v>
      </c>
      <c r="I430" s="1">
        <f>VLOOKUP(Table1[[#This Row],[Name]],MountsByName[],8,FALSE)</f>
        <v>0</v>
      </c>
      <c r="J430" s="1">
        <f>VLOOKUP(Table1[[#This Row],[Name]],MountsByName[],9,FALSE)</f>
        <v>0</v>
      </c>
      <c r="K430" s="1">
        <f>VLOOKUP(Table1[[#This Row],[Name]],MountsByName[],10,FALSE)</f>
        <v>0</v>
      </c>
      <c r="L430" s="1">
        <f>VLOOKUP(Table1[[#This Row],[Name]],MountsByName[],11,FALSE)</f>
        <v>0</v>
      </c>
      <c r="M430" s="1">
        <f>VLOOKUP(Table1[[#This Row],[Name]],MountsByName[],12,FALSE)</f>
        <v>1</v>
      </c>
      <c r="N43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[142073] ={"Hearthsteed", 142073, 0, 1, 1, 0, "Undead Horse", "0", 1, 0},</v>
      </c>
    </row>
    <row r="431" spans="1:14" x14ac:dyDescent="0.35">
      <c r="A431" s="2">
        <v>146622</v>
      </c>
      <c r="B431" t="s">
        <v>1114</v>
      </c>
      <c r="C431" s="1" t="str">
        <f>VLOOKUP(Table1[[#This Row],[Name]],MountsByName[],2,FALSE)</f>
        <v>Undead Horse</v>
      </c>
      <c r="D431" s="1">
        <f>VLOOKUP(Table1[[#This Row],[Name]],MountsByName[],3,FALSE)</f>
        <v>1</v>
      </c>
      <c r="E431" s="1">
        <f>VLOOKUP(Table1[[#This Row],[Name]],MountsByName[],4,FALSE)</f>
        <v>1</v>
      </c>
      <c r="F431" s="1">
        <f>VLOOKUP(Table1[[#This Row],[Name]],MountsByName[],5,FALSE)</f>
        <v>0</v>
      </c>
      <c r="G431" s="1">
        <f>VLOOKUP(Table1[[#This Row],[Name]],MountsByName[],6,FALSE)</f>
        <v>1</v>
      </c>
      <c r="H431" s="1">
        <f>VLOOKUP(Table1[[#This Row],[Name]],MountsByName[],7,FALSE)</f>
        <v>0</v>
      </c>
      <c r="I431" s="1">
        <f>VLOOKUP(Table1[[#This Row],[Name]],MountsByName[],8,FALSE)</f>
        <v>0</v>
      </c>
      <c r="J431" s="1">
        <f>VLOOKUP(Table1[[#This Row],[Name]],MountsByName[],9,FALSE)</f>
        <v>0</v>
      </c>
      <c r="K431" s="1">
        <f>VLOOKUP(Table1[[#This Row],[Name]],MountsByName[],10,FALSE)</f>
        <v>0</v>
      </c>
      <c r="L431" s="1">
        <f>VLOOKUP(Table1[[#This Row],[Name]],MountsByName[],11,FALSE)</f>
        <v>0</v>
      </c>
      <c r="M431" s="1">
        <f>VLOOKUP(Table1[[#This Row],[Name]],MountsByName[],12,FALSE)</f>
        <v>1</v>
      </c>
      <c r="N431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[146622] ={"Vicious Skeletal Warhorse", 146622, 0, 1, 1, 0, "Undead Horse", "0", 1, 0},</v>
      </c>
    </row>
    <row r="432" spans="1:14" x14ac:dyDescent="0.35">
      <c r="A432" s="2">
        <v>84751</v>
      </c>
      <c r="B432" t="s">
        <v>445</v>
      </c>
      <c r="C432" s="1" t="str">
        <f>VLOOKUP(Table1[[#This Row],[Name]],MountsByName[],2,FALSE)</f>
        <v>Undead Raptor</v>
      </c>
      <c r="D432" s="1">
        <f>VLOOKUP(Table1[[#This Row],[Name]],MountsByName[],3,FALSE)</f>
        <v>1</v>
      </c>
      <c r="E432" s="1">
        <f>VLOOKUP(Table1[[#This Row],[Name]],MountsByName[],4,FALSE)</f>
        <v>1</v>
      </c>
      <c r="F432" s="1">
        <f>VLOOKUP(Table1[[#This Row],[Name]],MountsByName[],5,FALSE)</f>
        <v>0</v>
      </c>
      <c r="G432" s="1">
        <f>VLOOKUP(Table1[[#This Row],[Name]],MountsByName[],6,FALSE)</f>
        <v>1</v>
      </c>
      <c r="H432" s="1">
        <f>VLOOKUP(Table1[[#This Row],[Name]],MountsByName[],7,FALSE)</f>
        <v>0</v>
      </c>
      <c r="I432" s="1">
        <f>VLOOKUP(Table1[[#This Row],[Name]],MountsByName[],8,FALSE)</f>
        <v>0</v>
      </c>
      <c r="J432" s="1">
        <f>VLOOKUP(Table1[[#This Row],[Name]],MountsByName[],9,FALSE)</f>
        <v>0</v>
      </c>
      <c r="K432" s="1">
        <f>VLOOKUP(Table1[[#This Row],[Name]],MountsByName[],10,FALSE)</f>
        <v>0</v>
      </c>
      <c r="L432" s="1">
        <f>VLOOKUP(Table1[[#This Row],[Name]],MountsByName[],11,FALSE)</f>
        <v>0</v>
      </c>
      <c r="M432" s="1">
        <f>VLOOKUP(Table1[[#This Row],[Name]],MountsByName[],12,FALSE)</f>
        <v>1</v>
      </c>
      <c r="N43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[84751] ={"Fossilized Raptor", 84751, 0, 1, 1, 0, "Undead Raptor", "0", 1, 0},</v>
      </c>
    </row>
    <row r="433" spans="1:14" x14ac:dyDescent="0.35">
      <c r="A433" s="2">
        <v>163024</v>
      </c>
      <c r="B433" t="s">
        <v>1104</v>
      </c>
      <c r="C433" s="1" t="str">
        <f>VLOOKUP(Table1[[#This Row],[Name]],MountsByName[],2,FALSE)</f>
        <v>Warforged</v>
      </c>
      <c r="D433" s="1">
        <f>VLOOKUP(Table1[[#This Row],[Name]],MountsByName[],3,FALSE)</f>
        <v>1</v>
      </c>
      <c r="E433" s="1">
        <f>VLOOKUP(Table1[[#This Row],[Name]],MountsByName[],4,FALSE)</f>
        <v>1</v>
      </c>
      <c r="F433" s="1">
        <f>VLOOKUP(Table1[[#This Row],[Name]],MountsByName[],5,FALSE)</f>
        <v>0</v>
      </c>
      <c r="G433" s="1">
        <f>VLOOKUP(Table1[[#This Row],[Name]],MountsByName[],6,FALSE)</f>
        <v>1</v>
      </c>
      <c r="H433" s="1">
        <f>VLOOKUP(Table1[[#This Row],[Name]],MountsByName[],7,FALSE)</f>
        <v>0</v>
      </c>
      <c r="I433" s="1">
        <f>VLOOKUP(Table1[[#This Row],[Name]],MountsByName[],8,FALSE)</f>
        <v>0</v>
      </c>
      <c r="J433" s="1">
        <f>VLOOKUP(Table1[[#This Row],[Name]],MountsByName[],9,FALSE)</f>
        <v>0</v>
      </c>
      <c r="K433" s="1">
        <f>VLOOKUP(Table1[[#This Row],[Name]],MountsByName[],10,FALSE)</f>
        <v>0</v>
      </c>
      <c r="L433" s="1">
        <f>VLOOKUP(Table1[[#This Row],[Name]],MountsByName[],11,FALSE)</f>
        <v>0</v>
      </c>
      <c r="M433" s="1">
        <f>VLOOKUP(Table1[[#This Row],[Name]],MountsByName[],12,FALSE)</f>
        <v>1</v>
      </c>
      <c r="N43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[163024] ={"Warforged Nightmare", 163024, 0, 1, 1, 0, "Warforged", "0", 1, 0},</v>
      </c>
    </row>
    <row r="434" spans="1:14" x14ac:dyDescent="0.35">
      <c r="A434" s="2">
        <v>5784</v>
      </c>
      <c r="B434" t="s">
        <v>137</v>
      </c>
      <c r="C434" s="1" t="str">
        <f>VLOOKUP(Table1[[#This Row],[Name]],MountsByName[],2,FALSE)</f>
        <v>Warlock</v>
      </c>
      <c r="D434" s="1">
        <f>VLOOKUP(Table1[[#This Row],[Name]],MountsByName[],3,FALSE)</f>
        <v>0.6</v>
      </c>
      <c r="E434" s="1">
        <f>VLOOKUP(Table1[[#This Row],[Name]],MountsByName[],4,FALSE)</f>
        <v>0.6</v>
      </c>
      <c r="F434" s="1">
        <f>VLOOKUP(Table1[[#This Row],[Name]],MountsByName[],5,FALSE)</f>
        <v>0</v>
      </c>
      <c r="G434" s="1">
        <f>VLOOKUP(Table1[[#This Row],[Name]],MountsByName[],6,FALSE)</f>
        <v>1</v>
      </c>
      <c r="H434" s="1">
        <f>VLOOKUP(Table1[[#This Row],[Name]],MountsByName[],7,FALSE)</f>
        <v>0</v>
      </c>
      <c r="I434" s="1">
        <f>VLOOKUP(Table1[[#This Row],[Name]],MountsByName[],8,FALSE)</f>
        <v>0</v>
      </c>
      <c r="J434" s="1" t="str">
        <f>VLOOKUP(Table1[[#This Row],[Name]],MountsByName[],9,FALSE)</f>
        <v>Warlock</v>
      </c>
      <c r="K434" s="1">
        <f>VLOOKUP(Table1[[#This Row],[Name]],MountsByName[],10,FALSE)</f>
        <v>1</v>
      </c>
      <c r="L434" s="1">
        <f>VLOOKUP(Table1[[#This Row],[Name]],MountsByName[],11,FALSE)</f>
        <v>1</v>
      </c>
      <c r="M434" s="1">
        <f>VLOOKUP(Table1[[#This Row],[Name]],MountsByName[],12,FALSE)</f>
        <v>1</v>
      </c>
      <c r="N43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[5784] ={"Felsteed", 5784, 0, 0.6, 0.6, 0, "Warlock", "Warlock", 1, 0},</v>
      </c>
    </row>
    <row r="435" spans="1:14" x14ac:dyDescent="0.35">
      <c r="A435" s="2">
        <v>23161</v>
      </c>
      <c r="B435" t="s">
        <v>134</v>
      </c>
      <c r="C435" s="1" t="str">
        <f>VLOOKUP(Table1[[#This Row],[Name]],MountsByName[],2,FALSE)</f>
        <v>Warlock</v>
      </c>
      <c r="D435" s="1">
        <f>VLOOKUP(Table1[[#This Row],[Name]],MountsByName[],3,FALSE)</f>
        <v>1</v>
      </c>
      <c r="E435" s="1">
        <f>VLOOKUP(Table1[[#This Row],[Name]],MountsByName[],4,FALSE)</f>
        <v>1</v>
      </c>
      <c r="F435" s="1">
        <f>VLOOKUP(Table1[[#This Row],[Name]],MountsByName[],5,FALSE)</f>
        <v>0</v>
      </c>
      <c r="G435" s="1">
        <f>VLOOKUP(Table1[[#This Row],[Name]],MountsByName[],6,FALSE)</f>
        <v>1</v>
      </c>
      <c r="H435" s="1">
        <f>VLOOKUP(Table1[[#This Row],[Name]],MountsByName[],7,FALSE)</f>
        <v>0</v>
      </c>
      <c r="I435" s="1">
        <f>VLOOKUP(Table1[[#This Row],[Name]],MountsByName[],8,FALSE)</f>
        <v>0</v>
      </c>
      <c r="J435" s="1" t="str">
        <f>VLOOKUP(Table1[[#This Row],[Name]],MountsByName[],9,FALSE)</f>
        <v>Warlock</v>
      </c>
      <c r="K435" s="1">
        <f>VLOOKUP(Table1[[#This Row],[Name]],MountsByName[],10,FALSE)</f>
        <v>1</v>
      </c>
      <c r="L435" s="1">
        <f>VLOOKUP(Table1[[#This Row],[Name]],MountsByName[],11,FALSE)</f>
        <v>1</v>
      </c>
      <c r="M435" s="1">
        <f>VLOOKUP(Table1[[#This Row],[Name]],MountsByName[],12,FALSE)</f>
        <v>1</v>
      </c>
      <c r="N43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[23161] ={"Dreadsteed", 23161, 0, 1, 1, 0, "Warlock", "Warlock", 1, 0},</v>
      </c>
    </row>
    <row r="436" spans="1:14" x14ac:dyDescent="0.35">
      <c r="A436" s="2">
        <v>348459</v>
      </c>
      <c r="B436" t="s">
        <v>362</v>
      </c>
      <c r="C436" s="1" t="str">
        <f>VLOOKUP(Table1[[#This Row],[Name]],MountsByName[],2,FALSE)</f>
        <v>Warp Stalker</v>
      </c>
      <c r="D436" s="1">
        <f>VLOOKUP(Table1[[#This Row],[Name]],MountsByName[],3,FALSE)</f>
        <v>1</v>
      </c>
      <c r="E436" s="1">
        <f>VLOOKUP(Table1[[#This Row],[Name]],MountsByName[],4,FALSE)</f>
        <v>1</v>
      </c>
      <c r="F436" s="1">
        <f>VLOOKUP(Table1[[#This Row],[Name]],MountsByName[],5,FALSE)</f>
        <v>0</v>
      </c>
      <c r="G436" s="1">
        <f>VLOOKUP(Table1[[#This Row],[Name]],MountsByName[],6,FALSE)</f>
        <v>1</v>
      </c>
      <c r="H436" s="1">
        <f>VLOOKUP(Table1[[#This Row],[Name]],MountsByName[],7,FALSE)</f>
        <v>0</v>
      </c>
      <c r="I436" s="1">
        <f>VLOOKUP(Table1[[#This Row],[Name]],MountsByName[],8,FALSE)</f>
        <v>184865</v>
      </c>
      <c r="J436" s="1" t="str">
        <f>VLOOKUP(Table1[[#This Row],[Name]],MountsByName[],9,FALSE)</f>
        <v>Store</v>
      </c>
      <c r="K436" s="1">
        <f>VLOOKUP(Table1[[#This Row],[Name]],MountsByName[],10,FALSE)</f>
        <v>1</v>
      </c>
      <c r="L436" s="1">
        <f>VLOOKUP(Table1[[#This Row],[Name]],MountsByName[],11,FALSE)</f>
        <v>1</v>
      </c>
      <c r="M436" s="1">
        <f>VLOOKUP(Table1[[#This Row],[Name]],MountsByName[],12,FALSE)</f>
        <v>1</v>
      </c>
      <c r="N43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[348459] ={"Reawakened Phase-Hunter", 348459, 184865, 1, 1, 0, "Warp Stalker", "Store", 1, 0},</v>
      </c>
    </row>
    <row r="437" spans="1:14" x14ac:dyDescent="0.35">
      <c r="A437" s="2">
        <v>118089</v>
      </c>
      <c r="B437" t="s">
        <v>1076</v>
      </c>
      <c r="C437" s="1" t="str">
        <f>VLOOKUP(Table1[[#This Row],[Name]],MountsByName[],2,FALSE)</f>
        <v>Water Strider</v>
      </c>
      <c r="D437" s="1">
        <f>VLOOKUP(Table1[[#This Row],[Name]],MountsByName[],3,FALSE)</f>
        <v>1</v>
      </c>
      <c r="E437" s="1">
        <f>VLOOKUP(Table1[[#This Row],[Name]],MountsByName[],4,FALSE)</f>
        <v>1</v>
      </c>
      <c r="F437" s="1">
        <f>VLOOKUP(Table1[[#This Row],[Name]],MountsByName[],5,FALSE)</f>
        <v>0</v>
      </c>
      <c r="G437" s="1">
        <f>VLOOKUP(Table1[[#This Row],[Name]],MountsByName[],6,FALSE)</f>
        <v>1</v>
      </c>
      <c r="H437" s="1">
        <f>VLOOKUP(Table1[[#This Row],[Name]],MountsByName[],7,FALSE)</f>
        <v>0</v>
      </c>
      <c r="I437" s="1">
        <f>VLOOKUP(Table1[[#This Row],[Name]],MountsByName[],8,FALSE)</f>
        <v>0</v>
      </c>
      <c r="J437" s="1">
        <f>VLOOKUP(Table1[[#This Row],[Name]],MountsByName[],9,FALSE)</f>
        <v>0</v>
      </c>
      <c r="K437" s="1">
        <f>VLOOKUP(Table1[[#This Row],[Name]],MountsByName[],10,FALSE)</f>
        <v>0</v>
      </c>
      <c r="L437" s="1">
        <f>VLOOKUP(Table1[[#This Row],[Name]],MountsByName[],11,FALSE)</f>
        <v>0</v>
      </c>
      <c r="M437" s="1">
        <f>VLOOKUP(Table1[[#This Row],[Name]],MountsByName[],12,FALSE)</f>
        <v>1</v>
      </c>
      <c r="N43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[118089] ={"Azure Water Strider", 118089, 0, 1, 1, 0, "Water Strider", "0", 1, 0},</v>
      </c>
    </row>
    <row r="438" spans="1:14" x14ac:dyDescent="0.35">
      <c r="A438" s="2">
        <v>127271</v>
      </c>
      <c r="B438" t="s">
        <v>1058</v>
      </c>
      <c r="C438" s="1" t="str">
        <f>VLOOKUP(Table1[[#This Row],[Name]],MountsByName[],2,FALSE)</f>
        <v>Water Strider</v>
      </c>
      <c r="D438" s="1">
        <f>VLOOKUP(Table1[[#This Row],[Name]],MountsByName[],3,FALSE)</f>
        <v>1</v>
      </c>
      <c r="E438" s="1">
        <f>VLOOKUP(Table1[[#This Row],[Name]],MountsByName[],4,FALSE)</f>
        <v>1</v>
      </c>
      <c r="F438" s="1">
        <f>VLOOKUP(Table1[[#This Row],[Name]],MountsByName[],5,FALSE)</f>
        <v>0</v>
      </c>
      <c r="G438" s="1">
        <f>VLOOKUP(Table1[[#This Row],[Name]],MountsByName[],6,FALSE)</f>
        <v>1</v>
      </c>
      <c r="H438" s="1">
        <f>VLOOKUP(Table1[[#This Row],[Name]],MountsByName[],7,FALSE)</f>
        <v>0</v>
      </c>
      <c r="I438" s="1">
        <f>VLOOKUP(Table1[[#This Row],[Name]],MountsByName[],8,FALSE)</f>
        <v>0</v>
      </c>
      <c r="J438" s="1">
        <f>VLOOKUP(Table1[[#This Row],[Name]],MountsByName[],9,FALSE)</f>
        <v>0</v>
      </c>
      <c r="K438" s="1">
        <f>VLOOKUP(Table1[[#This Row],[Name]],MountsByName[],10,FALSE)</f>
        <v>0</v>
      </c>
      <c r="L438" s="1">
        <f>VLOOKUP(Table1[[#This Row],[Name]],MountsByName[],11,FALSE)</f>
        <v>0</v>
      </c>
      <c r="M438" s="1">
        <f>VLOOKUP(Table1[[#This Row],[Name]],MountsByName[],12,FALSE)</f>
        <v>1</v>
      </c>
      <c r="N43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[127271] ={"Crimson Water Strider", 127271, 0, 1, 1, 0, "Water Strider", "0", 1, 0},</v>
      </c>
    </row>
    <row r="439" spans="1:14" x14ac:dyDescent="0.35">
      <c r="A439" s="2">
        <v>127272</v>
      </c>
      <c r="B439" t="s">
        <v>1048</v>
      </c>
      <c r="C439" s="1" t="str">
        <f>VLOOKUP(Table1[[#This Row],[Name]],MountsByName[],2,FALSE)</f>
        <v>Water Strider</v>
      </c>
      <c r="D439" s="1">
        <f>VLOOKUP(Table1[[#This Row],[Name]],MountsByName[],3,FALSE)</f>
        <v>1</v>
      </c>
      <c r="E439" s="1">
        <f>VLOOKUP(Table1[[#This Row],[Name]],MountsByName[],4,FALSE)</f>
        <v>1</v>
      </c>
      <c r="F439" s="1">
        <f>VLOOKUP(Table1[[#This Row],[Name]],MountsByName[],5,FALSE)</f>
        <v>0</v>
      </c>
      <c r="G439" s="1">
        <f>VLOOKUP(Table1[[#This Row],[Name]],MountsByName[],6,FALSE)</f>
        <v>1</v>
      </c>
      <c r="H439" s="1">
        <f>VLOOKUP(Table1[[#This Row],[Name]],MountsByName[],7,FALSE)</f>
        <v>0</v>
      </c>
      <c r="I439" s="1">
        <f>VLOOKUP(Table1[[#This Row],[Name]],MountsByName[],8,FALSE)</f>
        <v>0</v>
      </c>
      <c r="J439" s="1">
        <f>VLOOKUP(Table1[[#This Row],[Name]],MountsByName[],9,FALSE)</f>
        <v>0</v>
      </c>
      <c r="K439" s="1">
        <f>VLOOKUP(Table1[[#This Row],[Name]],MountsByName[],10,FALSE)</f>
        <v>0</v>
      </c>
      <c r="L439" s="1">
        <f>VLOOKUP(Table1[[#This Row],[Name]],MountsByName[],11,FALSE)</f>
        <v>0</v>
      </c>
      <c r="M439" s="1">
        <f>VLOOKUP(Table1[[#This Row],[Name]],MountsByName[],12,FALSE)</f>
        <v>1</v>
      </c>
      <c r="N43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[127272] ={"Orange Water Strider", 127272, 0, 1, 1, 0, "Water Strider", "0", 1, 0},</v>
      </c>
    </row>
    <row r="440" spans="1:14" x14ac:dyDescent="0.35">
      <c r="A440" s="2">
        <v>127274</v>
      </c>
      <c r="B440" t="s">
        <v>1060</v>
      </c>
      <c r="C440" s="1" t="str">
        <f>VLOOKUP(Table1[[#This Row],[Name]],MountsByName[],2,FALSE)</f>
        <v>Water Strider</v>
      </c>
      <c r="D440" s="1">
        <f>VLOOKUP(Table1[[#This Row],[Name]],MountsByName[],3,FALSE)</f>
        <v>1</v>
      </c>
      <c r="E440" s="1">
        <f>VLOOKUP(Table1[[#This Row],[Name]],MountsByName[],4,FALSE)</f>
        <v>1</v>
      </c>
      <c r="F440" s="1">
        <f>VLOOKUP(Table1[[#This Row],[Name]],MountsByName[],5,FALSE)</f>
        <v>0</v>
      </c>
      <c r="G440" s="1">
        <f>VLOOKUP(Table1[[#This Row],[Name]],MountsByName[],6,FALSE)</f>
        <v>1</v>
      </c>
      <c r="H440" s="1">
        <f>VLOOKUP(Table1[[#This Row],[Name]],MountsByName[],7,FALSE)</f>
        <v>0</v>
      </c>
      <c r="I440" s="1">
        <f>VLOOKUP(Table1[[#This Row],[Name]],MountsByName[],8,FALSE)</f>
        <v>0</v>
      </c>
      <c r="J440" s="1">
        <f>VLOOKUP(Table1[[#This Row],[Name]],MountsByName[],9,FALSE)</f>
        <v>0</v>
      </c>
      <c r="K440" s="1">
        <f>VLOOKUP(Table1[[#This Row],[Name]],MountsByName[],10,FALSE)</f>
        <v>0</v>
      </c>
      <c r="L440" s="1">
        <f>VLOOKUP(Table1[[#This Row],[Name]],MountsByName[],11,FALSE)</f>
        <v>0</v>
      </c>
      <c r="M440" s="1">
        <f>VLOOKUP(Table1[[#This Row],[Name]],MountsByName[],12,FALSE)</f>
        <v>1</v>
      </c>
      <c r="N44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[127274] ={"Jade Water Strider", 127274, 0, 1, 1, 0, "Water Strider", "0", 1, 0},</v>
      </c>
    </row>
    <row r="441" spans="1:14" x14ac:dyDescent="0.35">
      <c r="A441" s="2">
        <v>127278</v>
      </c>
      <c r="B441" t="s">
        <v>1081</v>
      </c>
      <c r="C441" s="1" t="str">
        <f>VLOOKUP(Table1[[#This Row],[Name]],MountsByName[],2,FALSE)</f>
        <v>Water Strider</v>
      </c>
      <c r="D441" s="1">
        <f>VLOOKUP(Table1[[#This Row],[Name]],MountsByName[],3,FALSE)</f>
        <v>1</v>
      </c>
      <c r="E441" s="1">
        <f>VLOOKUP(Table1[[#This Row],[Name]],MountsByName[],4,FALSE)</f>
        <v>1</v>
      </c>
      <c r="F441" s="1">
        <f>VLOOKUP(Table1[[#This Row],[Name]],MountsByName[],5,FALSE)</f>
        <v>0</v>
      </c>
      <c r="G441" s="1">
        <f>VLOOKUP(Table1[[#This Row],[Name]],MountsByName[],6,FALSE)</f>
        <v>1</v>
      </c>
      <c r="H441" s="1">
        <f>VLOOKUP(Table1[[#This Row],[Name]],MountsByName[],7,FALSE)</f>
        <v>0</v>
      </c>
      <c r="I441" s="1">
        <f>VLOOKUP(Table1[[#This Row],[Name]],MountsByName[],8,FALSE)</f>
        <v>0</v>
      </c>
      <c r="J441" s="1">
        <f>VLOOKUP(Table1[[#This Row],[Name]],MountsByName[],9,FALSE)</f>
        <v>0</v>
      </c>
      <c r="K441" s="1">
        <f>VLOOKUP(Table1[[#This Row],[Name]],MountsByName[],10,FALSE)</f>
        <v>0</v>
      </c>
      <c r="L441" s="1">
        <f>VLOOKUP(Table1[[#This Row],[Name]],MountsByName[],11,FALSE)</f>
        <v>0</v>
      </c>
      <c r="M441" s="1">
        <f>VLOOKUP(Table1[[#This Row],[Name]],MountsByName[],12,FALSE)</f>
        <v>1</v>
      </c>
      <c r="N441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[127278] ={"Golden Water Strider", 127278, 0, 1, 1, 0, "Water Strider", "0", 1, 0},</v>
      </c>
    </row>
    <row r="442" spans="1:14" x14ac:dyDescent="0.35">
      <c r="A442" s="2">
        <v>32243</v>
      </c>
      <c r="B442" t="s">
        <v>67</v>
      </c>
      <c r="C442" s="1" t="str">
        <f>VLOOKUP(Table1[[#This Row],[Name]],MountsByName[],2,FALSE)</f>
        <v>Wind Rider</v>
      </c>
      <c r="D442" s="1">
        <f>VLOOKUP(Table1[[#This Row],[Name]],MountsByName[],3,FALSE)</f>
        <v>1.5</v>
      </c>
      <c r="E442" s="1">
        <f>VLOOKUP(Table1[[#This Row],[Name]],MountsByName[],4,FALSE)</f>
        <v>1.5</v>
      </c>
      <c r="F442" s="1">
        <f>VLOOKUP(Table1[[#This Row],[Name]],MountsByName[],5,FALSE)</f>
        <v>0</v>
      </c>
      <c r="G442" s="1">
        <f>VLOOKUP(Table1[[#This Row],[Name]],MountsByName[],6,FALSE)</f>
        <v>1</v>
      </c>
      <c r="H442" s="1">
        <f>VLOOKUP(Table1[[#This Row],[Name]],MountsByName[],7,FALSE)</f>
        <v>0</v>
      </c>
      <c r="I442" s="1">
        <f>VLOOKUP(Table1[[#This Row],[Name]],MountsByName[],8,FALSE)</f>
        <v>25474</v>
      </c>
      <c r="J442" s="1" t="str">
        <f>VLOOKUP(Table1[[#This Row],[Name]],MountsByName[],9,FALSE)</f>
        <v>Gold</v>
      </c>
      <c r="K442" s="1">
        <f>VLOOKUP(Table1[[#This Row],[Name]],MountsByName[],10,FALSE)</f>
        <v>0</v>
      </c>
      <c r="L442" s="1">
        <f>VLOOKUP(Table1[[#This Row],[Name]],MountsByName[],11,FALSE)</f>
        <v>1</v>
      </c>
      <c r="M442" s="1">
        <f>VLOOKUP(Table1[[#This Row],[Name]],MountsByName[],12,FALSE)</f>
        <v>1</v>
      </c>
      <c r="N44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[32243] ={"Tawny Wind Rider", 32243, 25474, 1.5, 1.5, 0, "Wind Rider", "Gold", 1, 0},</v>
      </c>
    </row>
    <row r="443" spans="1:14" x14ac:dyDescent="0.35">
      <c r="A443" s="2">
        <v>32244</v>
      </c>
      <c r="B443" t="s">
        <v>19</v>
      </c>
      <c r="C443" s="1" t="str">
        <f>VLOOKUP(Table1[[#This Row],[Name]],MountsByName[],2,FALSE)</f>
        <v>Wind Rider</v>
      </c>
      <c r="D443" s="1">
        <f>VLOOKUP(Table1[[#This Row],[Name]],MountsByName[],3,FALSE)</f>
        <v>1.5</v>
      </c>
      <c r="E443" s="1">
        <f>VLOOKUP(Table1[[#This Row],[Name]],MountsByName[],4,FALSE)</f>
        <v>1.5</v>
      </c>
      <c r="F443" s="1">
        <f>VLOOKUP(Table1[[#This Row],[Name]],MountsByName[],5,FALSE)</f>
        <v>0</v>
      </c>
      <c r="G443" s="1">
        <f>VLOOKUP(Table1[[#This Row],[Name]],MountsByName[],6,FALSE)</f>
        <v>1</v>
      </c>
      <c r="H443" s="1">
        <f>VLOOKUP(Table1[[#This Row],[Name]],MountsByName[],7,FALSE)</f>
        <v>0</v>
      </c>
      <c r="I443" s="1">
        <f>VLOOKUP(Table1[[#This Row],[Name]],MountsByName[],8,FALSE)</f>
        <v>25475</v>
      </c>
      <c r="J443" s="1" t="str">
        <f>VLOOKUP(Table1[[#This Row],[Name]],MountsByName[],9,FALSE)</f>
        <v>Gold</v>
      </c>
      <c r="K443" s="1">
        <f>VLOOKUP(Table1[[#This Row],[Name]],MountsByName[],10,FALSE)</f>
        <v>0</v>
      </c>
      <c r="L443" s="1">
        <f>VLOOKUP(Table1[[#This Row],[Name]],MountsByName[],11,FALSE)</f>
        <v>1</v>
      </c>
      <c r="M443" s="1">
        <f>VLOOKUP(Table1[[#This Row],[Name]],MountsByName[],12,FALSE)</f>
        <v>1</v>
      </c>
      <c r="N44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[32244] ={"Blue Wind Rider", 32244, 25475, 1.5, 1.5, 0, "Wind Rider", "Gold", 1, 0},</v>
      </c>
    </row>
    <row r="444" spans="1:14" x14ac:dyDescent="0.35">
      <c r="A444" s="2">
        <v>32245</v>
      </c>
      <c r="B444" t="s">
        <v>35</v>
      </c>
      <c r="C444" s="1" t="str">
        <f>VLOOKUP(Table1[[#This Row],[Name]],MountsByName[],2,FALSE)</f>
        <v>Wind Rider</v>
      </c>
      <c r="D444" s="1">
        <f>VLOOKUP(Table1[[#This Row],[Name]],MountsByName[],3,FALSE)</f>
        <v>1.5</v>
      </c>
      <c r="E444" s="1">
        <f>VLOOKUP(Table1[[#This Row],[Name]],MountsByName[],4,FALSE)</f>
        <v>1.5</v>
      </c>
      <c r="F444" s="1">
        <f>VLOOKUP(Table1[[#This Row],[Name]],MountsByName[],5,FALSE)</f>
        <v>0</v>
      </c>
      <c r="G444" s="1">
        <f>VLOOKUP(Table1[[#This Row],[Name]],MountsByName[],6,FALSE)</f>
        <v>1</v>
      </c>
      <c r="H444" s="1">
        <f>VLOOKUP(Table1[[#This Row],[Name]],MountsByName[],7,FALSE)</f>
        <v>0</v>
      </c>
      <c r="I444" s="1">
        <f>VLOOKUP(Table1[[#This Row],[Name]],MountsByName[],8,FALSE)</f>
        <v>25476</v>
      </c>
      <c r="J444" s="1" t="str">
        <f>VLOOKUP(Table1[[#This Row],[Name]],MountsByName[],9,FALSE)</f>
        <v>Gold</v>
      </c>
      <c r="K444" s="1">
        <f>VLOOKUP(Table1[[#This Row],[Name]],MountsByName[],10,FALSE)</f>
        <v>0</v>
      </c>
      <c r="L444" s="1">
        <f>VLOOKUP(Table1[[#This Row],[Name]],MountsByName[],11,FALSE)</f>
        <v>1</v>
      </c>
      <c r="M444" s="1">
        <f>VLOOKUP(Table1[[#This Row],[Name]],MountsByName[],12,FALSE)</f>
        <v>1</v>
      </c>
      <c r="N44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[32245] ={"Green Wind Rider", 32245, 25476, 1.5, 1.5, 0, "Wind Rider", "Gold", 1, 0},</v>
      </c>
    </row>
    <row r="445" spans="1:14" x14ac:dyDescent="0.35">
      <c r="A445" s="2">
        <v>32246</v>
      </c>
      <c r="B445" t="s">
        <v>65</v>
      </c>
      <c r="C445" s="1" t="str">
        <f>VLOOKUP(Table1[[#This Row],[Name]],MountsByName[],2,FALSE)</f>
        <v>Wind Rider</v>
      </c>
      <c r="D445" s="1">
        <f>VLOOKUP(Table1[[#This Row],[Name]],MountsByName[],3,FALSE)</f>
        <v>2.8</v>
      </c>
      <c r="E445" s="1">
        <f>VLOOKUP(Table1[[#This Row],[Name]],MountsByName[],4,FALSE)</f>
        <v>2.8</v>
      </c>
      <c r="F445" s="1">
        <f>VLOOKUP(Table1[[#This Row],[Name]],MountsByName[],5,FALSE)</f>
        <v>0</v>
      </c>
      <c r="G445" s="1">
        <f>VLOOKUP(Table1[[#This Row],[Name]],MountsByName[],6,FALSE)</f>
        <v>1</v>
      </c>
      <c r="H445" s="1">
        <f>VLOOKUP(Table1[[#This Row],[Name]],MountsByName[],7,FALSE)</f>
        <v>0</v>
      </c>
      <c r="I445" s="1">
        <f>VLOOKUP(Table1[[#This Row],[Name]],MountsByName[],8,FALSE)</f>
        <v>25477</v>
      </c>
      <c r="J445" s="1" t="str">
        <f>VLOOKUP(Table1[[#This Row],[Name]],MountsByName[],9,FALSE)</f>
        <v>Gold</v>
      </c>
      <c r="K445" s="1">
        <f>VLOOKUP(Table1[[#This Row],[Name]],MountsByName[],10,FALSE)</f>
        <v>0</v>
      </c>
      <c r="L445" s="1">
        <f>VLOOKUP(Table1[[#This Row],[Name]],MountsByName[],11,FALSE)</f>
        <v>1</v>
      </c>
      <c r="M445" s="1">
        <f>VLOOKUP(Table1[[#This Row],[Name]],MountsByName[],12,FALSE)</f>
        <v>1</v>
      </c>
      <c r="N44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[32246] ={"Swift Red Wind Rider", 32246, 25477, 2.8, 2.8, 0, "Wind Rider", "Gold", 1, 0},</v>
      </c>
    </row>
    <row r="446" spans="1:14" x14ac:dyDescent="0.35">
      <c r="A446" s="2">
        <v>32295</v>
      </c>
      <c r="B446" t="s">
        <v>60</v>
      </c>
      <c r="C446" s="1" t="str">
        <f>VLOOKUP(Table1[[#This Row],[Name]],MountsByName[],2,FALSE)</f>
        <v>Wind Rider</v>
      </c>
      <c r="D446" s="1">
        <f>VLOOKUP(Table1[[#This Row],[Name]],MountsByName[],3,FALSE)</f>
        <v>2.8</v>
      </c>
      <c r="E446" s="1">
        <f>VLOOKUP(Table1[[#This Row],[Name]],MountsByName[],4,FALSE)</f>
        <v>2.8</v>
      </c>
      <c r="F446" s="1">
        <f>VLOOKUP(Table1[[#This Row],[Name]],MountsByName[],5,FALSE)</f>
        <v>0</v>
      </c>
      <c r="G446" s="1">
        <f>VLOOKUP(Table1[[#This Row],[Name]],MountsByName[],6,FALSE)</f>
        <v>1</v>
      </c>
      <c r="H446" s="1">
        <f>VLOOKUP(Table1[[#This Row],[Name]],MountsByName[],7,FALSE)</f>
        <v>0</v>
      </c>
      <c r="I446" s="1">
        <f>VLOOKUP(Table1[[#This Row],[Name]],MountsByName[],8,FALSE)</f>
        <v>25531</v>
      </c>
      <c r="J446" s="1" t="str">
        <f>VLOOKUP(Table1[[#This Row],[Name]],MountsByName[],9,FALSE)</f>
        <v>Gold</v>
      </c>
      <c r="K446" s="1">
        <f>VLOOKUP(Table1[[#This Row],[Name]],MountsByName[],10,FALSE)</f>
        <v>0</v>
      </c>
      <c r="L446" s="1">
        <f>VLOOKUP(Table1[[#This Row],[Name]],MountsByName[],11,FALSE)</f>
        <v>1</v>
      </c>
      <c r="M446" s="1">
        <f>VLOOKUP(Table1[[#This Row],[Name]],MountsByName[],12,FALSE)</f>
        <v>1</v>
      </c>
      <c r="N44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[32295] ={"Swift Green Wind Rider", 32295, 25531, 2.8, 2.8, 0, "Wind Rider", "Gold", 1, 0},</v>
      </c>
    </row>
    <row r="447" spans="1:14" x14ac:dyDescent="0.35">
      <c r="A447" s="2">
        <v>32296</v>
      </c>
      <c r="B447" t="s">
        <v>66</v>
      </c>
      <c r="C447" s="1" t="str">
        <f>VLOOKUP(Table1[[#This Row],[Name]],MountsByName[],2,FALSE)</f>
        <v>Wind Rider</v>
      </c>
      <c r="D447" s="1">
        <f>VLOOKUP(Table1[[#This Row],[Name]],MountsByName[],3,FALSE)</f>
        <v>2.8</v>
      </c>
      <c r="E447" s="1">
        <f>VLOOKUP(Table1[[#This Row],[Name]],MountsByName[],4,FALSE)</f>
        <v>2.8</v>
      </c>
      <c r="F447" s="1">
        <f>VLOOKUP(Table1[[#This Row],[Name]],MountsByName[],5,FALSE)</f>
        <v>0</v>
      </c>
      <c r="G447" s="1">
        <f>VLOOKUP(Table1[[#This Row],[Name]],MountsByName[],6,FALSE)</f>
        <v>1</v>
      </c>
      <c r="H447" s="1">
        <f>VLOOKUP(Table1[[#This Row],[Name]],MountsByName[],7,FALSE)</f>
        <v>0</v>
      </c>
      <c r="I447" s="1">
        <f>VLOOKUP(Table1[[#This Row],[Name]],MountsByName[],8,FALSE)</f>
        <v>25532</v>
      </c>
      <c r="J447" s="1" t="str">
        <f>VLOOKUP(Table1[[#This Row],[Name]],MountsByName[],9,FALSE)</f>
        <v>Gold</v>
      </c>
      <c r="K447" s="1">
        <f>VLOOKUP(Table1[[#This Row],[Name]],MountsByName[],10,FALSE)</f>
        <v>0</v>
      </c>
      <c r="L447" s="1">
        <f>VLOOKUP(Table1[[#This Row],[Name]],MountsByName[],11,FALSE)</f>
        <v>1</v>
      </c>
      <c r="M447" s="1">
        <f>VLOOKUP(Table1[[#This Row],[Name]],MountsByName[],12,FALSE)</f>
        <v>1</v>
      </c>
      <c r="N44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[32296] ={"Swift Yellow Wind Rider", 32296, 25532, 2.8, 2.8, 0, "Wind Rider", "Gold", 1, 0},</v>
      </c>
    </row>
    <row r="448" spans="1:14" x14ac:dyDescent="0.35">
      <c r="A448" s="2">
        <v>32297</v>
      </c>
      <c r="B448" t="s">
        <v>63</v>
      </c>
      <c r="C448" s="1" t="str">
        <f>VLOOKUP(Table1[[#This Row],[Name]],MountsByName[],2,FALSE)</f>
        <v>Wind Rider</v>
      </c>
      <c r="D448" s="1">
        <f>VLOOKUP(Table1[[#This Row],[Name]],MountsByName[],3,FALSE)</f>
        <v>2.8</v>
      </c>
      <c r="E448" s="1">
        <f>VLOOKUP(Table1[[#This Row],[Name]],MountsByName[],4,FALSE)</f>
        <v>2.8</v>
      </c>
      <c r="F448" s="1">
        <f>VLOOKUP(Table1[[#This Row],[Name]],MountsByName[],5,FALSE)</f>
        <v>0</v>
      </c>
      <c r="G448" s="1">
        <f>VLOOKUP(Table1[[#This Row],[Name]],MountsByName[],6,FALSE)</f>
        <v>1</v>
      </c>
      <c r="H448" s="1">
        <f>VLOOKUP(Table1[[#This Row],[Name]],MountsByName[],7,FALSE)</f>
        <v>0</v>
      </c>
      <c r="I448" s="1">
        <f>VLOOKUP(Table1[[#This Row],[Name]],MountsByName[],8,FALSE)</f>
        <v>25533</v>
      </c>
      <c r="J448" s="1" t="str">
        <f>VLOOKUP(Table1[[#This Row],[Name]],MountsByName[],9,FALSE)</f>
        <v>Gold</v>
      </c>
      <c r="K448" s="1">
        <f>VLOOKUP(Table1[[#This Row],[Name]],MountsByName[],10,FALSE)</f>
        <v>0</v>
      </c>
      <c r="L448" s="1">
        <f>VLOOKUP(Table1[[#This Row],[Name]],MountsByName[],11,FALSE)</f>
        <v>1</v>
      </c>
      <c r="M448" s="1">
        <f>VLOOKUP(Table1[[#This Row],[Name]],MountsByName[],12,FALSE)</f>
        <v>1</v>
      </c>
      <c r="N44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[32297] ={"Swift Purple Wind Rider", 32297, 25533, 2.8, 2.8, 0, "Wind Rider", "Gold", 1, 0},</v>
      </c>
    </row>
    <row r="449" spans="1:14" x14ac:dyDescent="0.35">
      <c r="A449" s="2">
        <v>61230</v>
      </c>
      <c r="B449" t="s">
        <v>6</v>
      </c>
      <c r="C449" s="1" t="str">
        <f>VLOOKUP(Table1[[#This Row],[Name]],MountsByName[],2,FALSE)</f>
        <v>Wind Rider</v>
      </c>
      <c r="D449" s="1">
        <f>VLOOKUP(Table1[[#This Row],[Name]],MountsByName[],3,FALSE)</f>
        <v>2.8</v>
      </c>
      <c r="E449" s="1">
        <f>VLOOKUP(Table1[[#This Row],[Name]],MountsByName[],4,FALSE)</f>
        <v>2.8</v>
      </c>
      <c r="F449" s="1">
        <f>VLOOKUP(Table1[[#This Row],[Name]],MountsByName[],5,FALSE)</f>
        <v>0</v>
      </c>
      <c r="G449" s="1">
        <f>VLOOKUP(Table1[[#This Row],[Name]],MountsByName[],6,FALSE)</f>
        <v>1</v>
      </c>
      <c r="H449" s="1">
        <f>VLOOKUP(Table1[[#This Row],[Name]],MountsByName[],7,FALSE)</f>
        <v>0</v>
      </c>
      <c r="I449" s="1">
        <f>VLOOKUP(Table1[[#This Row],[Name]],MountsByName[],8,FALSE)</f>
        <v>44690</v>
      </c>
      <c r="J449" s="1" t="str">
        <f>VLOOKUP(Table1[[#This Row],[Name]],MountsByName[],9,FALSE)</f>
        <v>Gold</v>
      </c>
      <c r="K449" s="1">
        <f>VLOOKUP(Table1[[#This Row],[Name]],MountsByName[],10,FALSE)</f>
        <v>0</v>
      </c>
      <c r="L449" s="1">
        <f>VLOOKUP(Table1[[#This Row],[Name]],MountsByName[],11,FALSE)</f>
        <v>1</v>
      </c>
      <c r="M449" s="1">
        <f>VLOOKUP(Table1[[#This Row],[Name]],MountsByName[],12,FALSE)</f>
        <v>1</v>
      </c>
      <c r="N44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[61230] ={"Armored Blue Wind Rider", 61230, 44690, 2.8, 2.8, 0, "Wind Rider", "Gold", 1, 0},</v>
      </c>
    </row>
    <row r="450" spans="1:14" x14ac:dyDescent="0.35">
      <c r="A450" s="2">
        <v>107517</v>
      </c>
      <c r="B450" t="s">
        <v>484</v>
      </c>
      <c r="C450" s="1" t="str">
        <f>VLOOKUP(Table1[[#This Row],[Name]],MountsByName[],2,FALSE)</f>
        <v>Wind Rider</v>
      </c>
      <c r="D450" s="1">
        <f>VLOOKUP(Table1[[#This Row],[Name]],MountsByName[],3,FALSE)</f>
        <v>2.8</v>
      </c>
      <c r="E450" s="1">
        <f>VLOOKUP(Table1[[#This Row],[Name]],MountsByName[],4,FALSE)</f>
        <v>2.8</v>
      </c>
      <c r="F450" s="1">
        <f>VLOOKUP(Table1[[#This Row],[Name]],MountsByName[],5,FALSE)</f>
        <v>0</v>
      </c>
      <c r="G450" s="1">
        <f>VLOOKUP(Table1[[#This Row],[Name]],MountsByName[],6,FALSE)</f>
        <v>1</v>
      </c>
      <c r="H450" s="1">
        <f>VLOOKUP(Table1[[#This Row],[Name]],MountsByName[],7,FALSE)</f>
        <v>0</v>
      </c>
      <c r="I450" s="1">
        <f>VLOOKUP(Table1[[#This Row],[Name]],MountsByName[],8,FALSE)</f>
        <v>0</v>
      </c>
      <c r="J450" s="1">
        <f>VLOOKUP(Table1[[#This Row],[Name]],MountsByName[],9,FALSE)</f>
        <v>0</v>
      </c>
      <c r="K450" s="1">
        <f>VLOOKUP(Table1[[#This Row],[Name]],MountsByName[],10,FALSE)</f>
        <v>0</v>
      </c>
      <c r="L450" s="1">
        <f>VLOOKUP(Table1[[#This Row],[Name]],MountsByName[],11,FALSE)</f>
        <v>0</v>
      </c>
      <c r="M450" s="1">
        <f>VLOOKUP(Table1[[#This Row],[Name]],MountsByName[],12,FALSE)</f>
        <v>1</v>
      </c>
      <c r="N45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[107517] ={"Spectral Wind Rider", 107517, 0, 2.8, 2.8, 0, "Wind Rider", "0", 1, 0},</v>
      </c>
    </row>
    <row r="451" spans="1:14" x14ac:dyDescent="0.35">
      <c r="A451" s="2">
        <v>466948</v>
      </c>
      <c r="B451" t="s">
        <v>486</v>
      </c>
      <c r="C451" s="1" t="str">
        <f>VLOOKUP(Table1[[#This Row],[Name]],MountsByName[],2,FALSE)</f>
        <v>Wind Rider</v>
      </c>
      <c r="D451" s="1">
        <f>VLOOKUP(Table1[[#This Row],[Name]],MountsByName[],3,FALSE)</f>
        <v>2.8</v>
      </c>
      <c r="E451" s="1">
        <f>VLOOKUP(Table1[[#This Row],[Name]],MountsByName[],4,FALSE)</f>
        <v>2.8</v>
      </c>
      <c r="F451" s="1">
        <f>VLOOKUP(Table1[[#This Row],[Name]],MountsByName[],5,FALSE)</f>
        <v>0</v>
      </c>
      <c r="G451" s="1">
        <f>VLOOKUP(Table1[[#This Row],[Name]],MountsByName[],6,FALSE)</f>
        <v>1</v>
      </c>
      <c r="H451" s="1">
        <f>VLOOKUP(Table1[[#This Row],[Name]],MountsByName[],7,FALSE)</f>
        <v>0</v>
      </c>
      <c r="I451" s="1">
        <f>VLOOKUP(Table1[[#This Row],[Name]],MountsByName[],8,FALSE)</f>
        <v>0</v>
      </c>
      <c r="J451" s="1">
        <f>VLOOKUP(Table1[[#This Row],[Name]],MountsByName[],9,FALSE)</f>
        <v>0</v>
      </c>
      <c r="K451" s="1">
        <f>VLOOKUP(Table1[[#This Row],[Name]],MountsByName[],10,FALSE)</f>
        <v>0</v>
      </c>
      <c r="L451" s="1">
        <f>VLOOKUP(Table1[[#This Row],[Name]],MountsByName[],11,FALSE)</f>
        <v>0</v>
      </c>
      <c r="M451" s="1">
        <f>VLOOKUP(Table1[[#This Row],[Name]],MountsByName[],12,FALSE)</f>
        <v>1</v>
      </c>
      <c r="N451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[466948] ={"Chaos-Born Dreadwing", 466948, 0, 2.8, 2.8, 0, "Wind Rider", "0", 1, 0},</v>
      </c>
    </row>
    <row r="452" spans="1:14" x14ac:dyDescent="0.35">
      <c r="A452" s="2">
        <v>466977</v>
      </c>
      <c r="B452" t="s">
        <v>485</v>
      </c>
      <c r="C452" s="1" t="str">
        <f>VLOOKUP(Table1[[#This Row],[Name]],MountsByName[],2,FALSE)</f>
        <v>Wind Rider</v>
      </c>
      <c r="D452" s="1">
        <f>VLOOKUP(Table1[[#This Row],[Name]],MountsByName[],3,FALSE)</f>
        <v>2.8</v>
      </c>
      <c r="E452" s="1">
        <f>VLOOKUP(Table1[[#This Row],[Name]],MountsByName[],4,FALSE)</f>
        <v>2.8</v>
      </c>
      <c r="F452" s="1">
        <f>VLOOKUP(Table1[[#This Row],[Name]],MountsByName[],5,FALSE)</f>
        <v>0</v>
      </c>
      <c r="G452" s="1">
        <f>VLOOKUP(Table1[[#This Row],[Name]],MountsByName[],6,FALSE)</f>
        <v>1</v>
      </c>
      <c r="H452" s="1">
        <f>VLOOKUP(Table1[[#This Row],[Name]],MountsByName[],7,FALSE)</f>
        <v>0</v>
      </c>
      <c r="I452" s="1">
        <f>VLOOKUP(Table1[[#This Row],[Name]],MountsByName[],8,FALSE)</f>
        <v>0</v>
      </c>
      <c r="J452" s="1">
        <f>VLOOKUP(Table1[[#This Row],[Name]],MountsByName[],9,FALSE)</f>
        <v>0</v>
      </c>
      <c r="K452" s="1">
        <f>VLOOKUP(Table1[[#This Row],[Name]],MountsByName[],10,FALSE)</f>
        <v>0</v>
      </c>
      <c r="L452" s="1">
        <f>VLOOKUP(Table1[[#This Row],[Name]],MountsByName[],11,FALSE)</f>
        <v>0</v>
      </c>
      <c r="M452" s="1">
        <f>VLOOKUP(Table1[[#This Row],[Name]],MountsByName[],12,FALSE)</f>
        <v>1</v>
      </c>
      <c r="N45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[466977] ={"Chaos-Born Wind Rider", 466977, 0, 2.8, 2.8, 0, "Wind Rider", "0", 1, 0},</v>
      </c>
    </row>
    <row r="453" spans="1:14" x14ac:dyDescent="0.35">
      <c r="A453" s="2">
        <v>134573</v>
      </c>
      <c r="B453" t="s">
        <v>1124</v>
      </c>
      <c r="C453" s="1" t="str">
        <f>VLOOKUP(Table1[[#This Row],[Name]],MountsByName[],2,FALSE)</f>
        <v>Windsteed</v>
      </c>
      <c r="D453" s="1">
        <f>VLOOKUP(Table1[[#This Row],[Name]],MountsByName[],3,FALSE)</f>
        <v>2.8</v>
      </c>
      <c r="E453" s="1">
        <f>VLOOKUP(Table1[[#This Row],[Name]],MountsByName[],4,FALSE)</f>
        <v>2.8</v>
      </c>
      <c r="F453" s="1">
        <f>VLOOKUP(Table1[[#This Row],[Name]],MountsByName[],5,FALSE)</f>
        <v>0</v>
      </c>
      <c r="G453" s="1">
        <f>VLOOKUP(Table1[[#This Row],[Name]],MountsByName[],6,FALSE)</f>
        <v>1</v>
      </c>
      <c r="H453" s="1">
        <f>VLOOKUP(Table1[[#This Row],[Name]],MountsByName[],7,FALSE)</f>
        <v>0</v>
      </c>
      <c r="I453" s="1">
        <f>VLOOKUP(Table1[[#This Row],[Name]],MountsByName[],8,FALSE)</f>
        <v>0</v>
      </c>
      <c r="J453" s="1">
        <f>VLOOKUP(Table1[[#This Row],[Name]],MountsByName[],9,FALSE)</f>
        <v>0</v>
      </c>
      <c r="K453" s="1">
        <f>VLOOKUP(Table1[[#This Row],[Name]],MountsByName[],10,FALSE)</f>
        <v>0</v>
      </c>
      <c r="L453" s="1">
        <f>VLOOKUP(Table1[[#This Row],[Name]],MountsByName[],11,FALSE)</f>
        <v>0</v>
      </c>
      <c r="M453" s="1">
        <f>VLOOKUP(Table1[[#This Row],[Name]],MountsByName[],12,FALSE)</f>
        <v>1</v>
      </c>
      <c r="N45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[134573] ={"Swift Windsteed", 134573, 0, 2.8, 2.8, 0, "Windsteed", "0", 1, 0},</v>
      </c>
    </row>
    <row r="454" spans="1:14" x14ac:dyDescent="0.35">
      <c r="A454" s="2">
        <v>459</v>
      </c>
      <c r="B454" t="s">
        <v>151</v>
      </c>
      <c r="C454" s="1" t="str">
        <f>VLOOKUP(Table1[[#This Row],[Name]],MountsByName[],2,FALSE)</f>
        <v>Wolf</v>
      </c>
      <c r="D454" s="1">
        <f>VLOOKUP(Table1[[#This Row],[Name]],MountsByName[],3,FALSE)</f>
        <v>0.6</v>
      </c>
      <c r="E454" s="1">
        <f>VLOOKUP(Table1[[#This Row],[Name]],MountsByName[],4,FALSE)</f>
        <v>0.6</v>
      </c>
      <c r="F454" s="1">
        <f>VLOOKUP(Table1[[#This Row],[Name]],MountsByName[],5,FALSE)</f>
        <v>0</v>
      </c>
      <c r="G454" s="1">
        <f>VLOOKUP(Table1[[#This Row],[Name]],MountsByName[],6,FALSE)</f>
        <v>1</v>
      </c>
      <c r="H454" s="1">
        <f>VLOOKUP(Table1[[#This Row],[Name]],MountsByName[],7,FALSE)</f>
        <v>0</v>
      </c>
      <c r="I454" s="1">
        <f>VLOOKUP(Table1[[#This Row],[Name]],MountsByName[],8,FALSE)</f>
        <v>1134</v>
      </c>
      <c r="J454" s="1" t="str">
        <f>VLOOKUP(Table1[[#This Row],[Name]],MountsByName[],9,FALSE)</f>
        <v>Removed</v>
      </c>
      <c r="K454" s="1">
        <f>VLOOKUP(Table1[[#This Row],[Name]],MountsByName[],10,FALSE)</f>
        <v>0</v>
      </c>
      <c r="L454" s="1">
        <f>VLOOKUP(Table1[[#This Row],[Name]],MountsByName[],11,FALSE)</f>
        <v>1</v>
      </c>
      <c r="M454" s="1">
        <f>VLOOKUP(Table1[[#This Row],[Name]],MountsByName[],12,FALSE)</f>
        <v>1</v>
      </c>
      <c r="N45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[459] ={"Gray Wolf", 459, 1134, 0.6, 0.6, 0, "Wolf", "Removed", 1, 0},</v>
      </c>
    </row>
    <row r="455" spans="1:14" x14ac:dyDescent="0.35">
      <c r="A455" s="2">
        <v>578</v>
      </c>
      <c r="B455" t="s">
        <v>105</v>
      </c>
      <c r="C455" s="1" t="str">
        <f>VLOOKUP(Table1[[#This Row],[Name]],MountsByName[],2,FALSE)</f>
        <v>Wolf</v>
      </c>
      <c r="D455" s="1">
        <f>VLOOKUP(Table1[[#This Row],[Name]],MountsByName[],3,FALSE)</f>
        <v>0.6</v>
      </c>
      <c r="E455" s="1">
        <f>VLOOKUP(Table1[[#This Row],[Name]],MountsByName[],4,FALSE)</f>
        <v>0.6</v>
      </c>
      <c r="F455" s="1">
        <f>VLOOKUP(Table1[[#This Row],[Name]],MountsByName[],5,FALSE)</f>
        <v>0</v>
      </c>
      <c r="G455" s="1">
        <f>VLOOKUP(Table1[[#This Row],[Name]],MountsByName[],6,FALSE)</f>
        <v>1</v>
      </c>
      <c r="H455" s="1">
        <f>VLOOKUP(Table1[[#This Row],[Name]],MountsByName[],7,FALSE)</f>
        <v>0</v>
      </c>
      <c r="I455" s="1">
        <f>VLOOKUP(Table1[[#This Row],[Name]],MountsByName[],8,FALSE)</f>
        <v>46099</v>
      </c>
      <c r="J455" s="1" t="str">
        <f>VLOOKUP(Table1[[#This Row],[Name]],MountsByName[],9,FALSE)</f>
        <v>Gold</v>
      </c>
      <c r="K455" s="1">
        <f>VLOOKUP(Table1[[#This Row],[Name]],MountsByName[],10,FALSE)</f>
        <v>0</v>
      </c>
      <c r="L455" s="1">
        <f>VLOOKUP(Table1[[#This Row],[Name]],MountsByName[],11,FALSE)</f>
        <v>1</v>
      </c>
      <c r="M455" s="1">
        <f>VLOOKUP(Table1[[#This Row],[Name]],MountsByName[],12,FALSE)</f>
        <v>1</v>
      </c>
      <c r="N45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[578] ={"Black Wolf", 578, 46099, 0.6, 0.6, 0, "Wolf", "Gold", 1, 0},</v>
      </c>
    </row>
    <row r="456" spans="1:14" x14ac:dyDescent="0.35">
      <c r="A456" s="2">
        <v>579</v>
      </c>
      <c r="B456" t="s">
        <v>194</v>
      </c>
      <c r="C456" s="1" t="str">
        <f>VLOOKUP(Table1[[#This Row],[Name]],MountsByName[],2,FALSE)</f>
        <v>Wolf</v>
      </c>
      <c r="D456" s="1">
        <f>VLOOKUP(Table1[[#This Row],[Name]],MountsByName[],3,FALSE)</f>
        <v>1</v>
      </c>
      <c r="E456" s="1">
        <f>VLOOKUP(Table1[[#This Row],[Name]],MountsByName[],4,FALSE)</f>
        <v>1</v>
      </c>
      <c r="F456" s="1">
        <f>VLOOKUP(Table1[[#This Row],[Name]],MountsByName[],5,FALSE)</f>
        <v>0</v>
      </c>
      <c r="G456" s="1">
        <f>VLOOKUP(Table1[[#This Row],[Name]],MountsByName[],6,FALSE)</f>
        <v>1</v>
      </c>
      <c r="H456" s="1">
        <f>VLOOKUP(Table1[[#This Row],[Name]],MountsByName[],7,FALSE)</f>
        <v>0</v>
      </c>
      <c r="I456" s="1">
        <f>VLOOKUP(Table1[[#This Row],[Name]],MountsByName[],8,FALSE)</f>
        <v>12330</v>
      </c>
      <c r="J456" s="1" t="str">
        <f>VLOOKUP(Table1[[#This Row],[Name]],MountsByName[],9,FALSE)</f>
        <v>removed</v>
      </c>
      <c r="K456" s="1">
        <f>VLOOKUP(Table1[[#This Row],[Name]],MountsByName[],10,FALSE)</f>
        <v>0</v>
      </c>
      <c r="L456" s="1">
        <f>VLOOKUP(Table1[[#This Row],[Name]],MountsByName[],11,FALSE)</f>
        <v>1</v>
      </c>
      <c r="M456" s="1">
        <f>VLOOKUP(Table1[[#This Row],[Name]],MountsByName[],12,FALSE)</f>
        <v>1</v>
      </c>
      <c r="N45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[579] ={"Red Wolf", 579, 12330, 1, 1, 0, "Wolf", "removed", 1, 0},</v>
      </c>
    </row>
    <row r="457" spans="1:14" x14ac:dyDescent="0.35">
      <c r="A457" s="2">
        <v>580</v>
      </c>
      <c r="B457" t="s">
        <v>255</v>
      </c>
      <c r="C457" s="1" t="str">
        <f>VLOOKUP(Table1[[#This Row],[Name]],MountsByName[],2,FALSE)</f>
        <v>Wolf</v>
      </c>
      <c r="D457" s="1">
        <f>VLOOKUP(Table1[[#This Row],[Name]],MountsByName[],3,FALSE)</f>
        <v>0.6</v>
      </c>
      <c r="E457" s="1">
        <f>VLOOKUP(Table1[[#This Row],[Name]],MountsByName[],4,FALSE)</f>
        <v>0.6</v>
      </c>
      <c r="F457" s="1">
        <f>VLOOKUP(Table1[[#This Row],[Name]],MountsByName[],5,FALSE)</f>
        <v>0</v>
      </c>
      <c r="G457" s="1">
        <f>VLOOKUP(Table1[[#This Row],[Name]],MountsByName[],6,FALSE)</f>
        <v>1</v>
      </c>
      <c r="H457" s="1">
        <f>VLOOKUP(Table1[[#This Row],[Name]],MountsByName[],7,FALSE)</f>
        <v>0</v>
      </c>
      <c r="I457" s="1">
        <f>VLOOKUP(Table1[[#This Row],[Name]],MountsByName[],8,FALSE)</f>
        <v>1132</v>
      </c>
      <c r="J457" s="1" t="str">
        <f>VLOOKUP(Table1[[#This Row],[Name]],MountsByName[],9,FALSE)</f>
        <v>Gold</v>
      </c>
      <c r="K457" s="1">
        <f>VLOOKUP(Table1[[#This Row],[Name]],MountsByName[],10,FALSE)</f>
        <v>0</v>
      </c>
      <c r="L457" s="1">
        <f>VLOOKUP(Table1[[#This Row],[Name]],MountsByName[],11,FALSE)</f>
        <v>1</v>
      </c>
      <c r="M457" s="1">
        <f>VLOOKUP(Table1[[#This Row],[Name]],MountsByName[],12,FALSE)</f>
        <v>1</v>
      </c>
      <c r="N45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[580] ={"Timber Wolf", 580, 1132, 0.6, 0.6, 0, "Wolf", "Gold", 1, 0},</v>
      </c>
    </row>
    <row r="458" spans="1:14" x14ac:dyDescent="0.35">
      <c r="A458" s="2">
        <v>581</v>
      </c>
      <c r="B458" t="s">
        <v>271</v>
      </c>
      <c r="C458" s="1" t="str">
        <f>VLOOKUP(Table1[[#This Row],[Name]],MountsByName[],2,FALSE)</f>
        <v>Wolf</v>
      </c>
      <c r="D458" s="1">
        <f>VLOOKUP(Table1[[#This Row],[Name]],MountsByName[],3,FALSE)</f>
        <v>1</v>
      </c>
      <c r="E458" s="1">
        <f>VLOOKUP(Table1[[#This Row],[Name]],MountsByName[],4,FALSE)</f>
        <v>1</v>
      </c>
      <c r="F458" s="1">
        <f>VLOOKUP(Table1[[#This Row],[Name]],MountsByName[],5,FALSE)</f>
        <v>0</v>
      </c>
      <c r="G458" s="1">
        <f>VLOOKUP(Table1[[#This Row],[Name]],MountsByName[],6,FALSE)</f>
        <v>1</v>
      </c>
      <c r="H458" s="1">
        <f>VLOOKUP(Table1[[#This Row],[Name]],MountsByName[],7,FALSE)</f>
        <v>0</v>
      </c>
      <c r="I458" s="1">
        <f>VLOOKUP(Table1[[#This Row],[Name]],MountsByName[],8,FALSE)</f>
        <v>1133</v>
      </c>
      <c r="J458" s="1" t="str">
        <f>VLOOKUP(Table1[[#This Row],[Name]],MountsByName[],9,FALSE)</f>
        <v>removed</v>
      </c>
      <c r="K458" s="1">
        <f>VLOOKUP(Table1[[#This Row],[Name]],MountsByName[],10,FALSE)</f>
        <v>0</v>
      </c>
      <c r="L458" s="1">
        <f>VLOOKUP(Table1[[#This Row],[Name]],MountsByName[],11,FALSE)</f>
        <v>1</v>
      </c>
      <c r="M458" s="1">
        <f>VLOOKUP(Table1[[#This Row],[Name]],MountsByName[],12,FALSE)</f>
        <v>1</v>
      </c>
      <c r="N45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[581] ={"Winter Wolf", 581, 1133, 1, 1, 0, "Wolf", "removed", 1, 0},</v>
      </c>
    </row>
    <row r="459" spans="1:14" x14ac:dyDescent="0.35">
      <c r="A459" s="2">
        <v>6653</v>
      </c>
      <c r="B459" t="s">
        <v>133</v>
      </c>
      <c r="C459" s="1" t="str">
        <f>VLOOKUP(Table1[[#This Row],[Name]],MountsByName[],2,FALSE)</f>
        <v>Wolf</v>
      </c>
      <c r="D459" s="1">
        <f>VLOOKUP(Table1[[#This Row],[Name]],MountsByName[],3,FALSE)</f>
        <v>0.6</v>
      </c>
      <c r="E459" s="1">
        <f>VLOOKUP(Table1[[#This Row],[Name]],MountsByName[],4,FALSE)</f>
        <v>0.6</v>
      </c>
      <c r="F459" s="1">
        <f>VLOOKUP(Table1[[#This Row],[Name]],MountsByName[],5,FALSE)</f>
        <v>0</v>
      </c>
      <c r="G459" s="1">
        <f>VLOOKUP(Table1[[#This Row],[Name]],MountsByName[],6,FALSE)</f>
        <v>1</v>
      </c>
      <c r="H459" s="1">
        <f>VLOOKUP(Table1[[#This Row],[Name]],MountsByName[],7,FALSE)</f>
        <v>0</v>
      </c>
      <c r="I459" s="1">
        <f>VLOOKUP(Table1[[#This Row],[Name]],MountsByName[],8,FALSE)</f>
        <v>5665</v>
      </c>
      <c r="J459" s="1" t="str">
        <f>VLOOKUP(Table1[[#This Row],[Name]],MountsByName[],9,FALSE)</f>
        <v>Gold</v>
      </c>
      <c r="K459" s="1">
        <f>VLOOKUP(Table1[[#This Row],[Name]],MountsByName[],10,FALSE)</f>
        <v>0</v>
      </c>
      <c r="L459" s="1">
        <f>VLOOKUP(Table1[[#This Row],[Name]],MountsByName[],11,FALSE)</f>
        <v>1</v>
      </c>
      <c r="M459" s="1">
        <f>VLOOKUP(Table1[[#This Row],[Name]],MountsByName[],12,FALSE)</f>
        <v>1</v>
      </c>
      <c r="N45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[6653] ={"Dire Wolf", 6653, 5665, 0.6, 0.6, 0, "Wolf", "Gold", 1, 0},</v>
      </c>
    </row>
    <row r="460" spans="1:14" x14ac:dyDescent="0.35">
      <c r="A460" s="2">
        <v>6654</v>
      </c>
      <c r="B460" t="s">
        <v>121</v>
      </c>
      <c r="C460" s="1" t="str">
        <f>VLOOKUP(Table1[[#This Row],[Name]],MountsByName[],2,FALSE)</f>
        <v>Wolf</v>
      </c>
      <c r="D460" s="1">
        <f>VLOOKUP(Table1[[#This Row],[Name]],MountsByName[],3,FALSE)</f>
        <v>0.6</v>
      </c>
      <c r="E460" s="1">
        <f>VLOOKUP(Table1[[#This Row],[Name]],MountsByName[],4,FALSE)</f>
        <v>0.6</v>
      </c>
      <c r="F460" s="1">
        <f>VLOOKUP(Table1[[#This Row],[Name]],MountsByName[],5,FALSE)</f>
        <v>0</v>
      </c>
      <c r="G460" s="1">
        <f>VLOOKUP(Table1[[#This Row],[Name]],MountsByName[],6,FALSE)</f>
        <v>1</v>
      </c>
      <c r="H460" s="1">
        <f>VLOOKUP(Table1[[#This Row],[Name]],MountsByName[],7,FALSE)</f>
        <v>0</v>
      </c>
      <c r="I460" s="1">
        <f>VLOOKUP(Table1[[#This Row],[Name]],MountsByName[],8,FALSE)</f>
        <v>5668</v>
      </c>
      <c r="J460" s="1" t="str">
        <f>VLOOKUP(Table1[[#This Row],[Name]],MountsByName[],9,FALSE)</f>
        <v>Gold</v>
      </c>
      <c r="K460" s="1">
        <f>VLOOKUP(Table1[[#This Row],[Name]],MountsByName[],10,FALSE)</f>
        <v>0</v>
      </c>
      <c r="L460" s="1">
        <f>VLOOKUP(Table1[[#This Row],[Name]],MountsByName[],11,FALSE)</f>
        <v>1</v>
      </c>
      <c r="M460" s="1">
        <f>VLOOKUP(Table1[[#This Row],[Name]],MountsByName[],12,FALSE)</f>
        <v>1</v>
      </c>
      <c r="N46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[6654] ={"Brown Wolf", 6654, 5668, 0.6, 0.6, 0, "Wolf", "Gold", 1, 0},</v>
      </c>
    </row>
    <row r="461" spans="1:14" x14ac:dyDescent="0.35">
      <c r="A461" s="2">
        <v>16080</v>
      </c>
      <c r="B461" t="s">
        <v>194</v>
      </c>
      <c r="C461" s="1" t="str">
        <f>VLOOKUP(Table1[[#This Row],[Name]],MountsByName[],2,FALSE)</f>
        <v>Wolf</v>
      </c>
      <c r="D461" s="1">
        <f>VLOOKUP(Table1[[#This Row],[Name]],MountsByName[],3,FALSE)</f>
        <v>1</v>
      </c>
      <c r="E461" s="1">
        <f>VLOOKUP(Table1[[#This Row],[Name]],MountsByName[],4,FALSE)</f>
        <v>1</v>
      </c>
      <c r="F461" s="1">
        <f>VLOOKUP(Table1[[#This Row],[Name]],MountsByName[],5,FALSE)</f>
        <v>0</v>
      </c>
      <c r="G461" s="1">
        <f>VLOOKUP(Table1[[#This Row],[Name]],MountsByName[],6,FALSE)</f>
        <v>1</v>
      </c>
      <c r="H461" s="1">
        <f>VLOOKUP(Table1[[#This Row],[Name]],MountsByName[],7,FALSE)</f>
        <v>0</v>
      </c>
      <c r="I461" s="1">
        <f>VLOOKUP(Table1[[#This Row],[Name]],MountsByName[],8,FALSE)</f>
        <v>12330</v>
      </c>
      <c r="J461" s="1" t="str">
        <f>VLOOKUP(Table1[[#This Row],[Name]],MountsByName[],9,FALSE)</f>
        <v>removed</v>
      </c>
      <c r="K461" s="1">
        <f>VLOOKUP(Table1[[#This Row],[Name]],MountsByName[],10,FALSE)</f>
        <v>0</v>
      </c>
      <c r="L461" s="1">
        <f>VLOOKUP(Table1[[#This Row],[Name]],MountsByName[],11,FALSE)</f>
        <v>1</v>
      </c>
      <c r="M461" s="1">
        <f>VLOOKUP(Table1[[#This Row],[Name]],MountsByName[],12,FALSE)</f>
        <v>1</v>
      </c>
      <c r="N461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[16080] ={"Red Wolf", 16080, 12330, 1, 1, 0, "Wolf", "removed", 1, 0},</v>
      </c>
    </row>
    <row r="462" spans="1:14" x14ac:dyDescent="0.35">
      <c r="A462" s="2">
        <v>16081</v>
      </c>
      <c r="B462" t="s">
        <v>271</v>
      </c>
      <c r="C462" s="1" t="str">
        <f>VLOOKUP(Table1[[#This Row],[Name]],MountsByName[],2,FALSE)</f>
        <v>Wolf</v>
      </c>
      <c r="D462" s="1">
        <f>VLOOKUP(Table1[[#This Row],[Name]],MountsByName[],3,FALSE)</f>
        <v>1</v>
      </c>
      <c r="E462" s="1">
        <f>VLOOKUP(Table1[[#This Row],[Name]],MountsByName[],4,FALSE)</f>
        <v>1</v>
      </c>
      <c r="F462" s="1">
        <f>VLOOKUP(Table1[[#This Row],[Name]],MountsByName[],5,FALSE)</f>
        <v>0</v>
      </c>
      <c r="G462" s="1">
        <f>VLOOKUP(Table1[[#This Row],[Name]],MountsByName[],6,FALSE)</f>
        <v>1</v>
      </c>
      <c r="H462" s="1">
        <f>VLOOKUP(Table1[[#This Row],[Name]],MountsByName[],7,FALSE)</f>
        <v>0</v>
      </c>
      <c r="I462" s="1">
        <f>VLOOKUP(Table1[[#This Row],[Name]],MountsByName[],8,FALSE)</f>
        <v>1133</v>
      </c>
      <c r="J462" s="1" t="str">
        <f>VLOOKUP(Table1[[#This Row],[Name]],MountsByName[],9,FALSE)</f>
        <v>removed</v>
      </c>
      <c r="K462" s="1">
        <f>VLOOKUP(Table1[[#This Row],[Name]],MountsByName[],10,FALSE)</f>
        <v>0</v>
      </c>
      <c r="L462" s="1">
        <f>VLOOKUP(Table1[[#This Row],[Name]],MountsByName[],11,FALSE)</f>
        <v>1</v>
      </c>
      <c r="M462" s="1">
        <f>VLOOKUP(Table1[[#This Row],[Name]],MountsByName[],12,FALSE)</f>
        <v>1</v>
      </c>
      <c r="N46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[16081] ={"Winter Wolf", 16081, 1133, 1, 1, 0, "Wolf", "removed", 1, 0},</v>
      </c>
    </row>
    <row r="463" spans="1:14" x14ac:dyDescent="0.35">
      <c r="A463" s="2">
        <v>22724</v>
      </c>
      <c r="B463" t="s">
        <v>104</v>
      </c>
      <c r="C463" s="1" t="str">
        <f>VLOOKUP(Table1[[#This Row],[Name]],MountsByName[],2,FALSE)</f>
        <v>Wolf</v>
      </c>
      <c r="D463" s="1">
        <f>VLOOKUP(Table1[[#This Row],[Name]],MountsByName[],3,FALSE)</f>
        <v>1</v>
      </c>
      <c r="E463" s="1">
        <f>VLOOKUP(Table1[[#This Row],[Name]],MountsByName[],4,FALSE)</f>
        <v>1</v>
      </c>
      <c r="F463" s="1">
        <f>VLOOKUP(Table1[[#This Row],[Name]],MountsByName[],5,FALSE)</f>
        <v>0</v>
      </c>
      <c r="G463" s="1">
        <f>VLOOKUP(Table1[[#This Row],[Name]],MountsByName[],6,FALSE)</f>
        <v>1</v>
      </c>
      <c r="H463" s="1">
        <f>VLOOKUP(Table1[[#This Row],[Name]],MountsByName[],7,FALSE)</f>
        <v>0</v>
      </c>
      <c r="I463" s="1">
        <f>VLOOKUP(Table1[[#This Row],[Name]],MountsByName[],8,FALSE)</f>
        <v>29469</v>
      </c>
      <c r="J463" s="1" t="str">
        <f>VLOOKUP(Table1[[#This Row],[Name]],MountsByName[],9,FALSE)</f>
        <v>Honor</v>
      </c>
      <c r="K463" s="1">
        <f>VLOOKUP(Table1[[#This Row],[Name]],MountsByName[],10,FALSE)</f>
        <v>0</v>
      </c>
      <c r="L463" s="1">
        <f>VLOOKUP(Table1[[#This Row],[Name]],MountsByName[],11,FALSE)</f>
        <v>1</v>
      </c>
      <c r="M463" s="1">
        <f>VLOOKUP(Table1[[#This Row],[Name]],MountsByName[],12,FALSE)</f>
        <v>1</v>
      </c>
      <c r="N46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[22724] ={"Black War Wolf", 22724, 29469, 1, 1, 0, "Wolf", "Honor", 1, 0},</v>
      </c>
    </row>
    <row r="464" spans="1:14" x14ac:dyDescent="0.35">
      <c r="A464" s="2">
        <v>23250</v>
      </c>
      <c r="B464" t="s">
        <v>217</v>
      </c>
      <c r="C464" s="1" t="str">
        <f>VLOOKUP(Table1[[#This Row],[Name]],MountsByName[],2,FALSE)</f>
        <v>Wolf</v>
      </c>
      <c r="D464" s="1">
        <f>VLOOKUP(Table1[[#This Row],[Name]],MountsByName[],3,FALSE)</f>
        <v>1</v>
      </c>
      <c r="E464" s="1">
        <f>VLOOKUP(Table1[[#This Row],[Name]],MountsByName[],4,FALSE)</f>
        <v>1</v>
      </c>
      <c r="F464" s="1">
        <f>VLOOKUP(Table1[[#This Row],[Name]],MountsByName[],5,FALSE)</f>
        <v>0</v>
      </c>
      <c r="G464" s="1">
        <f>VLOOKUP(Table1[[#This Row],[Name]],MountsByName[],6,FALSE)</f>
        <v>1</v>
      </c>
      <c r="H464" s="1">
        <f>VLOOKUP(Table1[[#This Row],[Name]],MountsByName[],7,FALSE)</f>
        <v>0</v>
      </c>
      <c r="I464" s="1">
        <f>VLOOKUP(Table1[[#This Row],[Name]],MountsByName[],8,FALSE)</f>
        <v>18796</v>
      </c>
      <c r="J464" s="1" t="str">
        <f>VLOOKUP(Table1[[#This Row],[Name]],MountsByName[],9,FALSE)</f>
        <v>Gold</v>
      </c>
      <c r="K464" s="1">
        <f>VLOOKUP(Table1[[#This Row],[Name]],MountsByName[],10,FALSE)</f>
        <v>0</v>
      </c>
      <c r="L464" s="1">
        <f>VLOOKUP(Table1[[#This Row],[Name]],MountsByName[],11,FALSE)</f>
        <v>1</v>
      </c>
      <c r="M464" s="1">
        <f>VLOOKUP(Table1[[#This Row],[Name]],MountsByName[],12,FALSE)</f>
        <v>1</v>
      </c>
      <c r="N46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[23250] ={"Swift Brown Wolf", 23250, 18796, 1, 1, 0, "Wolf", "Gold", 1, 0},</v>
      </c>
    </row>
    <row r="465" spans="1:14" x14ac:dyDescent="0.35">
      <c r="A465" s="2">
        <v>23251</v>
      </c>
      <c r="B465" t="s">
        <v>239</v>
      </c>
      <c r="C465" s="1" t="str">
        <f>VLOOKUP(Table1[[#This Row],[Name]],MountsByName[],2,FALSE)</f>
        <v>Wolf</v>
      </c>
      <c r="D465" s="1">
        <f>VLOOKUP(Table1[[#This Row],[Name]],MountsByName[],3,FALSE)</f>
        <v>1</v>
      </c>
      <c r="E465" s="1">
        <f>VLOOKUP(Table1[[#This Row],[Name]],MountsByName[],4,FALSE)</f>
        <v>1</v>
      </c>
      <c r="F465" s="1">
        <f>VLOOKUP(Table1[[#This Row],[Name]],MountsByName[],5,FALSE)</f>
        <v>0</v>
      </c>
      <c r="G465" s="1">
        <f>VLOOKUP(Table1[[#This Row],[Name]],MountsByName[],6,FALSE)</f>
        <v>1</v>
      </c>
      <c r="H465" s="1">
        <f>VLOOKUP(Table1[[#This Row],[Name]],MountsByName[],7,FALSE)</f>
        <v>0</v>
      </c>
      <c r="I465" s="1">
        <f>VLOOKUP(Table1[[#This Row],[Name]],MountsByName[],8,FALSE)</f>
        <v>18797</v>
      </c>
      <c r="J465" s="1" t="str">
        <f>VLOOKUP(Table1[[#This Row],[Name]],MountsByName[],9,FALSE)</f>
        <v>Gold</v>
      </c>
      <c r="K465" s="1">
        <f>VLOOKUP(Table1[[#This Row],[Name]],MountsByName[],10,FALSE)</f>
        <v>0</v>
      </c>
      <c r="L465" s="1">
        <f>VLOOKUP(Table1[[#This Row],[Name]],MountsByName[],11,FALSE)</f>
        <v>1</v>
      </c>
      <c r="M465" s="1">
        <f>VLOOKUP(Table1[[#This Row],[Name]],MountsByName[],12,FALSE)</f>
        <v>1</v>
      </c>
      <c r="N46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[23251] ={"Swift Timber Wolf", 23251, 18797, 1, 1, 0, "Wolf", "Gold", 1, 0},</v>
      </c>
    </row>
    <row r="466" spans="1:14" x14ac:dyDescent="0.35">
      <c r="A466" s="2">
        <v>23252</v>
      </c>
      <c r="B466" t="s">
        <v>223</v>
      </c>
      <c r="C466" s="1" t="str">
        <f>VLOOKUP(Table1[[#This Row],[Name]],MountsByName[],2,FALSE)</f>
        <v>Wolf</v>
      </c>
      <c r="D466" s="1">
        <f>VLOOKUP(Table1[[#This Row],[Name]],MountsByName[],3,FALSE)</f>
        <v>1</v>
      </c>
      <c r="E466" s="1">
        <f>VLOOKUP(Table1[[#This Row],[Name]],MountsByName[],4,FALSE)</f>
        <v>1</v>
      </c>
      <c r="F466" s="1">
        <f>VLOOKUP(Table1[[#This Row],[Name]],MountsByName[],5,FALSE)</f>
        <v>0</v>
      </c>
      <c r="G466" s="1">
        <f>VLOOKUP(Table1[[#This Row],[Name]],MountsByName[],6,FALSE)</f>
        <v>1</v>
      </c>
      <c r="H466" s="1">
        <f>VLOOKUP(Table1[[#This Row],[Name]],MountsByName[],7,FALSE)</f>
        <v>0</v>
      </c>
      <c r="I466" s="1">
        <f>VLOOKUP(Table1[[#This Row],[Name]],MountsByName[],8,FALSE)</f>
        <v>18798</v>
      </c>
      <c r="J466" s="1" t="str">
        <f>VLOOKUP(Table1[[#This Row],[Name]],MountsByName[],9,FALSE)</f>
        <v>Gold</v>
      </c>
      <c r="K466" s="1">
        <f>VLOOKUP(Table1[[#This Row],[Name]],MountsByName[],10,FALSE)</f>
        <v>0</v>
      </c>
      <c r="L466" s="1">
        <f>VLOOKUP(Table1[[#This Row],[Name]],MountsByName[],11,FALSE)</f>
        <v>1</v>
      </c>
      <c r="M466" s="1">
        <f>VLOOKUP(Table1[[#This Row],[Name]],MountsByName[],12,FALSE)</f>
        <v>1</v>
      </c>
      <c r="N46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[23252] ={"Swift Gray Wolf", 23252, 18798, 1, 1, 0, "Wolf", "Gold", 1, 0},</v>
      </c>
    </row>
    <row r="467" spans="1:14" x14ac:dyDescent="0.35">
      <c r="A467" s="2">
        <v>23509</v>
      </c>
      <c r="B467" t="s">
        <v>142</v>
      </c>
      <c r="C467" s="1" t="str">
        <f>VLOOKUP(Table1[[#This Row],[Name]],MountsByName[],2,FALSE)</f>
        <v>Wolf</v>
      </c>
      <c r="D467" s="1">
        <f>VLOOKUP(Table1[[#This Row],[Name]],MountsByName[],3,FALSE)</f>
        <v>1</v>
      </c>
      <c r="E467" s="1">
        <f>VLOOKUP(Table1[[#This Row],[Name]],MountsByName[],4,FALSE)</f>
        <v>1</v>
      </c>
      <c r="F467" s="1">
        <f>VLOOKUP(Table1[[#This Row],[Name]],MountsByName[],5,FALSE)</f>
        <v>0</v>
      </c>
      <c r="G467" s="1">
        <f>VLOOKUP(Table1[[#This Row],[Name]],MountsByName[],6,FALSE)</f>
        <v>1</v>
      </c>
      <c r="H467" s="1">
        <f>VLOOKUP(Table1[[#This Row],[Name]],MountsByName[],7,FALSE)</f>
        <v>0</v>
      </c>
      <c r="I467" s="1">
        <f>VLOOKUP(Table1[[#This Row],[Name]],MountsByName[],8,FALSE)</f>
        <v>19029</v>
      </c>
      <c r="J467" s="1" t="str">
        <f>VLOOKUP(Table1[[#This Row],[Name]],MountsByName[],9,FALSE)</f>
        <v>Honor</v>
      </c>
      <c r="K467" s="1">
        <f>VLOOKUP(Table1[[#This Row],[Name]],MountsByName[],10,FALSE)</f>
        <v>0</v>
      </c>
      <c r="L467" s="1">
        <f>VLOOKUP(Table1[[#This Row],[Name]],MountsByName[],11,FALSE)</f>
        <v>1</v>
      </c>
      <c r="M467" s="1">
        <f>VLOOKUP(Table1[[#This Row],[Name]],MountsByName[],12,FALSE)</f>
        <v>1</v>
      </c>
      <c r="N46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[23509] ={"Frostwolf Howler", 23509, 19029, 1, 1, 0, "Wolf", "Honor", 1, 0},</v>
      </c>
    </row>
    <row r="468" spans="1:14" x14ac:dyDescent="0.35">
      <c r="A468" s="2">
        <v>63640</v>
      </c>
      <c r="B468" t="s">
        <v>177</v>
      </c>
      <c r="C468" s="1" t="str">
        <f>VLOOKUP(Table1[[#This Row],[Name]],MountsByName[],2,FALSE)</f>
        <v>Wolf</v>
      </c>
      <c r="D468" s="1">
        <f>VLOOKUP(Table1[[#This Row],[Name]],MountsByName[],3,FALSE)</f>
        <v>1</v>
      </c>
      <c r="E468" s="1">
        <f>VLOOKUP(Table1[[#This Row],[Name]],MountsByName[],4,FALSE)</f>
        <v>1</v>
      </c>
      <c r="F468" s="1">
        <f>VLOOKUP(Table1[[#This Row],[Name]],MountsByName[],5,FALSE)</f>
        <v>0</v>
      </c>
      <c r="G468" s="1">
        <f>VLOOKUP(Table1[[#This Row],[Name]],MountsByName[],6,FALSE)</f>
        <v>1</v>
      </c>
      <c r="H468" s="1">
        <f>VLOOKUP(Table1[[#This Row],[Name]],MountsByName[],7,FALSE)</f>
        <v>0</v>
      </c>
      <c r="I468" s="1">
        <f>VLOOKUP(Table1[[#This Row],[Name]],MountsByName[],8,FALSE)</f>
        <v>45595</v>
      </c>
      <c r="J468" s="1" t="str">
        <f>VLOOKUP(Table1[[#This Row],[Name]],MountsByName[],9,FALSE)</f>
        <v>Champion's Seals</v>
      </c>
      <c r="K468" s="1">
        <f>VLOOKUP(Table1[[#This Row],[Name]],MountsByName[],10,FALSE)</f>
        <v>0</v>
      </c>
      <c r="L468" s="1">
        <f>VLOOKUP(Table1[[#This Row],[Name]],MountsByName[],11,FALSE)</f>
        <v>1</v>
      </c>
      <c r="M468" s="1">
        <f>VLOOKUP(Table1[[#This Row],[Name]],MountsByName[],12,FALSE)</f>
        <v>1</v>
      </c>
      <c r="N46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[63640] ={"Orgrimmar Wolf", 63640, 45595, 1, 1, 0, "Wolf", "Champion's Seals", 1, 0},</v>
      </c>
    </row>
    <row r="469" spans="1:14" x14ac:dyDescent="0.35">
      <c r="A469" s="2">
        <v>64658</v>
      </c>
      <c r="B469" t="s">
        <v>105</v>
      </c>
      <c r="C469" s="1" t="str">
        <f>VLOOKUP(Table1[[#This Row],[Name]],MountsByName[],2,FALSE)</f>
        <v>Wolf</v>
      </c>
      <c r="D469" s="1">
        <f>VLOOKUP(Table1[[#This Row],[Name]],MountsByName[],3,FALSE)</f>
        <v>0.6</v>
      </c>
      <c r="E469" s="1">
        <f>VLOOKUP(Table1[[#This Row],[Name]],MountsByName[],4,FALSE)</f>
        <v>0.6</v>
      </c>
      <c r="F469" s="1">
        <f>VLOOKUP(Table1[[#This Row],[Name]],MountsByName[],5,FALSE)</f>
        <v>0</v>
      </c>
      <c r="G469" s="1">
        <f>VLOOKUP(Table1[[#This Row],[Name]],MountsByName[],6,FALSE)</f>
        <v>1</v>
      </c>
      <c r="H469" s="1">
        <f>VLOOKUP(Table1[[#This Row],[Name]],MountsByName[],7,FALSE)</f>
        <v>0</v>
      </c>
      <c r="I469" s="1">
        <f>VLOOKUP(Table1[[#This Row],[Name]],MountsByName[],8,FALSE)</f>
        <v>46099</v>
      </c>
      <c r="J469" s="1" t="str">
        <f>VLOOKUP(Table1[[#This Row],[Name]],MountsByName[],9,FALSE)</f>
        <v>Gold</v>
      </c>
      <c r="K469" s="1">
        <f>VLOOKUP(Table1[[#This Row],[Name]],MountsByName[],10,FALSE)</f>
        <v>0</v>
      </c>
      <c r="L469" s="1">
        <f>VLOOKUP(Table1[[#This Row],[Name]],MountsByName[],11,FALSE)</f>
        <v>1</v>
      </c>
      <c r="M469" s="1">
        <f>VLOOKUP(Table1[[#This Row],[Name]],MountsByName[],12,FALSE)</f>
        <v>1</v>
      </c>
      <c r="N46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[64658] ={"Black Wolf", 64658, 46099, 0.6, 0.6, 0, "Wolf", "Gold", 1, 0},</v>
      </c>
    </row>
    <row r="470" spans="1:14" x14ac:dyDescent="0.35">
      <c r="A470" s="2">
        <v>65646</v>
      </c>
      <c r="B470" t="s">
        <v>218</v>
      </c>
      <c r="C470" s="1" t="str">
        <f>VLOOKUP(Table1[[#This Row],[Name]],MountsByName[],2,FALSE)</f>
        <v>Wolf</v>
      </c>
      <c r="D470" s="1">
        <f>VLOOKUP(Table1[[#This Row],[Name]],MountsByName[],3,FALSE)</f>
        <v>1</v>
      </c>
      <c r="E470" s="1">
        <f>VLOOKUP(Table1[[#This Row],[Name]],MountsByName[],4,FALSE)</f>
        <v>1</v>
      </c>
      <c r="F470" s="1">
        <f>VLOOKUP(Table1[[#This Row],[Name]],MountsByName[],5,FALSE)</f>
        <v>0</v>
      </c>
      <c r="G470" s="1">
        <f>VLOOKUP(Table1[[#This Row],[Name]],MountsByName[],6,FALSE)</f>
        <v>1</v>
      </c>
      <c r="H470" s="1">
        <f>VLOOKUP(Table1[[#This Row],[Name]],MountsByName[],7,FALSE)</f>
        <v>0</v>
      </c>
      <c r="I470" s="1">
        <f>VLOOKUP(Table1[[#This Row],[Name]],MountsByName[],8,FALSE)</f>
        <v>46757</v>
      </c>
      <c r="J470" s="1" t="str">
        <f>VLOOKUP(Table1[[#This Row],[Name]],MountsByName[],9,FALSE)</f>
        <v>Champion's Seals</v>
      </c>
      <c r="K470" s="1">
        <f>VLOOKUP(Table1[[#This Row],[Name]],MountsByName[],10,FALSE)</f>
        <v>0</v>
      </c>
      <c r="L470" s="1">
        <f>VLOOKUP(Table1[[#This Row],[Name]],MountsByName[],11,FALSE)</f>
        <v>1</v>
      </c>
      <c r="M470" s="1">
        <f>VLOOKUP(Table1[[#This Row],[Name]],MountsByName[],12,FALSE)</f>
        <v>1</v>
      </c>
      <c r="N47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[65646] ={"Swift Burgundy Wolf", 65646, 46757, 1, 1, 0, "Wolf", "Champion's Seals", 1, 0},</v>
      </c>
    </row>
    <row r="471" spans="1:14" x14ac:dyDescent="0.35">
      <c r="A471" s="2">
        <v>68056</v>
      </c>
      <c r="B471" t="s">
        <v>226</v>
      </c>
      <c r="C471" s="1" t="str">
        <f>VLOOKUP(Table1[[#This Row],[Name]],MountsByName[],2,FALSE)</f>
        <v>Wolf</v>
      </c>
      <c r="D471" s="1">
        <f>VLOOKUP(Table1[[#This Row],[Name]],MountsByName[],3,FALSE)</f>
        <v>1</v>
      </c>
      <c r="E471" s="1">
        <f>VLOOKUP(Table1[[#This Row],[Name]],MountsByName[],4,FALSE)</f>
        <v>1</v>
      </c>
      <c r="F471" s="1">
        <f>VLOOKUP(Table1[[#This Row],[Name]],MountsByName[],5,FALSE)</f>
        <v>0</v>
      </c>
      <c r="G471" s="1">
        <f>VLOOKUP(Table1[[#This Row],[Name]],MountsByName[],6,FALSE)</f>
        <v>1</v>
      </c>
      <c r="H471" s="1">
        <f>VLOOKUP(Table1[[#This Row],[Name]],MountsByName[],7,FALSE)</f>
        <v>0</v>
      </c>
      <c r="I471" s="1">
        <f>VLOOKUP(Table1[[#This Row],[Name]],MountsByName[],8,FALSE)</f>
        <v>49046</v>
      </c>
      <c r="J471" s="1" t="str">
        <f>VLOOKUP(Table1[[#This Row],[Name]],MountsByName[],9,FALSE)</f>
        <v>Drop Trial of the Champion</v>
      </c>
      <c r="K471" s="1">
        <f>VLOOKUP(Table1[[#This Row],[Name]],MountsByName[],10,FALSE)</f>
        <v>0</v>
      </c>
      <c r="L471" s="1">
        <f>VLOOKUP(Table1[[#This Row],[Name]],MountsByName[],11,FALSE)</f>
        <v>1</v>
      </c>
      <c r="M471" s="1">
        <f>VLOOKUP(Table1[[#This Row],[Name]],MountsByName[],12,FALSE)</f>
        <v>1</v>
      </c>
      <c r="N471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[68056] ={"Swift Horde Wolf", 68056, 49046, 1, 1, 0, "Wolf", "Drop Trial of the Champion", 1, 0},</v>
      </c>
    </row>
    <row r="472" spans="1:14" x14ac:dyDescent="0.35">
      <c r="A472" s="2">
        <v>92232</v>
      </c>
      <c r="B472" t="s">
        <v>514</v>
      </c>
      <c r="C472" s="1" t="str">
        <f>VLOOKUP(Table1[[#This Row],[Name]],MountsByName[],2,FALSE)</f>
        <v>Wolf</v>
      </c>
      <c r="D472" s="1">
        <f>VLOOKUP(Table1[[#This Row],[Name]],MountsByName[],3,FALSE)</f>
        <v>1</v>
      </c>
      <c r="E472" s="1">
        <f>VLOOKUP(Table1[[#This Row],[Name]],MountsByName[],4,FALSE)</f>
        <v>1</v>
      </c>
      <c r="F472" s="1">
        <f>VLOOKUP(Table1[[#This Row],[Name]],MountsByName[],5,FALSE)</f>
        <v>0</v>
      </c>
      <c r="G472" s="1">
        <f>VLOOKUP(Table1[[#This Row],[Name]],MountsByName[],6,FALSE)</f>
        <v>1</v>
      </c>
      <c r="H472" s="1">
        <f>VLOOKUP(Table1[[#This Row],[Name]],MountsByName[],7,FALSE)</f>
        <v>0</v>
      </c>
      <c r="I472" s="1">
        <f>VLOOKUP(Table1[[#This Row],[Name]],MountsByName[],8,FALSE)</f>
        <v>0</v>
      </c>
      <c r="J472" s="1">
        <f>VLOOKUP(Table1[[#This Row],[Name]],MountsByName[],9,FALSE)</f>
        <v>0</v>
      </c>
      <c r="K472" s="1">
        <f>VLOOKUP(Table1[[#This Row],[Name]],MountsByName[],10,FALSE)</f>
        <v>0</v>
      </c>
      <c r="L472" s="1">
        <f>VLOOKUP(Table1[[#This Row],[Name]],MountsByName[],11,FALSE)</f>
        <v>0</v>
      </c>
      <c r="M472" s="1">
        <f>VLOOKUP(Table1[[#This Row],[Name]],MountsByName[],12,FALSE)</f>
        <v>1</v>
      </c>
      <c r="N47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[92232] ={"Spectral Wolf", 92232, 0, 1, 1, 0, "Wolf", "0", 1, 0},</v>
      </c>
    </row>
    <row r="473" spans="1:14" x14ac:dyDescent="0.35">
      <c r="A473" s="2">
        <v>100333</v>
      </c>
      <c r="B473" t="s">
        <v>503</v>
      </c>
      <c r="C473" s="1" t="str">
        <f>VLOOKUP(Table1[[#This Row],[Name]],MountsByName[],2,FALSE)</f>
        <v>Wolf</v>
      </c>
      <c r="D473" s="1">
        <f>VLOOKUP(Table1[[#This Row],[Name]],MountsByName[],3,FALSE)</f>
        <v>1</v>
      </c>
      <c r="E473" s="1">
        <f>VLOOKUP(Table1[[#This Row],[Name]],MountsByName[],4,FALSE)</f>
        <v>1</v>
      </c>
      <c r="F473" s="1">
        <f>VLOOKUP(Table1[[#This Row],[Name]],MountsByName[],5,FALSE)</f>
        <v>0</v>
      </c>
      <c r="G473" s="1">
        <f>VLOOKUP(Table1[[#This Row],[Name]],MountsByName[],6,FALSE)</f>
        <v>1</v>
      </c>
      <c r="H473" s="1">
        <f>VLOOKUP(Table1[[#This Row],[Name]],MountsByName[],7,FALSE)</f>
        <v>0</v>
      </c>
      <c r="I473" s="1">
        <f>VLOOKUP(Table1[[#This Row],[Name]],MountsByName[],8,FALSE)</f>
        <v>0</v>
      </c>
      <c r="J473" s="1">
        <f>VLOOKUP(Table1[[#This Row],[Name]],MountsByName[],9,FALSE)</f>
        <v>0</v>
      </c>
      <c r="K473" s="1">
        <f>VLOOKUP(Table1[[#This Row],[Name]],MountsByName[],10,FALSE)</f>
        <v>0</v>
      </c>
      <c r="L473" s="1">
        <f>VLOOKUP(Table1[[#This Row],[Name]],MountsByName[],11,FALSE)</f>
        <v>0</v>
      </c>
      <c r="M473" s="1">
        <f>VLOOKUP(Table1[[#This Row],[Name]],MountsByName[],12,FALSE)</f>
        <v>1</v>
      </c>
      <c r="N47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[100333] ={"Vicious War Wolf", 100333, 0, 1, 1, 0, "Wolf", "0", 1, 0},</v>
      </c>
    </row>
    <row r="474" spans="1:14" x14ac:dyDescent="0.35">
      <c r="A474" s="2">
        <v>148396</v>
      </c>
      <c r="B474" t="s">
        <v>1037</v>
      </c>
      <c r="C474" s="1" t="str">
        <f>VLOOKUP(Table1[[#This Row],[Name]],MountsByName[],2,FALSE)</f>
        <v>Wolf</v>
      </c>
      <c r="D474" s="1">
        <f>VLOOKUP(Table1[[#This Row],[Name]],MountsByName[],3,FALSE)</f>
        <v>1</v>
      </c>
      <c r="E474" s="1">
        <f>VLOOKUP(Table1[[#This Row],[Name]],MountsByName[],4,FALSE)</f>
        <v>1</v>
      </c>
      <c r="F474" s="1">
        <f>VLOOKUP(Table1[[#This Row],[Name]],MountsByName[],5,FALSE)</f>
        <v>0</v>
      </c>
      <c r="G474" s="1">
        <f>VLOOKUP(Table1[[#This Row],[Name]],MountsByName[],6,FALSE)</f>
        <v>1</v>
      </c>
      <c r="H474" s="1">
        <f>VLOOKUP(Table1[[#This Row],[Name]],MountsByName[],7,FALSE)</f>
        <v>0</v>
      </c>
      <c r="I474" s="1">
        <f>VLOOKUP(Table1[[#This Row],[Name]],MountsByName[],8,FALSE)</f>
        <v>0</v>
      </c>
      <c r="J474" s="1">
        <f>VLOOKUP(Table1[[#This Row],[Name]],MountsByName[],9,FALSE)</f>
        <v>0</v>
      </c>
      <c r="K474" s="1">
        <f>VLOOKUP(Table1[[#This Row],[Name]],MountsByName[],10,FALSE)</f>
        <v>0</v>
      </c>
      <c r="L474" s="1">
        <f>VLOOKUP(Table1[[#This Row],[Name]],MountsByName[],11,FALSE)</f>
        <v>0</v>
      </c>
      <c r="M474" s="1">
        <f>VLOOKUP(Table1[[#This Row],[Name]],MountsByName[],12,FALSE)</f>
        <v>1</v>
      </c>
      <c r="N47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[148396] ={"Kor'kron War Wolf", 148396, 0, 1, 1, 0, "Wolf", "0", 1, 0},</v>
      </c>
    </row>
    <row r="475" spans="1:14" x14ac:dyDescent="0.35">
      <c r="A475" s="2">
        <v>54729</v>
      </c>
      <c r="B475" t="s">
        <v>350</v>
      </c>
      <c r="C475" s="1" t="str">
        <f>VLOOKUP(Table1[[#This Row],[Name]],MountsByName[],2,FALSE)</f>
        <v>Wyrm</v>
      </c>
      <c r="D475" s="1">
        <f>VLOOKUP(Table1[[#This Row],[Name]],MountsByName[],3,FALSE)</f>
        <v>2.8</v>
      </c>
      <c r="E475" s="1">
        <f>VLOOKUP(Table1[[#This Row],[Name]],MountsByName[],4,FALSE)</f>
        <v>2.8</v>
      </c>
      <c r="F475" s="1">
        <f>VLOOKUP(Table1[[#This Row],[Name]],MountsByName[],5,FALSE)</f>
        <v>0</v>
      </c>
      <c r="G475" s="1">
        <f>VLOOKUP(Table1[[#This Row],[Name]],MountsByName[],6,FALSE)</f>
        <v>1</v>
      </c>
      <c r="H475" s="1">
        <f>VLOOKUP(Table1[[#This Row],[Name]],MountsByName[],7,FALSE)</f>
        <v>0</v>
      </c>
      <c r="I475" s="1">
        <f>VLOOKUP(Table1[[#This Row],[Name]],MountsByName[],8,FALSE)</f>
        <v>40775</v>
      </c>
      <c r="J475" s="1" t="str">
        <f>VLOOKUP(Table1[[#This Row],[Name]],MountsByName[],9,FALSE)</f>
        <v>DeathKnight</v>
      </c>
      <c r="K475" s="1">
        <f>VLOOKUP(Table1[[#This Row],[Name]],MountsByName[],10,FALSE)</f>
        <v>1</v>
      </c>
      <c r="L475" s="1">
        <f>VLOOKUP(Table1[[#This Row],[Name]],MountsByName[],11,FALSE)</f>
        <v>1</v>
      </c>
      <c r="M475" s="1">
        <f>VLOOKUP(Table1[[#This Row],[Name]],MountsByName[],12,FALSE)</f>
        <v>1</v>
      </c>
      <c r="N47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[54729] ={"Winged Steed of the Ebon Blade", 54729, 40775, 2.8, 2.8, 0, "Wyrm", "DeathKnight", 1, 0},</v>
      </c>
    </row>
    <row r="476" spans="1:14" x14ac:dyDescent="0.35">
      <c r="A476" s="2">
        <v>64927</v>
      </c>
      <c r="B476" t="s">
        <v>24</v>
      </c>
      <c r="C476" s="1" t="str">
        <f>VLOOKUP(Table1[[#This Row],[Name]],MountsByName[],2,FALSE)</f>
        <v>Wyrm</v>
      </c>
      <c r="D476" s="1">
        <f>VLOOKUP(Table1[[#This Row],[Name]],MountsByName[],3,FALSE)</f>
        <v>3.1</v>
      </c>
      <c r="E476" s="1">
        <f>VLOOKUP(Table1[[#This Row],[Name]],MountsByName[],4,FALSE)</f>
        <v>3.1</v>
      </c>
      <c r="F476" s="1">
        <f>VLOOKUP(Table1[[#This Row],[Name]],MountsByName[],5,FALSE)</f>
        <v>0</v>
      </c>
      <c r="G476" s="1">
        <f>VLOOKUP(Table1[[#This Row],[Name]],MountsByName[],6,FALSE)</f>
        <v>1</v>
      </c>
      <c r="H476" s="1">
        <f>VLOOKUP(Table1[[#This Row],[Name]],MountsByName[],7,FALSE)</f>
        <v>0</v>
      </c>
      <c r="I476" s="1">
        <f>VLOOKUP(Table1[[#This Row],[Name]],MountsByName[],8,FALSE)</f>
        <v>46708</v>
      </c>
      <c r="J476" s="1" t="str">
        <f>VLOOKUP(Table1[[#This Row],[Name]],MountsByName[],9,FALSE)</f>
        <v>Gladiator</v>
      </c>
      <c r="K476" s="1">
        <f>VLOOKUP(Table1[[#This Row],[Name]],MountsByName[],10,FALSE)</f>
        <v>1</v>
      </c>
      <c r="L476" s="1">
        <f>VLOOKUP(Table1[[#This Row],[Name]],MountsByName[],11,FALSE)</f>
        <v>1</v>
      </c>
      <c r="M476" s="1">
        <f>VLOOKUP(Table1[[#This Row],[Name]],MountsByName[],12,FALSE)</f>
        <v>1</v>
      </c>
      <c r="N47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[64927] ={"Deadly Gladiator's Frost Wyrm", 64927, 46708, 3.1, 3.1, 0, "Wyrm", "Gladiator", 1, 0},</v>
      </c>
    </row>
    <row r="477" spans="1:14" x14ac:dyDescent="0.35">
      <c r="A477" s="2">
        <v>65439</v>
      </c>
      <c r="B477" t="s">
        <v>31</v>
      </c>
      <c r="C477" s="1" t="str">
        <f>VLOOKUP(Table1[[#This Row],[Name]],MountsByName[],2,FALSE)</f>
        <v>Wyrm</v>
      </c>
      <c r="D477" s="1">
        <f>VLOOKUP(Table1[[#This Row],[Name]],MountsByName[],3,FALSE)</f>
        <v>3.1</v>
      </c>
      <c r="E477" s="1">
        <f>VLOOKUP(Table1[[#This Row],[Name]],MountsByName[],4,FALSE)</f>
        <v>3.1</v>
      </c>
      <c r="F477" s="1">
        <f>VLOOKUP(Table1[[#This Row],[Name]],MountsByName[],5,FALSE)</f>
        <v>0</v>
      </c>
      <c r="G477" s="1">
        <f>VLOOKUP(Table1[[#This Row],[Name]],MountsByName[],6,FALSE)</f>
        <v>1</v>
      </c>
      <c r="H477" s="1">
        <f>VLOOKUP(Table1[[#This Row],[Name]],MountsByName[],7,FALSE)</f>
        <v>0</v>
      </c>
      <c r="I477" s="1">
        <f>VLOOKUP(Table1[[#This Row],[Name]],MountsByName[],8,FALSE)</f>
        <v>46171</v>
      </c>
      <c r="J477" s="1" t="str">
        <f>VLOOKUP(Table1[[#This Row],[Name]],MountsByName[],9,FALSE)</f>
        <v>Gladiator</v>
      </c>
      <c r="K477" s="1">
        <f>VLOOKUP(Table1[[#This Row],[Name]],MountsByName[],10,FALSE)</f>
        <v>1</v>
      </c>
      <c r="L477" s="1">
        <f>VLOOKUP(Table1[[#This Row],[Name]],MountsByName[],11,FALSE)</f>
        <v>1</v>
      </c>
      <c r="M477" s="1">
        <f>VLOOKUP(Table1[[#This Row],[Name]],MountsByName[],12,FALSE)</f>
        <v>1</v>
      </c>
      <c r="N47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[65439] ={"Furious Gladiator's Frost Wyrm", 65439, 46171, 3.1, 3.1, 0, "Wyrm", "Gladiator", 1, 0},</v>
      </c>
    </row>
    <row r="478" spans="1:14" x14ac:dyDescent="0.35">
      <c r="A478" s="2">
        <v>67336</v>
      </c>
      <c r="B478" t="s">
        <v>52</v>
      </c>
      <c r="C478" s="1" t="str">
        <f>VLOOKUP(Table1[[#This Row],[Name]],MountsByName[],2,FALSE)</f>
        <v>Wyrm</v>
      </c>
      <c r="D478" s="1">
        <f>VLOOKUP(Table1[[#This Row],[Name]],MountsByName[],3,FALSE)</f>
        <v>3.1</v>
      </c>
      <c r="E478" s="1">
        <f>VLOOKUP(Table1[[#This Row],[Name]],MountsByName[],4,FALSE)</f>
        <v>3.1</v>
      </c>
      <c r="F478" s="1">
        <f>VLOOKUP(Table1[[#This Row],[Name]],MountsByName[],5,FALSE)</f>
        <v>0</v>
      </c>
      <c r="G478" s="1">
        <f>VLOOKUP(Table1[[#This Row],[Name]],MountsByName[],6,FALSE)</f>
        <v>1</v>
      </c>
      <c r="H478" s="1">
        <f>VLOOKUP(Table1[[#This Row],[Name]],MountsByName[],7,FALSE)</f>
        <v>0</v>
      </c>
      <c r="I478" s="1">
        <f>VLOOKUP(Table1[[#This Row],[Name]],MountsByName[],8,FALSE)</f>
        <v>47840</v>
      </c>
      <c r="J478" s="1" t="str">
        <f>VLOOKUP(Table1[[#This Row],[Name]],MountsByName[],9,FALSE)</f>
        <v>Gladiator</v>
      </c>
      <c r="K478" s="1">
        <f>VLOOKUP(Table1[[#This Row],[Name]],MountsByName[],10,FALSE)</f>
        <v>1</v>
      </c>
      <c r="L478" s="1">
        <f>VLOOKUP(Table1[[#This Row],[Name]],MountsByName[],11,FALSE)</f>
        <v>1</v>
      </c>
      <c r="M478" s="1">
        <f>VLOOKUP(Table1[[#This Row],[Name]],MountsByName[],12,FALSE)</f>
        <v>1</v>
      </c>
      <c r="N47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[67336] ={"Relentless Gladiator's Frost Wyrm", 67336, 47840, 3.1, 3.1, 0, "Wyrm", "Gladiator", 1, 0},</v>
      </c>
    </row>
    <row r="479" spans="1:14" x14ac:dyDescent="0.35">
      <c r="A479" s="2">
        <v>71810</v>
      </c>
      <c r="B479" t="s">
        <v>75</v>
      </c>
      <c r="C479" s="1" t="str">
        <f>VLOOKUP(Table1[[#This Row],[Name]],MountsByName[],2,FALSE)</f>
        <v>Wyrm</v>
      </c>
      <c r="D479" s="1">
        <f>VLOOKUP(Table1[[#This Row],[Name]],MountsByName[],3,FALSE)</f>
        <v>3.1</v>
      </c>
      <c r="E479" s="1">
        <f>VLOOKUP(Table1[[#This Row],[Name]],MountsByName[],4,FALSE)</f>
        <v>3.1</v>
      </c>
      <c r="F479" s="1">
        <f>VLOOKUP(Table1[[#This Row],[Name]],MountsByName[],5,FALSE)</f>
        <v>0</v>
      </c>
      <c r="G479" s="1">
        <f>VLOOKUP(Table1[[#This Row],[Name]],MountsByName[],6,FALSE)</f>
        <v>1</v>
      </c>
      <c r="H479" s="1">
        <f>VLOOKUP(Table1[[#This Row],[Name]],MountsByName[],7,FALSE)</f>
        <v>0</v>
      </c>
      <c r="I479" s="1">
        <f>VLOOKUP(Table1[[#This Row],[Name]],MountsByName[],8,FALSE)</f>
        <v>50435</v>
      </c>
      <c r="J479" s="1" t="str">
        <f>VLOOKUP(Table1[[#This Row],[Name]],MountsByName[],9,FALSE)</f>
        <v>Gladiator</v>
      </c>
      <c r="K479" s="1">
        <f>VLOOKUP(Table1[[#This Row],[Name]],MountsByName[],10,FALSE)</f>
        <v>1</v>
      </c>
      <c r="L479" s="1">
        <f>VLOOKUP(Table1[[#This Row],[Name]],MountsByName[],11,FALSE)</f>
        <v>1</v>
      </c>
      <c r="M479" s="1">
        <f>VLOOKUP(Table1[[#This Row],[Name]],MountsByName[],12,FALSE)</f>
        <v>1</v>
      </c>
      <c r="N47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[71810] ={"Wrathful Gladiator's Frost Wyrm", 71810, 50435, 3.1, 3.1, 0, "Wyrm", "Gladiator", 1, 0},</v>
      </c>
    </row>
    <row r="480" spans="1:14" x14ac:dyDescent="0.35">
      <c r="A480" s="2">
        <v>72286</v>
      </c>
      <c r="B480" t="s">
        <v>358</v>
      </c>
      <c r="C480" s="1" t="str">
        <f>VLOOKUP(Table1[[#This Row],[Name]],MountsByName[],2,FALSE)</f>
        <v>Wyrm</v>
      </c>
      <c r="D480" s="1">
        <f>VLOOKUP(Table1[[#This Row],[Name]],MountsByName[],3,FALSE)</f>
        <v>2.8</v>
      </c>
      <c r="E480" s="1">
        <f>VLOOKUP(Table1[[#This Row],[Name]],MountsByName[],4,FALSE)</f>
        <v>2.8</v>
      </c>
      <c r="F480" s="1">
        <f>VLOOKUP(Table1[[#This Row],[Name]],MountsByName[],5,FALSE)</f>
        <v>0</v>
      </c>
      <c r="G480" s="1">
        <f>VLOOKUP(Table1[[#This Row],[Name]],MountsByName[],6,FALSE)</f>
        <v>1</v>
      </c>
      <c r="H480" s="1">
        <f>VLOOKUP(Table1[[#This Row],[Name]],MountsByName[],7,FALSE)</f>
        <v>0</v>
      </c>
      <c r="I480" s="1">
        <f>VLOOKUP(Table1[[#This Row],[Name]],MountsByName[],8,FALSE)</f>
        <v>50818</v>
      </c>
      <c r="J480" s="1" t="str">
        <f>VLOOKUP(Table1[[#This Row],[Name]],MountsByName[],9,FALSE)</f>
        <v>Drop Icecrown</v>
      </c>
      <c r="K480" s="1">
        <f>VLOOKUP(Table1[[#This Row],[Name]],MountsByName[],10,FALSE)</f>
        <v>1</v>
      </c>
      <c r="L480" s="1">
        <f>VLOOKUP(Table1[[#This Row],[Name]],MountsByName[],11,FALSE)</f>
        <v>1</v>
      </c>
      <c r="M480" s="1">
        <f>VLOOKUP(Table1[[#This Row],[Name]],MountsByName[],12,FALSE)</f>
        <v>1</v>
      </c>
      <c r="N48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[72286] ={"Invincible", 72286, 50818, 2.8, 2.8, 0, "Wyrm", "Drop Icecrown", 1, 0},</v>
      </c>
    </row>
    <row r="481" spans="1:14" x14ac:dyDescent="0.35">
      <c r="A481" s="2">
        <v>72807</v>
      </c>
      <c r="B481" t="s">
        <v>36</v>
      </c>
      <c r="C481" s="1" t="str">
        <f>VLOOKUP(Table1[[#This Row],[Name]],MountsByName[],2,FALSE)</f>
        <v>Wyrm</v>
      </c>
      <c r="D481" s="1">
        <f>VLOOKUP(Table1[[#This Row],[Name]],MountsByName[],3,FALSE)</f>
        <v>3.1</v>
      </c>
      <c r="E481" s="1">
        <f>VLOOKUP(Table1[[#This Row],[Name]],MountsByName[],4,FALSE)</f>
        <v>3.1</v>
      </c>
      <c r="F481" s="1">
        <f>VLOOKUP(Table1[[#This Row],[Name]],MountsByName[],5,FALSE)</f>
        <v>0</v>
      </c>
      <c r="G481" s="1">
        <f>VLOOKUP(Table1[[#This Row],[Name]],MountsByName[],6,FALSE)</f>
        <v>1</v>
      </c>
      <c r="H481" s="1">
        <f>VLOOKUP(Table1[[#This Row],[Name]],MountsByName[],7,FALSE)</f>
        <v>0</v>
      </c>
      <c r="I481" s="1">
        <f>VLOOKUP(Table1[[#This Row],[Name]],MountsByName[],8,FALSE)</f>
        <v>51955</v>
      </c>
      <c r="J481" s="1" t="str">
        <f>VLOOKUP(Table1[[#This Row],[Name]],MountsByName[],9,FALSE)</f>
        <v>Achievment</v>
      </c>
      <c r="K481" s="1">
        <f>VLOOKUP(Table1[[#This Row],[Name]],MountsByName[],10,FALSE)</f>
        <v>1</v>
      </c>
      <c r="L481" s="1">
        <f>VLOOKUP(Table1[[#This Row],[Name]],MountsByName[],11,FALSE)</f>
        <v>1</v>
      </c>
      <c r="M481" s="1">
        <f>VLOOKUP(Table1[[#This Row],[Name]],MountsByName[],12,FALSE)</f>
        <v>1</v>
      </c>
      <c r="N481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[72807] ={"Icebound Frostbrood Vanquisher", 72807, 51955, 3.1, 3.1, 0, "Wyrm", "Achievment", 1, 0},</v>
      </c>
    </row>
    <row r="482" spans="1:14" x14ac:dyDescent="0.35">
      <c r="A482" s="2">
        <v>72808</v>
      </c>
      <c r="B482" t="s">
        <v>14</v>
      </c>
      <c r="C482" s="1" t="str">
        <f>VLOOKUP(Table1[[#This Row],[Name]],MountsByName[],2,FALSE)</f>
        <v>Wyrm</v>
      </c>
      <c r="D482" s="1">
        <f>VLOOKUP(Table1[[#This Row],[Name]],MountsByName[],3,FALSE)</f>
        <v>3.1</v>
      </c>
      <c r="E482" s="1">
        <f>VLOOKUP(Table1[[#This Row],[Name]],MountsByName[],4,FALSE)</f>
        <v>3.1</v>
      </c>
      <c r="F482" s="1">
        <f>VLOOKUP(Table1[[#This Row],[Name]],MountsByName[],5,FALSE)</f>
        <v>0</v>
      </c>
      <c r="G482" s="1">
        <f>VLOOKUP(Table1[[#This Row],[Name]],MountsByName[],6,FALSE)</f>
        <v>1</v>
      </c>
      <c r="H482" s="1">
        <f>VLOOKUP(Table1[[#This Row],[Name]],MountsByName[],7,FALSE)</f>
        <v>0</v>
      </c>
      <c r="I482" s="1">
        <f>VLOOKUP(Table1[[#This Row],[Name]],MountsByName[],8,FALSE)</f>
        <v>51954</v>
      </c>
      <c r="J482" s="1" t="str">
        <f>VLOOKUP(Table1[[#This Row],[Name]],MountsByName[],9,FALSE)</f>
        <v>Achievment</v>
      </c>
      <c r="K482" s="1">
        <f>VLOOKUP(Table1[[#This Row],[Name]],MountsByName[],10,FALSE)</f>
        <v>1</v>
      </c>
      <c r="L482" s="1">
        <f>VLOOKUP(Table1[[#This Row],[Name]],MountsByName[],11,FALSE)</f>
        <v>1</v>
      </c>
      <c r="M482" s="1">
        <f>VLOOKUP(Table1[[#This Row],[Name]],MountsByName[],12,FALSE)</f>
        <v>1</v>
      </c>
      <c r="N482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[72808] ={"Bloodbathed Frostbrood Vanquisher", 72808, 51954, 3.1, 3.1, 0, "Wyrm", "Achievment", 1, 0},</v>
      </c>
    </row>
    <row r="483" spans="1:14" x14ac:dyDescent="0.35">
      <c r="A483" s="2">
        <v>135418</v>
      </c>
      <c r="B483" t="s">
        <v>1079</v>
      </c>
      <c r="C483" s="1" t="str">
        <f>VLOOKUP(Table1[[#This Row],[Name]],MountsByName[],2,FALSE)</f>
        <v>Wyvern</v>
      </c>
      <c r="D483" s="1">
        <f>VLOOKUP(Table1[[#This Row],[Name]],MountsByName[],3,FALSE)</f>
        <v>2.8</v>
      </c>
      <c r="E483" s="1">
        <f>VLOOKUP(Table1[[#This Row],[Name]],MountsByName[],4,FALSE)</f>
        <v>2.8</v>
      </c>
      <c r="F483" s="1">
        <f>VLOOKUP(Table1[[#This Row],[Name]],MountsByName[],5,FALSE)</f>
        <v>0</v>
      </c>
      <c r="G483" s="1">
        <f>VLOOKUP(Table1[[#This Row],[Name]],MountsByName[],6,FALSE)</f>
        <v>1</v>
      </c>
      <c r="H483" s="1">
        <f>VLOOKUP(Table1[[#This Row],[Name]],MountsByName[],7,FALSE)</f>
        <v>0</v>
      </c>
      <c r="I483" s="1">
        <f>VLOOKUP(Table1[[#This Row],[Name]],MountsByName[],8,FALSE)</f>
        <v>0</v>
      </c>
      <c r="J483" s="1">
        <f>VLOOKUP(Table1[[#This Row],[Name]],MountsByName[],9,FALSE)</f>
        <v>0</v>
      </c>
      <c r="K483" s="1">
        <f>VLOOKUP(Table1[[#This Row],[Name]],MountsByName[],10,FALSE)</f>
        <v>0</v>
      </c>
      <c r="L483" s="1">
        <f>VLOOKUP(Table1[[#This Row],[Name]],MountsByName[],11,FALSE)</f>
        <v>0</v>
      </c>
      <c r="M483" s="1">
        <f>VLOOKUP(Table1[[#This Row],[Name]],MountsByName[],12,FALSE)</f>
        <v>1</v>
      </c>
      <c r="N483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[135418] ={"Grand Armored Wyvern", 135418, 0, 2.8, 2.8, 0, "Wyvern", "0", 1, 0},</v>
      </c>
    </row>
    <row r="484" spans="1:14" x14ac:dyDescent="0.35">
      <c r="A484" s="2">
        <v>136164</v>
      </c>
      <c r="B484" t="s">
        <v>1146</v>
      </c>
      <c r="C484" s="1" t="str">
        <f>VLOOKUP(Table1[[#This Row],[Name]],MountsByName[],2,FALSE)</f>
        <v>Wyvern</v>
      </c>
      <c r="D484" s="1">
        <f>VLOOKUP(Table1[[#This Row],[Name]],MountsByName[],3,FALSE)</f>
        <v>2.8</v>
      </c>
      <c r="E484" s="1">
        <f>VLOOKUP(Table1[[#This Row],[Name]],MountsByName[],4,FALSE)</f>
        <v>2.8</v>
      </c>
      <c r="F484" s="1">
        <f>VLOOKUP(Table1[[#This Row],[Name]],MountsByName[],5,FALSE)</f>
        <v>0</v>
      </c>
      <c r="G484" s="1">
        <f>VLOOKUP(Table1[[#This Row],[Name]],MountsByName[],6,FALSE)</f>
        <v>1</v>
      </c>
      <c r="H484" s="1">
        <f>VLOOKUP(Table1[[#This Row],[Name]],MountsByName[],7,FALSE)</f>
        <v>0</v>
      </c>
      <c r="I484" s="1">
        <f>VLOOKUP(Table1[[#This Row],[Name]],MountsByName[],8,FALSE)</f>
        <v>0</v>
      </c>
      <c r="J484" s="1">
        <f>VLOOKUP(Table1[[#This Row],[Name]],MountsByName[],9,FALSE)</f>
        <v>0</v>
      </c>
      <c r="K484" s="1">
        <f>VLOOKUP(Table1[[#This Row],[Name]],MountsByName[],10,FALSE)</f>
        <v>0</v>
      </c>
      <c r="L484" s="1">
        <f>VLOOKUP(Table1[[#This Row],[Name]],MountsByName[],11,FALSE)</f>
        <v>0</v>
      </c>
      <c r="M484" s="1">
        <f>VLOOKUP(Table1[[#This Row],[Name]],MountsByName[],12,FALSE)</f>
        <v>1</v>
      </c>
      <c r="N484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[136164] ={"Grand Wyvern", 136164, 0, 2.8, 2.8, 0, "Wyvern", "0", 1, 0},</v>
      </c>
    </row>
    <row r="485" spans="1:14" x14ac:dyDescent="0.35">
      <c r="A485" s="2">
        <v>122708</v>
      </c>
      <c r="B485" t="s">
        <v>1069</v>
      </c>
      <c r="C485" s="1" t="str">
        <f>VLOOKUP(Table1[[#This Row],[Name]],MountsByName[],2,FALSE)</f>
        <v>Yak</v>
      </c>
      <c r="D485" s="1">
        <f>VLOOKUP(Table1[[#This Row],[Name]],MountsByName[],3,FALSE)</f>
        <v>1</v>
      </c>
      <c r="E485" s="1">
        <f>VLOOKUP(Table1[[#This Row],[Name]],MountsByName[],4,FALSE)</f>
        <v>1</v>
      </c>
      <c r="F485" s="1">
        <f>VLOOKUP(Table1[[#This Row],[Name]],MountsByName[],5,FALSE)</f>
        <v>0</v>
      </c>
      <c r="G485" s="1">
        <f>VLOOKUP(Table1[[#This Row],[Name]],MountsByName[],6,FALSE)</f>
        <v>1</v>
      </c>
      <c r="H485" s="1">
        <f>VLOOKUP(Table1[[#This Row],[Name]],MountsByName[],7,FALSE)</f>
        <v>0</v>
      </c>
      <c r="I485" s="1">
        <f>VLOOKUP(Table1[[#This Row],[Name]],MountsByName[],8,FALSE)</f>
        <v>0</v>
      </c>
      <c r="J485" s="1">
        <f>VLOOKUP(Table1[[#This Row],[Name]],MountsByName[],9,FALSE)</f>
        <v>0</v>
      </c>
      <c r="K485" s="1">
        <f>VLOOKUP(Table1[[#This Row],[Name]],MountsByName[],10,FALSE)</f>
        <v>0</v>
      </c>
      <c r="L485" s="1">
        <f>VLOOKUP(Table1[[#This Row],[Name]],MountsByName[],11,FALSE)</f>
        <v>0</v>
      </c>
      <c r="M485" s="1">
        <f>VLOOKUP(Table1[[#This Row],[Name]],MountsByName[],12,FALSE)</f>
        <v>1</v>
      </c>
      <c r="N485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[122708] ={"Grand Expedition Yak", 122708, 0, 1, 1, 0, "Yak", "0", 1, 0},</v>
      </c>
    </row>
    <row r="486" spans="1:14" x14ac:dyDescent="0.35">
      <c r="A486" s="2">
        <v>123182</v>
      </c>
      <c r="B486" t="s">
        <v>1030</v>
      </c>
      <c r="C486" s="1" t="str">
        <f>VLOOKUP(Table1[[#This Row],[Name]],MountsByName[],2,FALSE)</f>
        <v>Yak</v>
      </c>
      <c r="D486" s="1">
        <f>VLOOKUP(Table1[[#This Row],[Name]],MountsByName[],3,FALSE)</f>
        <v>1</v>
      </c>
      <c r="E486" s="1">
        <f>VLOOKUP(Table1[[#This Row],[Name]],MountsByName[],4,FALSE)</f>
        <v>1</v>
      </c>
      <c r="F486" s="1">
        <f>VLOOKUP(Table1[[#This Row],[Name]],MountsByName[],5,FALSE)</f>
        <v>0</v>
      </c>
      <c r="G486" s="1">
        <f>VLOOKUP(Table1[[#This Row],[Name]],MountsByName[],6,FALSE)</f>
        <v>1</v>
      </c>
      <c r="H486" s="1">
        <f>VLOOKUP(Table1[[#This Row],[Name]],MountsByName[],7,FALSE)</f>
        <v>0</v>
      </c>
      <c r="I486" s="1">
        <f>VLOOKUP(Table1[[#This Row],[Name]],MountsByName[],8,FALSE)</f>
        <v>0</v>
      </c>
      <c r="J486" s="1">
        <f>VLOOKUP(Table1[[#This Row],[Name]],MountsByName[],9,FALSE)</f>
        <v>0</v>
      </c>
      <c r="K486" s="1">
        <f>VLOOKUP(Table1[[#This Row],[Name]],MountsByName[],10,FALSE)</f>
        <v>0</v>
      </c>
      <c r="L486" s="1">
        <f>VLOOKUP(Table1[[#This Row],[Name]],MountsByName[],11,FALSE)</f>
        <v>0</v>
      </c>
      <c r="M486" s="1">
        <f>VLOOKUP(Table1[[#This Row],[Name]],MountsByName[],12,FALSE)</f>
        <v>1</v>
      </c>
      <c r="N486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[123182] ={"White Riding Yak", 123182, 0, 1, 1, 0, "Yak", "0", 1, 0},</v>
      </c>
    </row>
    <row r="487" spans="1:14" x14ac:dyDescent="0.35">
      <c r="A487" s="2">
        <v>127209</v>
      </c>
      <c r="B487" t="s">
        <v>1053</v>
      </c>
      <c r="C487" s="1" t="str">
        <f>VLOOKUP(Table1[[#This Row],[Name]],MountsByName[],2,FALSE)</f>
        <v>Yak</v>
      </c>
      <c r="D487" s="1">
        <f>VLOOKUP(Table1[[#This Row],[Name]],MountsByName[],3,FALSE)</f>
        <v>1</v>
      </c>
      <c r="E487" s="1">
        <f>VLOOKUP(Table1[[#This Row],[Name]],MountsByName[],4,FALSE)</f>
        <v>1</v>
      </c>
      <c r="F487" s="1">
        <f>VLOOKUP(Table1[[#This Row],[Name]],MountsByName[],5,FALSE)</f>
        <v>0</v>
      </c>
      <c r="G487" s="1">
        <f>VLOOKUP(Table1[[#This Row],[Name]],MountsByName[],6,FALSE)</f>
        <v>1</v>
      </c>
      <c r="H487" s="1">
        <f>VLOOKUP(Table1[[#This Row],[Name]],MountsByName[],7,FALSE)</f>
        <v>0</v>
      </c>
      <c r="I487" s="1">
        <f>VLOOKUP(Table1[[#This Row],[Name]],MountsByName[],8,FALSE)</f>
        <v>0</v>
      </c>
      <c r="J487" s="1">
        <f>VLOOKUP(Table1[[#This Row],[Name]],MountsByName[],9,FALSE)</f>
        <v>0</v>
      </c>
      <c r="K487" s="1">
        <f>VLOOKUP(Table1[[#This Row],[Name]],MountsByName[],10,FALSE)</f>
        <v>0</v>
      </c>
      <c r="L487" s="1">
        <f>VLOOKUP(Table1[[#This Row],[Name]],MountsByName[],11,FALSE)</f>
        <v>0</v>
      </c>
      <c r="M487" s="1">
        <f>VLOOKUP(Table1[[#This Row],[Name]],MountsByName[],12,FALSE)</f>
        <v>1</v>
      </c>
      <c r="N487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[127209] ={"Black Riding Yak", 127209, 0, 1, 1, 0, "Yak", "0", 1, 0},</v>
      </c>
    </row>
    <row r="488" spans="1:14" x14ac:dyDescent="0.35">
      <c r="A488" s="2">
        <v>127213</v>
      </c>
      <c r="B488" t="s">
        <v>1047</v>
      </c>
      <c r="C488" s="1" t="str">
        <f>VLOOKUP(Table1[[#This Row],[Name]],MountsByName[],2,FALSE)</f>
        <v>Yak</v>
      </c>
      <c r="D488" s="1">
        <f>VLOOKUP(Table1[[#This Row],[Name]],MountsByName[],3,FALSE)</f>
        <v>1</v>
      </c>
      <c r="E488" s="1">
        <f>VLOOKUP(Table1[[#This Row],[Name]],MountsByName[],4,FALSE)</f>
        <v>1</v>
      </c>
      <c r="F488" s="1">
        <f>VLOOKUP(Table1[[#This Row],[Name]],MountsByName[],5,FALSE)</f>
        <v>0</v>
      </c>
      <c r="G488" s="1">
        <f>VLOOKUP(Table1[[#This Row],[Name]],MountsByName[],6,FALSE)</f>
        <v>1</v>
      </c>
      <c r="H488" s="1">
        <f>VLOOKUP(Table1[[#This Row],[Name]],MountsByName[],7,FALSE)</f>
        <v>0</v>
      </c>
      <c r="I488" s="1">
        <f>VLOOKUP(Table1[[#This Row],[Name]],MountsByName[],8,FALSE)</f>
        <v>0</v>
      </c>
      <c r="J488" s="1">
        <f>VLOOKUP(Table1[[#This Row],[Name]],MountsByName[],9,FALSE)</f>
        <v>0</v>
      </c>
      <c r="K488" s="1">
        <f>VLOOKUP(Table1[[#This Row],[Name]],MountsByName[],10,FALSE)</f>
        <v>0</v>
      </c>
      <c r="L488" s="1">
        <f>VLOOKUP(Table1[[#This Row],[Name]],MountsByName[],11,FALSE)</f>
        <v>0</v>
      </c>
      <c r="M488" s="1">
        <f>VLOOKUP(Table1[[#This Row],[Name]],MountsByName[],12,FALSE)</f>
        <v>1</v>
      </c>
      <c r="N488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[127213] ={"Brown Riding Yak", 127213, 0, 1, 1, 0, "Yak", "0", 1, 0},</v>
      </c>
    </row>
    <row r="489" spans="1:14" x14ac:dyDescent="0.35">
      <c r="A489" s="2">
        <v>127216</v>
      </c>
      <c r="B489" t="s">
        <v>1088</v>
      </c>
      <c r="C489" s="1" t="str">
        <f>VLOOKUP(Table1[[#This Row],[Name]],MountsByName[],2,FALSE)</f>
        <v>Yak</v>
      </c>
      <c r="D489" s="1">
        <f>VLOOKUP(Table1[[#This Row],[Name]],MountsByName[],3,FALSE)</f>
        <v>1</v>
      </c>
      <c r="E489" s="1">
        <f>VLOOKUP(Table1[[#This Row],[Name]],MountsByName[],4,FALSE)</f>
        <v>1</v>
      </c>
      <c r="F489" s="1">
        <f>VLOOKUP(Table1[[#This Row],[Name]],MountsByName[],5,FALSE)</f>
        <v>0</v>
      </c>
      <c r="G489" s="1">
        <f>VLOOKUP(Table1[[#This Row],[Name]],MountsByName[],6,FALSE)</f>
        <v>1</v>
      </c>
      <c r="H489" s="1">
        <f>VLOOKUP(Table1[[#This Row],[Name]],MountsByName[],7,FALSE)</f>
        <v>0</v>
      </c>
      <c r="I489" s="1">
        <f>VLOOKUP(Table1[[#This Row],[Name]],MountsByName[],8,FALSE)</f>
        <v>0</v>
      </c>
      <c r="J489" s="1">
        <f>VLOOKUP(Table1[[#This Row],[Name]],MountsByName[],9,FALSE)</f>
        <v>0</v>
      </c>
      <c r="K489" s="1">
        <f>VLOOKUP(Table1[[#This Row],[Name]],MountsByName[],10,FALSE)</f>
        <v>0</v>
      </c>
      <c r="L489" s="1">
        <f>VLOOKUP(Table1[[#This Row],[Name]],MountsByName[],11,FALSE)</f>
        <v>0</v>
      </c>
      <c r="M489" s="1">
        <f>VLOOKUP(Table1[[#This Row],[Name]],MountsByName[],12,FALSE)</f>
        <v>1</v>
      </c>
      <c r="N489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[127216] ={"Grey Riding Yak", 127216, 0, 1, 1, 0, "Yak", "0", 1, 0},</v>
      </c>
    </row>
    <row r="490" spans="1:14" x14ac:dyDescent="0.35">
      <c r="A490" s="2">
        <v>127220</v>
      </c>
      <c r="B490" t="s">
        <v>1106</v>
      </c>
      <c r="C490" s="1" t="str">
        <f>VLOOKUP(Table1[[#This Row],[Name]],MountsByName[],2,FALSE)</f>
        <v>Yak</v>
      </c>
      <c r="D490" s="1">
        <f>VLOOKUP(Table1[[#This Row],[Name]],MountsByName[],3,FALSE)</f>
        <v>1</v>
      </c>
      <c r="E490" s="1">
        <f>VLOOKUP(Table1[[#This Row],[Name]],MountsByName[],4,FALSE)</f>
        <v>1</v>
      </c>
      <c r="F490" s="1">
        <f>VLOOKUP(Table1[[#This Row],[Name]],MountsByName[],5,FALSE)</f>
        <v>0</v>
      </c>
      <c r="G490" s="1">
        <f>VLOOKUP(Table1[[#This Row],[Name]],MountsByName[],6,FALSE)</f>
        <v>1</v>
      </c>
      <c r="H490" s="1">
        <f>VLOOKUP(Table1[[#This Row],[Name]],MountsByName[],7,FALSE)</f>
        <v>0</v>
      </c>
      <c r="I490" s="1">
        <f>VLOOKUP(Table1[[#This Row],[Name]],MountsByName[],8,FALSE)</f>
        <v>0</v>
      </c>
      <c r="J490" s="1">
        <f>VLOOKUP(Table1[[#This Row],[Name]],MountsByName[],9,FALSE)</f>
        <v>0</v>
      </c>
      <c r="K490" s="1">
        <f>VLOOKUP(Table1[[#This Row],[Name]],MountsByName[],10,FALSE)</f>
        <v>0</v>
      </c>
      <c r="L490" s="1">
        <f>VLOOKUP(Table1[[#This Row],[Name]],MountsByName[],11,FALSE)</f>
        <v>0</v>
      </c>
      <c r="M490" s="1">
        <f>VLOOKUP(Table1[[#This Row],[Name]],MountsByName[],12,FALSE)</f>
        <v>1</v>
      </c>
      <c r="N490" s="1" t="str">
        <f>CONCATENATE("[",Table1[[#This Row],[Spell ID]],"] ={""",Table1[[#This Row],[Name]],""", ",Table1[[#This Row],[Spell ID]],", ",Table1[[#This Row],[ItemID]],", ",Table1[[#This Row],[Speed]],", ",Table1[[#This Row],[MinSpeed]],", ",Table1[[#This Row],[SwimSpeed]],", """,Table1[[#This Row],[Category]],""", """,Table1[[#This Row],[Source]],""", ",Table1[[#This Row],[NormalMount]],", ",Table1[[#This Row],[AQMounts]],"},")</f>
        <v>[127220] ={"Blonde Riding Yak", 127220, 0, 1, 1, 0, "Yak", "0", 1, 0},</v>
      </c>
    </row>
  </sheetData>
  <conditionalFormatting sqref="A1:A1048576">
    <cfRule type="duplicateValues" dxfId="6" priority="1"/>
    <cfRule type="duplicateValues" dxfId="5" priority="2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3"/>
  <sheetViews>
    <sheetView zoomScaleNormal="100" workbookViewId="0">
      <pane ySplit="1" topLeftCell="A206" activePane="bottomLeft" state="frozen"/>
      <selection pane="bottomLeft" activeCell="O225" sqref="O225"/>
    </sheetView>
  </sheetViews>
  <sheetFormatPr defaultRowHeight="14.5" x14ac:dyDescent="0.35"/>
  <cols>
    <col min="1" max="1" width="9.26953125" bestFit="1" customWidth="1"/>
    <col min="2" max="2" width="33.08984375" bestFit="1" customWidth="1"/>
    <col min="3" max="3" width="14.1796875" bestFit="1" customWidth="1"/>
    <col min="4" max="4" width="8.1796875" bestFit="1" customWidth="1"/>
    <col min="5" max="5" width="11.453125" bestFit="1" customWidth="1"/>
    <col min="6" max="6" width="12.6328125" bestFit="1" customWidth="1"/>
    <col min="7" max="7" width="15" bestFit="1" customWidth="1"/>
    <col min="8" max="8" width="12.1796875" bestFit="1" customWidth="1"/>
    <col min="9" max="9" width="8.81640625" bestFit="1" customWidth="1"/>
    <col min="10" max="10" width="22.26953125" customWidth="1"/>
    <col min="11" max="11" width="9.54296875" bestFit="1" customWidth="1"/>
    <col min="12" max="12" width="8.26953125" bestFit="1" customWidth="1"/>
    <col min="13" max="13" width="15.54296875" bestFit="1" customWidth="1"/>
    <col min="14" max="14" width="42.08984375" bestFit="1" customWidth="1"/>
    <col min="15" max="15" width="103.81640625" bestFit="1" customWidth="1"/>
    <col min="16" max="16" width="42.08984375" bestFit="1" customWidth="1"/>
  </cols>
  <sheetData>
    <row r="1" spans="1:16" x14ac:dyDescent="0.35">
      <c r="A1" t="s">
        <v>78</v>
      </c>
      <c r="B1" t="s">
        <v>79</v>
      </c>
      <c r="C1" t="s">
        <v>80</v>
      </c>
      <c r="D1" t="s">
        <v>3</v>
      </c>
      <c r="E1" t="s">
        <v>396</v>
      </c>
      <c r="F1" t="s">
        <v>397</v>
      </c>
      <c r="G1" t="s">
        <v>408</v>
      </c>
      <c r="H1" t="s">
        <v>409</v>
      </c>
      <c r="I1" t="s">
        <v>1</v>
      </c>
      <c r="J1" t="s">
        <v>278</v>
      </c>
      <c r="K1" t="s">
        <v>344</v>
      </c>
      <c r="L1" t="s">
        <v>345</v>
      </c>
      <c r="M1" t="s">
        <v>405</v>
      </c>
      <c r="N1" t="s">
        <v>404</v>
      </c>
      <c r="O1" t="s">
        <v>276</v>
      </c>
      <c r="P1" t="s">
        <v>277</v>
      </c>
    </row>
    <row r="2" spans="1:16" x14ac:dyDescent="0.35">
      <c r="A2">
        <v>458</v>
      </c>
      <c r="B2" t="s">
        <v>116</v>
      </c>
      <c r="C2" t="s">
        <v>369</v>
      </c>
      <c r="D2">
        <v>0.6</v>
      </c>
      <c r="E2" s="1">
        <v>0.6</v>
      </c>
      <c r="F2">
        <v>0</v>
      </c>
      <c r="G2">
        <v>1</v>
      </c>
      <c r="H2">
        <v>0</v>
      </c>
      <c r="I2">
        <v>5656</v>
      </c>
      <c r="J2" t="s">
        <v>412</v>
      </c>
      <c r="K2">
        <v>1</v>
      </c>
      <c r="M2">
        <v>1</v>
      </c>
      <c r="N2" s="1" t="str">
        <f>CONCATENATE(Table3[[#This Row],[Spell ID]])</f>
        <v>458</v>
      </c>
      <c r="O2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["458"] ={"Brown Horse", 458, 5656, 0.6, 0.6, 0, "Horse", "Exalted Stormwind", 1, 0},</v>
      </c>
      <c r="P2" s="1" t="str">
        <f>CONCATENATE("https://www.wowhead.com/wotlk/item=",Table3[[#This Row],[ItemID]])</f>
        <v>https://www.wowhead.com/wotlk/item=5656</v>
      </c>
    </row>
    <row r="3" spans="1:16" x14ac:dyDescent="0.35">
      <c r="A3">
        <v>459</v>
      </c>
      <c r="B3" t="s">
        <v>151</v>
      </c>
      <c r="C3" t="s">
        <v>370</v>
      </c>
      <c r="D3">
        <v>0.6</v>
      </c>
      <c r="E3" s="1">
        <v>0.6</v>
      </c>
      <c r="F3">
        <v>0</v>
      </c>
      <c r="G3">
        <v>1</v>
      </c>
      <c r="H3">
        <v>0</v>
      </c>
      <c r="I3">
        <v>1134</v>
      </c>
      <c r="J3" t="s">
        <v>281</v>
      </c>
      <c r="L3">
        <v>1</v>
      </c>
      <c r="M3">
        <v>1</v>
      </c>
      <c r="N3" s="1" t="str">
        <f>CONCATENATE(Table3[[#This Row],[Spell ID]])</f>
        <v>459</v>
      </c>
      <c r="O3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["459"] ={"Gray Wolf", 459, 1134, 0.6, 0.6, 0, "Wolf", "Removed", 1, 0},</v>
      </c>
      <c r="P3" s="1" t="str">
        <f>CONCATENATE("https://www.wowhead.com/wotlk/item=",Table3[[#This Row],[ItemID]])</f>
        <v>https://www.wowhead.com/wotlk/item=1134</v>
      </c>
    </row>
    <row r="4" spans="1:16" x14ac:dyDescent="0.35">
      <c r="A4">
        <v>470</v>
      </c>
      <c r="B4" t="s">
        <v>95</v>
      </c>
      <c r="C4" t="s">
        <v>369</v>
      </c>
      <c r="D4">
        <v>0.6</v>
      </c>
      <c r="E4" s="1">
        <v>0.6</v>
      </c>
      <c r="F4">
        <v>0</v>
      </c>
      <c r="G4">
        <v>1</v>
      </c>
      <c r="H4">
        <v>0</v>
      </c>
      <c r="I4">
        <v>2411</v>
      </c>
      <c r="J4" t="s">
        <v>412</v>
      </c>
      <c r="K4">
        <v>1</v>
      </c>
      <c r="M4">
        <v>1</v>
      </c>
      <c r="N4" s="1" t="str">
        <f>CONCATENATE(Table3[[#This Row],[Spell ID]])</f>
        <v>470</v>
      </c>
      <c r="O4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["470"] ={"Black Stallion", 470, 2411, 0.6, 0.6, 0, "Horse", "Exalted Stormwind", 1, 0},</v>
      </c>
      <c r="P4" s="1" t="str">
        <f>CONCATENATE("https://www.wowhead.com/wotlk/item=",Table3[[#This Row],[ItemID]])</f>
        <v>https://www.wowhead.com/wotlk/item=2411</v>
      </c>
    </row>
    <row r="5" spans="1:16" x14ac:dyDescent="0.35">
      <c r="A5">
        <v>472</v>
      </c>
      <c r="B5" t="s">
        <v>180</v>
      </c>
      <c r="C5" t="s">
        <v>369</v>
      </c>
      <c r="D5">
        <v>0.6</v>
      </c>
      <c r="E5" s="1">
        <v>0.6</v>
      </c>
      <c r="F5">
        <v>0</v>
      </c>
      <c r="G5">
        <v>1</v>
      </c>
      <c r="H5">
        <v>0</v>
      </c>
      <c r="I5">
        <v>2414</v>
      </c>
      <c r="J5" t="s">
        <v>412</v>
      </c>
      <c r="K5">
        <v>1</v>
      </c>
      <c r="M5">
        <v>1</v>
      </c>
      <c r="N5" s="1" t="str">
        <f>CONCATENATE(Table3[[#This Row],[Spell ID]])</f>
        <v>472</v>
      </c>
      <c r="O5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["472"] ={"Pinto", 472, 2414, 0.6, 0.6, 0, "Horse", "Exalted Stormwind", 1, 0},</v>
      </c>
      <c r="P5" s="1" t="str">
        <f>CONCATENATE("https://www.wowhead.com/wotlk/item=",Table3[[#This Row],[ItemID]])</f>
        <v>https://www.wowhead.com/wotlk/item=2414</v>
      </c>
    </row>
    <row r="6" spans="1:16" x14ac:dyDescent="0.35">
      <c r="A6">
        <v>580</v>
      </c>
      <c r="B6" t="s">
        <v>255</v>
      </c>
      <c r="C6" t="s">
        <v>370</v>
      </c>
      <c r="D6">
        <v>0.6</v>
      </c>
      <c r="E6" s="1">
        <v>0.6</v>
      </c>
      <c r="F6">
        <v>0</v>
      </c>
      <c r="G6">
        <v>1</v>
      </c>
      <c r="H6">
        <v>0</v>
      </c>
      <c r="I6">
        <v>1132</v>
      </c>
      <c r="J6" t="s">
        <v>285</v>
      </c>
      <c r="L6">
        <v>1</v>
      </c>
      <c r="M6">
        <v>1</v>
      </c>
      <c r="N6" s="1" t="str">
        <f>CONCATENATE(Table3[[#This Row],[Spell ID]])</f>
        <v>580</v>
      </c>
      <c r="O6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["580"] ={"Timber Wolf", 580, 1132, 0.6, 0.6, 0, "Wolf", "Gold", 1, 0},</v>
      </c>
      <c r="P6" s="1" t="str">
        <f>CONCATENATE("https://www.wowhead.com/wotlk/item=",Table3[[#This Row],[ItemID]])</f>
        <v>https://www.wowhead.com/wotlk/item=1132</v>
      </c>
    </row>
    <row r="7" spans="1:16" x14ac:dyDescent="0.35">
      <c r="A7">
        <v>5784</v>
      </c>
      <c r="B7" t="s">
        <v>137</v>
      </c>
      <c r="C7" t="s">
        <v>311</v>
      </c>
      <c r="D7">
        <v>0.6</v>
      </c>
      <c r="E7" s="1">
        <v>0.6</v>
      </c>
      <c r="F7">
        <v>0</v>
      </c>
      <c r="G7">
        <v>1</v>
      </c>
      <c r="H7">
        <v>0</v>
      </c>
      <c r="I7">
        <v>0</v>
      </c>
      <c r="J7" t="s">
        <v>311</v>
      </c>
      <c r="K7">
        <v>1</v>
      </c>
      <c r="L7">
        <v>1</v>
      </c>
      <c r="M7">
        <v>1</v>
      </c>
      <c r="N7" s="1" t="str">
        <f>CONCATENATE(Table3[[#This Row],[Spell ID]])</f>
        <v>5784</v>
      </c>
      <c r="O7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["5784"] ={"Felsteed", 5784, 0, 0.6, 0.6, 0, "Warlock", "Warlock", 1, 0},</v>
      </c>
      <c r="P7" s="1" t="str">
        <f>CONCATENATE("https://www.wowhead.com/wotlk/item=",Table3[[#This Row],[ItemID]])</f>
        <v>https://www.wowhead.com/wotlk/item=0</v>
      </c>
    </row>
    <row r="8" spans="1:16" x14ac:dyDescent="0.35">
      <c r="A8">
        <v>6648</v>
      </c>
      <c r="B8" t="s">
        <v>123</v>
      </c>
      <c r="C8" t="s">
        <v>369</v>
      </c>
      <c r="D8">
        <v>0.6</v>
      </c>
      <c r="E8" s="1">
        <v>0.6</v>
      </c>
      <c r="F8">
        <v>0</v>
      </c>
      <c r="G8">
        <v>1</v>
      </c>
      <c r="H8">
        <v>0</v>
      </c>
      <c r="I8">
        <v>5655</v>
      </c>
      <c r="J8" t="s">
        <v>412</v>
      </c>
      <c r="K8">
        <v>1</v>
      </c>
      <c r="M8">
        <v>1</v>
      </c>
      <c r="N8" s="1" t="str">
        <f>CONCATENATE(Table3[[#This Row],[Spell ID]])</f>
        <v>6648</v>
      </c>
      <c r="O8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["6648"] ={"Chestnut Mare", 6648, 5655, 0.6, 0.6, 0, "Horse", "Exalted Stormwind", 1, 0},</v>
      </c>
      <c r="P8" s="1" t="str">
        <f>CONCATENATE("https://www.wowhead.com/wotlk/item=",Table3[[#This Row],[ItemID]])</f>
        <v>https://www.wowhead.com/wotlk/item=5655</v>
      </c>
    </row>
    <row r="9" spans="1:16" x14ac:dyDescent="0.35">
      <c r="A9">
        <v>6653</v>
      </c>
      <c r="B9" t="s">
        <v>133</v>
      </c>
      <c r="C9" t="s">
        <v>370</v>
      </c>
      <c r="D9">
        <v>0.6</v>
      </c>
      <c r="E9" s="1">
        <v>0.6</v>
      </c>
      <c r="F9">
        <v>0</v>
      </c>
      <c r="G9">
        <v>1</v>
      </c>
      <c r="H9">
        <v>0</v>
      </c>
      <c r="I9">
        <v>5665</v>
      </c>
      <c r="J9" t="s">
        <v>285</v>
      </c>
      <c r="L9">
        <v>1</v>
      </c>
      <c r="M9">
        <v>1</v>
      </c>
      <c r="N9" s="1" t="str">
        <f>CONCATENATE(Table3[[#This Row],[Spell ID]])</f>
        <v>6653</v>
      </c>
      <c r="O9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["6653"] ={"Dire Wolf", 6653, 5665, 0.6, 0.6, 0, "Wolf", "Gold", 1, 0},</v>
      </c>
      <c r="P9" s="1" t="str">
        <f>CONCATENATE("https://www.wowhead.com/wotlk/item=",Table3[[#This Row],[ItemID]])</f>
        <v>https://www.wowhead.com/wotlk/item=5665</v>
      </c>
    </row>
    <row r="10" spans="1:16" x14ac:dyDescent="0.35">
      <c r="A10">
        <v>6654</v>
      </c>
      <c r="B10" t="s">
        <v>121</v>
      </c>
      <c r="C10" t="s">
        <v>370</v>
      </c>
      <c r="D10">
        <v>0.6</v>
      </c>
      <c r="E10" s="1">
        <v>0.6</v>
      </c>
      <c r="F10">
        <v>0</v>
      </c>
      <c r="G10">
        <v>1</v>
      </c>
      <c r="H10">
        <v>0</v>
      </c>
      <c r="I10">
        <v>5668</v>
      </c>
      <c r="J10" t="s">
        <v>285</v>
      </c>
      <c r="L10">
        <v>1</v>
      </c>
      <c r="M10">
        <v>1</v>
      </c>
      <c r="N10" s="1" t="str">
        <f>CONCATENATE(Table3[[#This Row],[Spell ID]])</f>
        <v>6654</v>
      </c>
      <c r="O10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["6654"] ={"Brown Wolf", 6654, 5668, 0.6, 0.6, 0, "Wolf", "Gold", 1, 0},</v>
      </c>
      <c r="P10" s="1" t="str">
        <f>CONCATENATE("https://www.wowhead.com/wotlk/item=",Table3[[#This Row],[ItemID]])</f>
        <v>https://www.wowhead.com/wotlk/item=5668</v>
      </c>
    </row>
    <row r="11" spans="1:16" x14ac:dyDescent="0.35">
      <c r="A11">
        <v>6777</v>
      </c>
      <c r="B11" t="s">
        <v>150</v>
      </c>
      <c r="C11" t="s">
        <v>371</v>
      </c>
      <c r="D11">
        <v>0.6</v>
      </c>
      <c r="E11" s="1">
        <v>0.6</v>
      </c>
      <c r="F11">
        <v>0</v>
      </c>
      <c r="G11">
        <v>1</v>
      </c>
      <c r="H11">
        <v>0</v>
      </c>
      <c r="I11">
        <v>5864</v>
      </c>
      <c r="J11" t="s">
        <v>413</v>
      </c>
      <c r="K11">
        <v>1</v>
      </c>
      <c r="M11">
        <v>1</v>
      </c>
      <c r="N11" s="1" t="str">
        <f>CONCATENATE(Table3[[#This Row],[Spell ID]])</f>
        <v>6777</v>
      </c>
      <c r="O11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["6777"] ={"Gray Ram", 6777, 5864, 0.6, 0.6, 0, "Ram", "Exalted IronForge", 1, 0},</v>
      </c>
      <c r="P11" s="1" t="str">
        <f>CONCATENATE("https://www.wowhead.com/wotlk/item=",Table3[[#This Row],[ItemID]])</f>
        <v>https://www.wowhead.com/wotlk/item=5864</v>
      </c>
    </row>
    <row r="12" spans="1:16" x14ac:dyDescent="0.35">
      <c r="A12">
        <v>6898</v>
      </c>
      <c r="B12" t="s">
        <v>266</v>
      </c>
      <c r="C12" t="s">
        <v>371</v>
      </c>
      <c r="D12">
        <v>0.6</v>
      </c>
      <c r="E12" s="1">
        <v>0.6</v>
      </c>
      <c r="F12">
        <v>0</v>
      </c>
      <c r="G12">
        <v>1</v>
      </c>
      <c r="H12">
        <v>0</v>
      </c>
      <c r="I12">
        <v>5873</v>
      </c>
      <c r="J12" t="s">
        <v>413</v>
      </c>
      <c r="K12">
        <v>1</v>
      </c>
      <c r="M12">
        <v>1</v>
      </c>
      <c r="N12" s="1" t="str">
        <f>CONCATENATE(Table3[[#This Row],[Spell ID]])</f>
        <v>6898</v>
      </c>
      <c r="O12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["6898"] ={"White Ram", 6898, 5873, 0.6, 0.6, 0, "Ram", "Exalted IronForge", 1, 0},</v>
      </c>
      <c r="P12" s="1" t="str">
        <f>CONCATENATE("https://www.wowhead.com/wotlk/item=",Table3[[#This Row],[ItemID]])</f>
        <v>https://www.wowhead.com/wotlk/item=5873</v>
      </c>
    </row>
    <row r="13" spans="1:16" x14ac:dyDescent="0.35">
      <c r="A13">
        <v>6899</v>
      </c>
      <c r="B13" t="s">
        <v>119</v>
      </c>
      <c r="C13" t="s">
        <v>371</v>
      </c>
      <c r="D13">
        <v>0.6</v>
      </c>
      <c r="E13" s="1">
        <v>0.6</v>
      </c>
      <c r="F13">
        <v>0</v>
      </c>
      <c r="G13">
        <v>1</v>
      </c>
      <c r="H13">
        <v>0</v>
      </c>
      <c r="I13">
        <v>5872</v>
      </c>
      <c r="J13" t="s">
        <v>413</v>
      </c>
      <c r="K13">
        <v>1</v>
      </c>
      <c r="M13">
        <v>1</v>
      </c>
      <c r="N13" s="1" t="str">
        <f>CONCATENATE(Table3[[#This Row],[Spell ID]])</f>
        <v>6899</v>
      </c>
      <c r="O13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["6899"] ={"Brown Ram", 6899, 5872, 0.6, 0.6, 0, "Ram", "Exalted IronForge", 1, 0},</v>
      </c>
      <c r="P13" s="1" t="str">
        <f>CONCATENATE("https://www.wowhead.com/wotlk/item=",Table3[[#This Row],[ItemID]])</f>
        <v>https://www.wowhead.com/wotlk/item=5872</v>
      </c>
    </row>
    <row r="14" spans="1:16" x14ac:dyDescent="0.35">
      <c r="A14">
        <v>8394</v>
      </c>
      <c r="B14" t="s">
        <v>207</v>
      </c>
      <c r="C14" t="s">
        <v>373</v>
      </c>
      <c r="D14">
        <v>0.6</v>
      </c>
      <c r="E14" s="1">
        <v>0.6</v>
      </c>
      <c r="F14">
        <v>0</v>
      </c>
      <c r="G14">
        <v>1</v>
      </c>
      <c r="H14">
        <v>0</v>
      </c>
      <c r="I14">
        <v>8631</v>
      </c>
      <c r="J14" t="s">
        <v>410</v>
      </c>
      <c r="K14">
        <v>1</v>
      </c>
      <c r="M14">
        <v>1</v>
      </c>
      <c r="N14" s="1" t="str">
        <f>CONCATENATE(Table3[[#This Row],[Spell ID]])</f>
        <v>8394</v>
      </c>
      <c r="O14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["8394"] ={"Striped Frostsaber", 8394, 8631, 0.6, 0.6, 0, "Saber", "Exalted Darnasses", 1, 0},</v>
      </c>
      <c r="P14" s="1" t="str">
        <f>CONCATENATE("https://www.wowhead.com/wotlk/item=",Table3[[#This Row],[ItemID]])</f>
        <v>https://www.wowhead.com/wotlk/item=8631</v>
      </c>
    </row>
    <row r="15" spans="1:16" x14ac:dyDescent="0.35">
      <c r="A15">
        <v>8395</v>
      </c>
      <c r="B15" t="s">
        <v>135</v>
      </c>
      <c r="C15" t="s">
        <v>372</v>
      </c>
      <c r="D15">
        <v>0.6</v>
      </c>
      <c r="E15" s="1">
        <v>0.6</v>
      </c>
      <c r="F15">
        <v>0</v>
      </c>
      <c r="G15">
        <v>1</v>
      </c>
      <c r="H15">
        <v>0</v>
      </c>
      <c r="I15">
        <v>8588</v>
      </c>
      <c r="J15" t="s">
        <v>285</v>
      </c>
      <c r="L15">
        <v>1</v>
      </c>
      <c r="M15">
        <v>1</v>
      </c>
      <c r="N15" s="1" t="str">
        <f>CONCATENATE(Table3[[#This Row],[Spell ID]])</f>
        <v>8395</v>
      </c>
      <c r="O15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["8395"] ={"Emerald Raptor", 8395, 8588, 0.6, 0.6, 0, "Raptor", "Gold", 1, 0},</v>
      </c>
      <c r="P15" s="1" t="str">
        <f>CONCATENATE("https://www.wowhead.com/wotlk/item=",Table3[[#This Row],[ItemID]])</f>
        <v>https://www.wowhead.com/wotlk/item=8588</v>
      </c>
    </row>
    <row r="16" spans="1:16" x14ac:dyDescent="0.35">
      <c r="A16">
        <v>8980</v>
      </c>
      <c r="B16" t="s">
        <v>200</v>
      </c>
      <c r="C16" t="s">
        <v>369</v>
      </c>
      <c r="D16">
        <v>0.6</v>
      </c>
      <c r="E16" s="1">
        <v>0.6</v>
      </c>
      <c r="F16">
        <v>0</v>
      </c>
      <c r="G16">
        <v>1</v>
      </c>
      <c r="H16">
        <v>0</v>
      </c>
      <c r="I16">
        <v>8583</v>
      </c>
      <c r="J16" t="s">
        <v>318</v>
      </c>
      <c r="L16">
        <v>1</v>
      </c>
      <c r="M16">
        <v>1</v>
      </c>
      <c r="N16" s="1" t="str">
        <f>CONCATENATE(Table3[[#This Row],[Spell ID]])</f>
        <v>8980</v>
      </c>
      <c r="O16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["8980"] ={"Skeletal Horse", 8980, 8583, 0.6, 0.6, 0, "Horse", "removed", 1, 0},</v>
      </c>
      <c r="P16" s="1" t="str">
        <f>CONCATENATE("https://www.wowhead.com/wotlk/item=",Table3[[#This Row],[ItemID]])</f>
        <v>https://www.wowhead.com/wotlk/item=8583</v>
      </c>
    </row>
    <row r="17" spans="1:16" x14ac:dyDescent="0.35">
      <c r="A17">
        <v>10789</v>
      </c>
      <c r="B17" t="s">
        <v>202</v>
      </c>
      <c r="C17" t="s">
        <v>373</v>
      </c>
      <c r="D17">
        <v>0.6</v>
      </c>
      <c r="E17" s="1">
        <v>0.6</v>
      </c>
      <c r="F17">
        <v>0</v>
      </c>
      <c r="G17">
        <v>1</v>
      </c>
      <c r="H17">
        <v>0</v>
      </c>
      <c r="I17">
        <v>8632</v>
      </c>
      <c r="J17" t="s">
        <v>410</v>
      </c>
      <c r="K17">
        <v>1</v>
      </c>
      <c r="M17">
        <v>1</v>
      </c>
      <c r="N17" s="1" t="str">
        <f>CONCATENATE(Table3[[#This Row],[Spell ID]])</f>
        <v>10789</v>
      </c>
      <c r="O17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["10789"] ={"Spotted Frostsaber", 10789, 8632, 0.6, 0.6, 0, "Saber", "Exalted Darnasses", 1, 0},</v>
      </c>
      <c r="P17" s="1" t="str">
        <f>CONCATENATE("https://www.wowhead.com/wotlk/item=",Table3[[#This Row],[ItemID]])</f>
        <v>https://www.wowhead.com/wotlk/item=8632</v>
      </c>
    </row>
    <row r="18" spans="1:16" x14ac:dyDescent="0.35">
      <c r="A18">
        <v>10793</v>
      </c>
      <c r="B18" t="s">
        <v>208</v>
      </c>
      <c r="C18" t="s">
        <v>373</v>
      </c>
      <c r="D18">
        <v>0.6</v>
      </c>
      <c r="E18" s="1">
        <v>0.6</v>
      </c>
      <c r="F18">
        <v>0</v>
      </c>
      <c r="G18">
        <v>1</v>
      </c>
      <c r="H18">
        <v>0</v>
      </c>
      <c r="I18">
        <v>8629</v>
      </c>
      <c r="J18" t="s">
        <v>410</v>
      </c>
      <c r="K18">
        <v>1</v>
      </c>
      <c r="M18">
        <v>1</v>
      </c>
      <c r="N18" s="1" t="str">
        <f>CONCATENATE(Table3[[#This Row],[Spell ID]])</f>
        <v>10793</v>
      </c>
      <c r="O18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["10793"] ={"Striped Nightsaber", 10793, 8629, 0.6, 0.6, 0, "Saber", "Exalted Darnasses", 1, 0},</v>
      </c>
      <c r="P18" s="1" t="str">
        <f>CONCATENATE("https://www.wowhead.com/wotlk/item=",Table3[[#This Row],[ItemID]])</f>
        <v>https://www.wowhead.com/wotlk/item=8629</v>
      </c>
    </row>
    <row r="19" spans="1:16" x14ac:dyDescent="0.35">
      <c r="A19">
        <v>10796</v>
      </c>
      <c r="B19" t="s">
        <v>258</v>
      </c>
      <c r="C19" t="s">
        <v>372</v>
      </c>
      <c r="D19">
        <v>0.6</v>
      </c>
      <c r="E19" s="1">
        <v>0.6</v>
      </c>
      <c r="F19">
        <v>0</v>
      </c>
      <c r="G19">
        <v>1</v>
      </c>
      <c r="H19">
        <v>0</v>
      </c>
      <c r="I19">
        <v>8591</v>
      </c>
      <c r="J19" t="s">
        <v>285</v>
      </c>
      <c r="L19">
        <v>1</v>
      </c>
      <c r="M19">
        <v>1</v>
      </c>
      <c r="N19" s="1" t="str">
        <f>CONCATENATE(Table3[[#This Row],[Spell ID]])</f>
        <v>10796</v>
      </c>
      <c r="O19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["10796"] ={"Turquoise Raptor", 10796, 8591, 0.6, 0.6, 0, "Raptor", "Gold", 1, 0},</v>
      </c>
      <c r="P19" s="1" t="str">
        <f>CONCATENATE("https://www.wowhead.com/wotlk/item=",Table3[[#This Row],[ItemID]])</f>
        <v>https://www.wowhead.com/wotlk/item=8591</v>
      </c>
    </row>
    <row r="20" spans="1:16" x14ac:dyDescent="0.35">
      <c r="A20">
        <v>10799</v>
      </c>
      <c r="B20" t="s">
        <v>261</v>
      </c>
      <c r="C20" t="s">
        <v>372</v>
      </c>
      <c r="D20">
        <v>0.6</v>
      </c>
      <c r="E20" s="1">
        <v>0.6</v>
      </c>
      <c r="F20">
        <v>0</v>
      </c>
      <c r="G20">
        <v>1</v>
      </c>
      <c r="H20">
        <v>0</v>
      </c>
      <c r="I20">
        <v>8592</v>
      </c>
      <c r="J20" t="s">
        <v>285</v>
      </c>
      <c r="L20">
        <v>1</v>
      </c>
      <c r="M20">
        <v>1</v>
      </c>
      <c r="N20" s="1" t="str">
        <f>CONCATENATE(Table3[[#This Row],[Spell ID]])</f>
        <v>10799</v>
      </c>
      <c r="O20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["10799"] ={"Violet Raptor", 10799, 8592, 0.6, 0.6, 0, "Raptor", "Gold", 1, 0},</v>
      </c>
      <c r="P20" s="1" t="str">
        <f>CONCATENATE("https://www.wowhead.com/wotlk/item=",Table3[[#This Row],[ItemID]])</f>
        <v>https://www.wowhead.com/wotlk/item=8592</v>
      </c>
    </row>
    <row r="21" spans="1:16" x14ac:dyDescent="0.35">
      <c r="A21">
        <v>10873</v>
      </c>
      <c r="B21" t="s">
        <v>190</v>
      </c>
      <c r="C21" t="s">
        <v>365</v>
      </c>
      <c r="D21">
        <v>0.6</v>
      </c>
      <c r="E21" s="1">
        <v>0.6</v>
      </c>
      <c r="F21">
        <v>0</v>
      </c>
      <c r="G21">
        <v>1</v>
      </c>
      <c r="H21">
        <v>0</v>
      </c>
      <c r="I21">
        <v>8563</v>
      </c>
      <c r="J21" t="s">
        <v>414</v>
      </c>
      <c r="K21">
        <v>1</v>
      </c>
      <c r="M21">
        <v>1</v>
      </c>
      <c r="N21" s="1" t="str">
        <f>CONCATENATE(Table3[[#This Row],[Spell ID]])</f>
        <v>10873</v>
      </c>
      <c r="O21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["10873"] ={"Red Mechanostrider", 10873, 8563, 0.6, 0.6, 0, "Mechanostrider", "Exalted Gnomeragan", 1, 0},</v>
      </c>
      <c r="P21" s="1" t="str">
        <f>CONCATENATE("https://www.wowhead.com/wotlk/item=",Table3[[#This Row],[ItemID]])</f>
        <v>https://www.wowhead.com/wotlk/item=8563</v>
      </c>
    </row>
    <row r="22" spans="1:16" x14ac:dyDescent="0.35">
      <c r="A22">
        <v>13819</v>
      </c>
      <c r="B22" t="s">
        <v>262</v>
      </c>
      <c r="C22" t="s">
        <v>307</v>
      </c>
      <c r="D22">
        <v>0.6</v>
      </c>
      <c r="E22" s="1">
        <v>0.6</v>
      </c>
      <c r="F22">
        <v>0</v>
      </c>
      <c r="G22">
        <v>1</v>
      </c>
      <c r="H22">
        <v>0</v>
      </c>
      <c r="I22">
        <v>0</v>
      </c>
      <c r="J22" t="s">
        <v>307</v>
      </c>
      <c r="K22">
        <v>1</v>
      </c>
      <c r="L22">
        <v>1</v>
      </c>
      <c r="M22">
        <v>1</v>
      </c>
      <c r="N22" s="1" t="str">
        <f>CONCATENATE(Table3[[#This Row],[Spell ID]])</f>
        <v>13819</v>
      </c>
      <c r="O22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["13819"] ={"Warhorse", 13819, 0, 0.6, 0.6, 0, "Paladin", "Paladin", 1, 0},</v>
      </c>
      <c r="P22" s="1" t="str">
        <f>CONCATENATE("https://www.wowhead.com/wotlk/item=",Table3[[#This Row],[ItemID]])</f>
        <v>https://www.wowhead.com/wotlk/item=0</v>
      </c>
    </row>
    <row r="23" spans="1:16" x14ac:dyDescent="0.35">
      <c r="A23">
        <v>15779</v>
      </c>
      <c r="B23" t="s">
        <v>264</v>
      </c>
      <c r="C23" t="s">
        <v>365</v>
      </c>
      <c r="D23">
        <v>1</v>
      </c>
      <c r="E23" s="1">
        <v>1</v>
      </c>
      <c r="F23">
        <v>0</v>
      </c>
      <c r="G23">
        <v>1</v>
      </c>
      <c r="H23">
        <v>0</v>
      </c>
      <c r="I23">
        <v>13326</v>
      </c>
      <c r="J23" t="s">
        <v>318</v>
      </c>
      <c r="K23">
        <v>1</v>
      </c>
      <c r="M23">
        <v>1</v>
      </c>
      <c r="N23" s="1" t="str">
        <f>CONCATENATE(Table3[[#This Row],[Spell ID]])</f>
        <v>15779</v>
      </c>
      <c r="O23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["15779"] ={"White Mechanostrider Mod B", 15779, 13326, 1, 1, 0, "Mechanostrider", "removed", 1, 0},</v>
      </c>
      <c r="P23" s="1" t="str">
        <f>CONCATENATE("https://www.wowhead.com/wotlk/item=",Table3[[#This Row],[ItemID]])</f>
        <v>https://www.wowhead.com/wotlk/item=13326</v>
      </c>
    </row>
    <row r="24" spans="1:16" x14ac:dyDescent="0.35">
      <c r="A24">
        <v>16055</v>
      </c>
      <c r="B24" t="s">
        <v>90</v>
      </c>
      <c r="C24" t="s">
        <v>373</v>
      </c>
      <c r="D24">
        <v>1</v>
      </c>
      <c r="E24" s="1">
        <v>1</v>
      </c>
      <c r="F24">
        <v>0</v>
      </c>
      <c r="G24">
        <v>1</v>
      </c>
      <c r="H24">
        <v>0</v>
      </c>
      <c r="I24">
        <v>12303</v>
      </c>
      <c r="J24" t="s">
        <v>281</v>
      </c>
      <c r="K24">
        <v>1</v>
      </c>
      <c r="M24">
        <v>1</v>
      </c>
      <c r="N24" s="1" t="str">
        <f>CONCATENATE(Table3[[#This Row],[Spell ID]])</f>
        <v>16055</v>
      </c>
      <c r="O24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["16055"] ={"Black Nightsaber", 16055, 12303, 1, 1, 0, "Saber", "Removed", 1, 0},</v>
      </c>
      <c r="P24" s="1" t="str">
        <f>CONCATENATE("https://www.wowhead.com/wotlk/item=",Table3[[#This Row],[ItemID]])</f>
        <v>https://www.wowhead.com/wotlk/item=12303</v>
      </c>
    </row>
    <row r="25" spans="1:16" x14ac:dyDescent="0.35">
      <c r="A25">
        <v>16056</v>
      </c>
      <c r="B25" t="s">
        <v>83</v>
      </c>
      <c r="C25" t="s">
        <v>373</v>
      </c>
      <c r="D25">
        <v>1</v>
      </c>
      <c r="E25" s="1">
        <v>1</v>
      </c>
      <c r="F25">
        <v>0</v>
      </c>
      <c r="G25">
        <v>1</v>
      </c>
      <c r="H25">
        <v>0</v>
      </c>
      <c r="I25">
        <v>12302</v>
      </c>
      <c r="J25" t="s">
        <v>281</v>
      </c>
      <c r="K25">
        <v>1</v>
      </c>
      <c r="M25">
        <v>1</v>
      </c>
      <c r="N25" s="1" t="str">
        <f>CONCATENATE(Table3[[#This Row],[Spell ID]])</f>
        <v>16056</v>
      </c>
      <c r="O25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["16056"] ={"Ancient Frostsaber", 16056, 12302, 1, 1, 0, "Saber", "Removed", 1, 0},</v>
      </c>
      <c r="P25" s="1" t="str">
        <f>CONCATENATE("https://www.wowhead.com/wotlk/item=",Table3[[#This Row],[ItemID]])</f>
        <v>https://www.wowhead.com/wotlk/item=12302</v>
      </c>
    </row>
    <row r="26" spans="1:16" x14ac:dyDescent="0.35">
      <c r="A26">
        <v>16080</v>
      </c>
      <c r="B26" t="s">
        <v>194</v>
      </c>
      <c r="C26" t="s">
        <v>370</v>
      </c>
      <c r="D26">
        <v>1</v>
      </c>
      <c r="E26" s="1">
        <v>1</v>
      </c>
      <c r="F26">
        <v>0</v>
      </c>
      <c r="G26">
        <v>1</v>
      </c>
      <c r="H26">
        <v>0</v>
      </c>
      <c r="I26">
        <v>12330</v>
      </c>
      <c r="J26" t="s">
        <v>318</v>
      </c>
      <c r="L26">
        <v>1</v>
      </c>
      <c r="M26">
        <v>1</v>
      </c>
      <c r="N26" s="1" t="str">
        <f>CONCATENATE(Table3[[#This Row],[Spell ID]])</f>
        <v>16080</v>
      </c>
      <c r="O26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["16080"] ={"Red Wolf", 16080, 12330, 1, 1, 0, "Wolf", "removed", 1, 0},</v>
      </c>
      <c r="P26" s="1" t="str">
        <f>CONCATENATE("https://www.wowhead.com/wotlk/item=",Table3[[#This Row],[ItemID]])</f>
        <v>https://www.wowhead.com/wotlk/item=12330</v>
      </c>
    </row>
    <row r="27" spans="1:16" x14ac:dyDescent="0.35">
      <c r="A27">
        <v>16081</v>
      </c>
      <c r="B27" t="s">
        <v>271</v>
      </c>
      <c r="C27" t="s">
        <v>370</v>
      </c>
      <c r="D27">
        <v>1</v>
      </c>
      <c r="E27" s="1">
        <v>1</v>
      </c>
      <c r="F27">
        <v>0</v>
      </c>
      <c r="G27">
        <v>1</v>
      </c>
      <c r="H27">
        <v>0</v>
      </c>
      <c r="I27">
        <v>1133</v>
      </c>
      <c r="J27" t="s">
        <v>318</v>
      </c>
      <c r="L27">
        <v>1</v>
      </c>
      <c r="M27">
        <v>1</v>
      </c>
      <c r="N27" s="1" t="str">
        <f>CONCATENATE(Table3[[#This Row],[Spell ID]])</f>
        <v>16081</v>
      </c>
      <c r="O27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["16081"] ={"Winter Wolf", 16081, 1133, 1, 1, 0, "Wolf", "removed", 1, 0},</v>
      </c>
      <c r="P27" s="1" t="str">
        <f>CONCATENATE("https://www.wowhead.com/wotlk/item=",Table3[[#This Row],[ItemID]])</f>
        <v>https://www.wowhead.com/wotlk/item=1133</v>
      </c>
    </row>
    <row r="28" spans="1:16" x14ac:dyDescent="0.35">
      <c r="A28">
        <v>16082</v>
      </c>
      <c r="B28" t="s">
        <v>179</v>
      </c>
      <c r="C28" t="s">
        <v>369</v>
      </c>
      <c r="D28">
        <v>1</v>
      </c>
      <c r="E28" s="1">
        <v>1</v>
      </c>
      <c r="F28">
        <v>0</v>
      </c>
      <c r="G28">
        <v>1</v>
      </c>
      <c r="H28">
        <v>0</v>
      </c>
      <c r="I28">
        <v>12354</v>
      </c>
      <c r="J28" t="s">
        <v>318</v>
      </c>
      <c r="K28">
        <v>1</v>
      </c>
      <c r="M28">
        <v>1</v>
      </c>
      <c r="N28" s="1" t="str">
        <f>CONCATENATE(Table3[[#This Row],[Spell ID]])</f>
        <v>16082</v>
      </c>
      <c r="O28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["16082"] ={"Palomino", 16082, 12354, 1, 1, 0, "Horse", "removed", 1, 0},</v>
      </c>
      <c r="P28" s="1" t="str">
        <f>CONCATENATE("https://www.wowhead.com/wotlk/item=",Table3[[#This Row],[ItemID]])</f>
        <v>https://www.wowhead.com/wotlk/item=12354</v>
      </c>
    </row>
    <row r="29" spans="1:16" x14ac:dyDescent="0.35">
      <c r="A29">
        <v>16083</v>
      </c>
      <c r="B29" t="s">
        <v>269</v>
      </c>
      <c r="C29" t="s">
        <v>369</v>
      </c>
      <c r="D29">
        <v>1</v>
      </c>
      <c r="E29" s="1">
        <v>1</v>
      </c>
      <c r="F29">
        <v>0</v>
      </c>
      <c r="G29">
        <v>1</v>
      </c>
      <c r="H29">
        <v>0</v>
      </c>
      <c r="I29">
        <v>12353</v>
      </c>
      <c r="J29" t="s">
        <v>412</v>
      </c>
      <c r="K29">
        <v>1</v>
      </c>
      <c r="M29">
        <v>1</v>
      </c>
      <c r="N29" s="1" t="str">
        <f>CONCATENATE(Table3[[#This Row],[Spell ID]])</f>
        <v>16083</v>
      </c>
      <c r="O29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["16083"] ={"White Stallion", 16083, 12353, 1, 1, 0, "Horse", "Exalted Stormwind", 1, 0},</v>
      </c>
      <c r="P29" s="1" t="str">
        <f>CONCATENATE("https://www.wowhead.com/wotlk/item=",Table3[[#This Row],[ItemID]])</f>
        <v>https://www.wowhead.com/wotlk/item=12353</v>
      </c>
    </row>
    <row r="30" spans="1:16" x14ac:dyDescent="0.35">
      <c r="A30">
        <v>16084</v>
      </c>
      <c r="B30" t="s">
        <v>173</v>
      </c>
      <c r="C30" t="s">
        <v>372</v>
      </c>
      <c r="D30">
        <v>1</v>
      </c>
      <c r="E30" s="1">
        <v>1</v>
      </c>
      <c r="F30">
        <v>0</v>
      </c>
      <c r="G30">
        <v>1</v>
      </c>
      <c r="H30">
        <v>0</v>
      </c>
      <c r="I30">
        <v>8586</v>
      </c>
      <c r="J30" t="s">
        <v>318</v>
      </c>
      <c r="L30">
        <v>1</v>
      </c>
      <c r="M30">
        <v>1</v>
      </c>
      <c r="N30" s="1" t="str">
        <f>CONCATENATE(Table3[[#This Row],[Spell ID]])</f>
        <v>16084</v>
      </c>
      <c r="O30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["16084"] ={"Mottled Red Raptor", 16084, 8586, 1, 1, 0, "Raptor", "removed", 1, 0},</v>
      </c>
      <c r="P30" s="1" t="str">
        <f>CONCATENATE("https://www.wowhead.com/wotlk/item=",Table3[[#This Row],[ItemID]])</f>
        <v>https://www.wowhead.com/wotlk/item=8586</v>
      </c>
    </row>
    <row r="31" spans="1:16" x14ac:dyDescent="0.35">
      <c r="A31">
        <v>17229</v>
      </c>
      <c r="B31" t="s">
        <v>272</v>
      </c>
      <c r="C31" t="s">
        <v>373</v>
      </c>
      <c r="D31">
        <v>1</v>
      </c>
      <c r="E31" s="1">
        <v>1</v>
      </c>
      <c r="F31">
        <v>0</v>
      </c>
      <c r="G31">
        <v>1</v>
      </c>
      <c r="H31">
        <v>0</v>
      </c>
      <c r="I31">
        <v>13086</v>
      </c>
      <c r="J31" t="s">
        <v>415</v>
      </c>
      <c r="K31">
        <v>1</v>
      </c>
      <c r="M31">
        <v>1</v>
      </c>
      <c r="N31" s="1" t="str">
        <f>CONCATENATE(Table3[[#This Row],[Spell ID]])</f>
        <v>17229</v>
      </c>
      <c r="O31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["17229"] ={"Winterspring Frostsaber", 17229, 13086, 1, 1, 0, "Saber", "Exalted Winterspring Frostsaber", 1, 0},</v>
      </c>
      <c r="P31" s="1" t="str">
        <f>CONCATENATE("https://www.wowhead.com/wotlk/item=",Table3[[#This Row],[ItemID]])</f>
        <v>https://www.wowhead.com/wotlk/item=13086</v>
      </c>
    </row>
    <row r="32" spans="1:16" x14ac:dyDescent="0.35">
      <c r="A32">
        <v>17450</v>
      </c>
      <c r="B32" t="s">
        <v>169</v>
      </c>
      <c r="C32" t="s">
        <v>372</v>
      </c>
      <c r="D32">
        <v>1</v>
      </c>
      <c r="E32" s="1">
        <v>1</v>
      </c>
      <c r="F32">
        <v>0</v>
      </c>
      <c r="G32">
        <v>1</v>
      </c>
      <c r="H32">
        <v>0</v>
      </c>
      <c r="I32">
        <v>13317</v>
      </c>
      <c r="J32" t="s">
        <v>281</v>
      </c>
      <c r="L32">
        <v>1</v>
      </c>
      <c r="M32">
        <v>1</v>
      </c>
      <c r="N32" s="1" t="str">
        <f>CONCATENATE(Table3[[#This Row],[Spell ID]])</f>
        <v>17450</v>
      </c>
      <c r="O32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["17450"] ={"Ivory Raptor", 17450, 13317, 1, 1, 0, "Raptor", "Removed", 1, 0},</v>
      </c>
      <c r="P32" s="1" t="str">
        <f>CONCATENATE("https://www.wowhead.com/wotlk/item=",Table3[[#This Row],[ItemID]])</f>
        <v>https://www.wowhead.com/wotlk/item=13317</v>
      </c>
    </row>
    <row r="33" spans="1:16" x14ac:dyDescent="0.35">
      <c r="A33">
        <v>17453</v>
      </c>
      <c r="B33" t="s">
        <v>163</v>
      </c>
      <c r="C33" t="s">
        <v>365</v>
      </c>
      <c r="D33">
        <v>0.6</v>
      </c>
      <c r="E33" s="1">
        <v>0.6</v>
      </c>
      <c r="F33">
        <v>0</v>
      </c>
      <c r="G33">
        <v>1</v>
      </c>
      <c r="H33">
        <v>0</v>
      </c>
      <c r="I33">
        <v>13321</v>
      </c>
      <c r="J33" t="s">
        <v>414</v>
      </c>
      <c r="K33">
        <v>1</v>
      </c>
      <c r="M33">
        <v>1</v>
      </c>
      <c r="N33" s="1" t="str">
        <f>CONCATENATE(Table3[[#This Row],[Spell ID]])</f>
        <v>17453</v>
      </c>
      <c r="O33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["17453"] ={"Green Mechanostrider", 17453, 13321, 0.6, 0.6, 0, "Mechanostrider", "Exalted Gnomeragan", 1, 0},</v>
      </c>
      <c r="P33" s="1" t="str">
        <f>CONCATENATE("https://www.wowhead.com/wotlk/item=",Table3[[#This Row],[ItemID]])</f>
        <v>https://www.wowhead.com/wotlk/item=13321</v>
      </c>
    </row>
    <row r="34" spans="1:16" x14ac:dyDescent="0.35">
      <c r="A34">
        <v>17454</v>
      </c>
      <c r="B34" t="s">
        <v>259</v>
      </c>
      <c r="C34" t="s">
        <v>365</v>
      </c>
      <c r="D34">
        <v>0.6</v>
      </c>
      <c r="E34" s="1">
        <v>0.6</v>
      </c>
      <c r="F34">
        <v>0</v>
      </c>
      <c r="G34">
        <v>1</v>
      </c>
      <c r="H34">
        <v>0</v>
      </c>
      <c r="I34">
        <v>13322</v>
      </c>
      <c r="J34" t="s">
        <v>414</v>
      </c>
      <c r="K34">
        <v>1</v>
      </c>
      <c r="M34">
        <v>1</v>
      </c>
      <c r="N34" s="1" t="str">
        <f>CONCATENATE(Table3[[#This Row],[Spell ID]])</f>
        <v>17454</v>
      </c>
      <c r="O34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["17454"] ={"Unpainted Mechanostrider", 17454, 13322, 0.6, 0.6, 0, "Mechanostrider", "Exalted Gnomeragan", 1, 0},</v>
      </c>
      <c r="P34" s="1" t="str">
        <f>CONCATENATE("https://www.wowhead.com/wotlk/item=",Table3[[#This Row],[ItemID]])</f>
        <v>https://www.wowhead.com/wotlk/item=13322</v>
      </c>
    </row>
    <row r="35" spans="1:16" x14ac:dyDescent="0.35">
      <c r="A35">
        <v>17459</v>
      </c>
      <c r="B35" t="s">
        <v>167</v>
      </c>
      <c r="C35" t="s">
        <v>365</v>
      </c>
      <c r="D35">
        <v>1</v>
      </c>
      <c r="E35" s="1">
        <v>1</v>
      </c>
      <c r="F35">
        <v>0</v>
      </c>
      <c r="G35">
        <v>1</v>
      </c>
      <c r="H35">
        <v>0</v>
      </c>
      <c r="I35">
        <v>13327</v>
      </c>
      <c r="J35" t="s">
        <v>281</v>
      </c>
      <c r="K35">
        <v>1</v>
      </c>
      <c r="M35">
        <v>1</v>
      </c>
      <c r="N35" s="1" t="str">
        <f>CONCATENATE(Table3[[#This Row],[Spell ID]])</f>
        <v>17459</v>
      </c>
      <c r="O35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["17459"] ={"Icy Blue Mechanostrider Mod A", 17459, 13327, 1, 1, 0, "Mechanostrider", "Removed", 1, 0},</v>
      </c>
      <c r="P35" s="1" t="str">
        <f>CONCATENATE("https://www.wowhead.com/wotlk/item=",Table3[[#This Row],[ItemID]])</f>
        <v>https://www.wowhead.com/wotlk/item=13327</v>
      </c>
    </row>
    <row r="36" spans="1:16" x14ac:dyDescent="0.35">
      <c r="A36">
        <v>17460</v>
      </c>
      <c r="B36" t="s">
        <v>141</v>
      </c>
      <c r="C36" t="s">
        <v>371</v>
      </c>
      <c r="D36">
        <v>1</v>
      </c>
      <c r="E36" s="1">
        <v>1</v>
      </c>
      <c r="F36">
        <v>0</v>
      </c>
      <c r="G36">
        <v>1</v>
      </c>
      <c r="H36">
        <v>0</v>
      </c>
      <c r="I36">
        <v>13329</v>
      </c>
      <c r="J36" t="s">
        <v>281</v>
      </c>
      <c r="K36">
        <v>1</v>
      </c>
      <c r="M36">
        <v>1</v>
      </c>
      <c r="N36" s="1" t="str">
        <f>CONCATENATE(Table3[[#This Row],[Spell ID]])</f>
        <v>17460</v>
      </c>
      <c r="O36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["17460"] ={"Frost Ram", 17460, 13329, 1, 1, 0, "Ram", "Removed", 1, 0},</v>
      </c>
      <c r="P36" s="1" t="str">
        <f>CONCATENATE("https://www.wowhead.com/wotlk/item=",Table3[[#This Row],[ItemID]])</f>
        <v>https://www.wowhead.com/wotlk/item=13329</v>
      </c>
    </row>
    <row r="37" spans="1:16" x14ac:dyDescent="0.35">
      <c r="A37">
        <v>17461</v>
      </c>
      <c r="B37" t="s">
        <v>93</v>
      </c>
      <c r="C37" t="s">
        <v>371</v>
      </c>
      <c r="D37">
        <v>1</v>
      </c>
      <c r="E37" s="1">
        <v>1</v>
      </c>
      <c r="F37">
        <v>0</v>
      </c>
      <c r="G37">
        <v>1</v>
      </c>
      <c r="H37">
        <v>0</v>
      </c>
      <c r="I37">
        <v>13328</v>
      </c>
      <c r="J37" t="s">
        <v>413</v>
      </c>
      <c r="K37">
        <v>1</v>
      </c>
      <c r="M37">
        <v>1</v>
      </c>
      <c r="N37" s="1" t="str">
        <f>CONCATENATE(Table3[[#This Row],[Spell ID]])</f>
        <v>17461</v>
      </c>
      <c r="O37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["17461"] ={"Black Ram", 17461, 13328, 1, 1, 0, "Ram", "Exalted IronForge", 1, 0},</v>
      </c>
      <c r="P37" s="1" t="str">
        <f>CONCATENATE("https://www.wowhead.com/wotlk/item=",Table3[[#This Row],[ItemID]])</f>
        <v>https://www.wowhead.com/wotlk/item=13328</v>
      </c>
    </row>
    <row r="38" spans="1:16" x14ac:dyDescent="0.35">
      <c r="A38">
        <v>17462</v>
      </c>
      <c r="B38" t="s">
        <v>192</v>
      </c>
      <c r="C38" t="s">
        <v>369</v>
      </c>
      <c r="D38">
        <v>0.6</v>
      </c>
      <c r="E38" s="1">
        <v>0.6</v>
      </c>
      <c r="F38">
        <v>0</v>
      </c>
      <c r="G38">
        <v>1</v>
      </c>
      <c r="H38">
        <v>0</v>
      </c>
      <c r="I38">
        <v>13331</v>
      </c>
      <c r="J38" t="s">
        <v>285</v>
      </c>
      <c r="L38">
        <v>1</v>
      </c>
      <c r="M38">
        <v>1</v>
      </c>
      <c r="N38" s="1" t="str">
        <f>CONCATENATE(Table3[[#This Row],[Spell ID]])</f>
        <v>17462</v>
      </c>
      <c r="O38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["17462"] ={"Red Skeletal Horse", 17462, 13331, 0.6, 0.6, 0, "Horse", "Gold", 1, 0},</v>
      </c>
      <c r="P38" s="1" t="str">
        <f>CONCATENATE("https://www.wowhead.com/wotlk/item=",Table3[[#This Row],[ItemID]])</f>
        <v>https://www.wowhead.com/wotlk/item=13331</v>
      </c>
    </row>
    <row r="39" spans="1:16" x14ac:dyDescent="0.35">
      <c r="A39">
        <v>17463</v>
      </c>
      <c r="B39" t="s">
        <v>110</v>
      </c>
      <c r="C39" t="s">
        <v>374</v>
      </c>
      <c r="D39">
        <v>0.6</v>
      </c>
      <c r="E39" s="1">
        <v>0.6</v>
      </c>
      <c r="F39">
        <v>0</v>
      </c>
      <c r="G39">
        <v>1</v>
      </c>
      <c r="H39">
        <v>0</v>
      </c>
      <c r="I39">
        <v>46308</v>
      </c>
      <c r="J39" t="s">
        <v>363</v>
      </c>
      <c r="L39">
        <v>1</v>
      </c>
      <c r="M39">
        <v>1</v>
      </c>
      <c r="N39" s="1" t="str">
        <f>CONCATENATE(Table3[[#This Row],[Spell ID]])</f>
        <v>17463</v>
      </c>
      <c r="O39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["17463"] ={"Blue Skeletal Horse", 17463, 46308, 0.6, 0.6, 0, "DeadHorse", "Duplicate", 1, 0},</v>
      </c>
      <c r="P39" s="1" t="str">
        <f>CONCATENATE("https://www.wowhead.com/wotlk/item=",Table3[[#This Row],[ItemID]])</f>
        <v>https://www.wowhead.com/wotlk/item=46308</v>
      </c>
    </row>
    <row r="40" spans="1:16" x14ac:dyDescent="0.35">
      <c r="A40">
        <v>17464</v>
      </c>
      <c r="B40" t="s">
        <v>120</v>
      </c>
      <c r="C40" t="s">
        <v>369</v>
      </c>
      <c r="D40">
        <v>0.6</v>
      </c>
      <c r="E40" s="1">
        <v>0.6</v>
      </c>
      <c r="F40">
        <v>0</v>
      </c>
      <c r="G40">
        <v>1</v>
      </c>
      <c r="H40">
        <v>0</v>
      </c>
      <c r="I40">
        <v>13333</v>
      </c>
      <c r="J40" t="s">
        <v>285</v>
      </c>
      <c r="L40">
        <v>1</v>
      </c>
      <c r="M40">
        <v>1</v>
      </c>
      <c r="N40" s="1" t="str">
        <f>CONCATENATE(Table3[[#This Row],[Spell ID]])</f>
        <v>17464</v>
      </c>
      <c r="O40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["17464"] ={"Brown Skeletal Horse", 17464, 13333, 0.6, 0.6, 0, "Horse", "Gold", 1, 0},</v>
      </c>
      <c r="P40" s="1" t="str">
        <f>CONCATENATE("https://www.wowhead.com/wotlk/item=",Table3[[#This Row],[ItemID]])</f>
        <v>https://www.wowhead.com/wotlk/item=13333</v>
      </c>
    </row>
    <row r="41" spans="1:16" x14ac:dyDescent="0.35">
      <c r="A41">
        <v>17465</v>
      </c>
      <c r="B41" t="s">
        <v>165</v>
      </c>
      <c r="C41" t="s">
        <v>369</v>
      </c>
      <c r="D41">
        <v>1</v>
      </c>
      <c r="E41" s="1">
        <v>1</v>
      </c>
      <c r="F41">
        <v>0</v>
      </c>
      <c r="G41">
        <v>1</v>
      </c>
      <c r="H41">
        <v>0</v>
      </c>
      <c r="I41">
        <v>13334</v>
      </c>
      <c r="J41" t="s">
        <v>285</v>
      </c>
      <c r="L41">
        <v>1</v>
      </c>
      <c r="M41">
        <v>1</v>
      </c>
      <c r="N41" s="1" t="str">
        <f>CONCATENATE(Table3[[#This Row],[Spell ID]])</f>
        <v>17465</v>
      </c>
      <c r="O41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["17465"] ={"Green Skeletal Warhorse", 17465, 13334, 1, 1, 0, "Horse", "Gold", 1, 0},</v>
      </c>
      <c r="P41" s="1" t="str">
        <f>CONCATENATE("https://www.wowhead.com/wotlk/item=",Table3[[#This Row],[ItemID]])</f>
        <v>https://www.wowhead.com/wotlk/item=13334</v>
      </c>
    </row>
    <row r="42" spans="1:16" x14ac:dyDescent="0.35">
      <c r="A42">
        <v>17481</v>
      </c>
      <c r="B42" t="s">
        <v>196</v>
      </c>
      <c r="C42" t="s">
        <v>374</v>
      </c>
      <c r="D42">
        <v>1</v>
      </c>
      <c r="E42" s="1">
        <v>1</v>
      </c>
      <c r="F42">
        <v>0</v>
      </c>
      <c r="G42">
        <v>1</v>
      </c>
      <c r="H42">
        <v>0</v>
      </c>
      <c r="I42">
        <v>13335</v>
      </c>
      <c r="J42" t="s">
        <v>333</v>
      </c>
      <c r="K42">
        <v>1</v>
      </c>
      <c r="L42">
        <v>1</v>
      </c>
      <c r="M42">
        <v>1</v>
      </c>
      <c r="N42" s="1" t="str">
        <f>CONCATENATE(Table3[[#This Row],[Spell ID]])</f>
        <v>17481</v>
      </c>
      <c r="O42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["17481"] ={"Rivendare's Deathcharger", 17481, 13335, 1, 1, 0, "DeadHorse", "Drop Stratholme", 1, 0},</v>
      </c>
      <c r="P42" s="1" t="str">
        <f>CONCATENATE("https://www.wowhead.com/wotlk/item=",Table3[[#This Row],[ItemID]])</f>
        <v>https://www.wowhead.com/wotlk/item=13335</v>
      </c>
    </row>
    <row r="43" spans="1:16" x14ac:dyDescent="0.35">
      <c r="A43">
        <v>18363</v>
      </c>
      <c r="B43" t="s">
        <v>195</v>
      </c>
      <c r="C43" t="s">
        <v>375</v>
      </c>
      <c r="D43">
        <v>0.6</v>
      </c>
      <c r="E43" s="1">
        <v>0.6</v>
      </c>
      <c r="F43">
        <v>0</v>
      </c>
      <c r="G43">
        <v>1</v>
      </c>
      <c r="H43">
        <v>0</v>
      </c>
      <c r="I43">
        <v>14062</v>
      </c>
      <c r="J43" t="s">
        <v>318</v>
      </c>
      <c r="L43">
        <v>1</v>
      </c>
      <c r="M43">
        <v>1</v>
      </c>
      <c r="N43" s="1" t="str">
        <f>CONCATENATE(Table3[[#This Row],[Spell ID]])</f>
        <v>18363</v>
      </c>
      <c r="O43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["18363"] ={"Riding Kodo", 18363, 14062, 0.6, 0.6, 0, "Kodo", "removed", 1, 0},</v>
      </c>
      <c r="P43" s="1" t="str">
        <f>CONCATENATE("https://www.wowhead.com/wotlk/item=",Table3[[#This Row],[ItemID]])</f>
        <v>https://www.wowhead.com/wotlk/item=14062</v>
      </c>
    </row>
    <row r="44" spans="1:16" x14ac:dyDescent="0.35">
      <c r="A44">
        <v>18989</v>
      </c>
      <c r="B44" t="s">
        <v>149</v>
      </c>
      <c r="C44" t="s">
        <v>375</v>
      </c>
      <c r="D44">
        <v>0.6</v>
      </c>
      <c r="E44" s="1">
        <v>0.6</v>
      </c>
      <c r="F44">
        <v>0</v>
      </c>
      <c r="G44">
        <v>1</v>
      </c>
      <c r="H44">
        <v>0</v>
      </c>
      <c r="I44">
        <v>15277</v>
      </c>
      <c r="J44" t="s">
        <v>285</v>
      </c>
      <c r="L44">
        <v>1</v>
      </c>
      <c r="M44">
        <v>1</v>
      </c>
      <c r="N44" s="1" t="str">
        <f>CONCATENATE(Table3[[#This Row],[Spell ID]])</f>
        <v>18989</v>
      </c>
      <c r="O44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["18989"] ={"Gray Kodo", 18989, 15277, 0.6, 0.6, 0, "Kodo", "Gold", 1, 0},</v>
      </c>
      <c r="P44" s="1" t="str">
        <f>CONCATENATE("https://www.wowhead.com/wotlk/item=",Table3[[#This Row],[ItemID]])</f>
        <v>https://www.wowhead.com/wotlk/item=15277</v>
      </c>
    </row>
    <row r="45" spans="1:16" x14ac:dyDescent="0.35">
      <c r="A45">
        <v>18990</v>
      </c>
      <c r="B45" t="s">
        <v>117</v>
      </c>
      <c r="C45" t="s">
        <v>375</v>
      </c>
      <c r="D45">
        <v>0.6</v>
      </c>
      <c r="E45" s="1">
        <v>0.6</v>
      </c>
      <c r="F45">
        <v>0</v>
      </c>
      <c r="G45">
        <v>1</v>
      </c>
      <c r="H45">
        <v>0</v>
      </c>
      <c r="I45">
        <v>15290</v>
      </c>
      <c r="J45" t="s">
        <v>285</v>
      </c>
      <c r="L45">
        <v>1</v>
      </c>
      <c r="M45">
        <v>1</v>
      </c>
      <c r="N45" s="1" t="str">
        <f>CONCATENATE(Table3[[#This Row],[Spell ID]])</f>
        <v>18990</v>
      </c>
      <c r="O45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["18990"] ={"Brown Kodo", 18990, 15290, 0.6, 0.6, 0, "Kodo", "Gold", 1, 0},</v>
      </c>
      <c r="P45" s="1" t="str">
        <f>CONCATENATE("https://www.wowhead.com/wotlk/item=",Table3[[#This Row],[ItemID]])</f>
        <v>https://www.wowhead.com/wotlk/item=15290</v>
      </c>
    </row>
    <row r="46" spans="1:16" x14ac:dyDescent="0.35">
      <c r="A46">
        <v>18991</v>
      </c>
      <c r="B46" t="s">
        <v>162</v>
      </c>
      <c r="C46" t="s">
        <v>375</v>
      </c>
      <c r="D46">
        <v>1</v>
      </c>
      <c r="E46" s="1">
        <v>1</v>
      </c>
      <c r="F46">
        <v>0</v>
      </c>
      <c r="G46">
        <v>1</v>
      </c>
      <c r="H46">
        <v>0</v>
      </c>
      <c r="I46">
        <v>15292</v>
      </c>
      <c r="J46" t="s">
        <v>285</v>
      </c>
      <c r="L46">
        <v>1</v>
      </c>
      <c r="M46">
        <v>1</v>
      </c>
      <c r="N46" s="1" t="str">
        <f>CONCATENATE(Table3[[#This Row],[Spell ID]])</f>
        <v>18991</v>
      </c>
      <c r="O46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["18991"] ={"Green Kodo", 18991, 15292, 1, 1, 0, "Kodo", "Gold", 1, 0},</v>
      </c>
      <c r="P46" s="1" t="str">
        <f>CONCATENATE("https://www.wowhead.com/wotlk/item=",Table3[[#This Row],[ItemID]])</f>
        <v>https://www.wowhead.com/wotlk/item=15292</v>
      </c>
    </row>
    <row r="47" spans="1:16" x14ac:dyDescent="0.35">
      <c r="A47">
        <v>18992</v>
      </c>
      <c r="B47" t="s">
        <v>253</v>
      </c>
      <c r="C47" t="s">
        <v>375</v>
      </c>
      <c r="D47">
        <v>1</v>
      </c>
      <c r="E47" s="1">
        <v>1</v>
      </c>
      <c r="F47">
        <v>0</v>
      </c>
      <c r="G47">
        <v>1</v>
      </c>
      <c r="H47">
        <v>0</v>
      </c>
      <c r="I47">
        <v>15293</v>
      </c>
      <c r="J47" t="s">
        <v>318</v>
      </c>
      <c r="L47">
        <v>1</v>
      </c>
      <c r="M47">
        <v>1</v>
      </c>
      <c r="N47" s="1" t="str">
        <f>CONCATENATE(Table3[[#This Row],[Spell ID]])</f>
        <v>18992</v>
      </c>
      <c r="O47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["18992"] ={"Teal Kodo", 18992, 15293, 1, 1, 0, "Kodo", "removed", 1, 0},</v>
      </c>
      <c r="P47" s="1" t="str">
        <f>CONCATENATE("https://www.wowhead.com/wotlk/item=",Table3[[#This Row],[ItemID]])</f>
        <v>https://www.wowhead.com/wotlk/item=15293</v>
      </c>
    </row>
    <row r="48" spans="1:16" x14ac:dyDescent="0.35">
      <c r="A48">
        <v>22717</v>
      </c>
      <c r="B48" t="s">
        <v>102</v>
      </c>
      <c r="C48" t="s">
        <v>369</v>
      </c>
      <c r="D48">
        <v>1</v>
      </c>
      <c r="E48" s="1">
        <v>1</v>
      </c>
      <c r="F48">
        <v>0</v>
      </c>
      <c r="G48">
        <v>1</v>
      </c>
      <c r="H48">
        <v>0</v>
      </c>
      <c r="I48">
        <v>29468</v>
      </c>
      <c r="J48" t="s">
        <v>403</v>
      </c>
      <c r="K48">
        <v>1</v>
      </c>
      <c r="M48">
        <v>1</v>
      </c>
      <c r="N48" s="1" t="str">
        <f>CONCATENATE(Table3[[#This Row],[Spell ID]])</f>
        <v>22717</v>
      </c>
      <c r="O48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["22717"] ={"Black War Steed", 22717, 29468, 1, 1, 0, "Horse", "Honor", 1, 0},</v>
      </c>
      <c r="P48" s="1" t="str">
        <f>CONCATENATE("https://www.wowhead.com/wotlk/item=",Table3[[#This Row],[ItemID]])</f>
        <v>https://www.wowhead.com/wotlk/item=29468</v>
      </c>
    </row>
    <row r="49" spans="1:16" x14ac:dyDescent="0.35">
      <c r="A49">
        <v>22718</v>
      </c>
      <c r="B49" t="s">
        <v>98</v>
      </c>
      <c r="C49" t="s">
        <v>375</v>
      </c>
      <c r="D49">
        <v>1</v>
      </c>
      <c r="E49" s="1">
        <v>1</v>
      </c>
      <c r="F49">
        <v>0</v>
      </c>
      <c r="G49">
        <v>1</v>
      </c>
      <c r="H49">
        <v>0</v>
      </c>
      <c r="I49">
        <v>29466</v>
      </c>
      <c r="J49" t="s">
        <v>403</v>
      </c>
      <c r="L49">
        <v>1</v>
      </c>
      <c r="M49">
        <v>1</v>
      </c>
      <c r="N49" s="1" t="str">
        <f>CONCATENATE(Table3[[#This Row],[Spell ID]])</f>
        <v>22718</v>
      </c>
      <c r="O49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["22718"] ={"Black War Kodo", 22718, 29466, 1, 1, 0, "Kodo", "Honor", 1, 0},</v>
      </c>
      <c r="P49" s="1" t="str">
        <f>CONCATENATE("https://www.wowhead.com/wotlk/item=",Table3[[#This Row],[ItemID]])</f>
        <v>https://www.wowhead.com/wotlk/item=29466</v>
      </c>
    </row>
    <row r="50" spans="1:16" x14ac:dyDescent="0.35">
      <c r="A50">
        <v>22719</v>
      </c>
      <c r="B50" t="s">
        <v>88</v>
      </c>
      <c r="C50" t="s">
        <v>365</v>
      </c>
      <c r="D50">
        <v>1</v>
      </c>
      <c r="E50" s="1">
        <v>1</v>
      </c>
      <c r="F50">
        <v>0</v>
      </c>
      <c r="G50">
        <v>1</v>
      </c>
      <c r="H50">
        <v>0</v>
      </c>
      <c r="I50">
        <v>29465</v>
      </c>
      <c r="J50" t="s">
        <v>403</v>
      </c>
      <c r="K50">
        <v>1</v>
      </c>
      <c r="M50">
        <v>1</v>
      </c>
      <c r="N50" s="1" t="str">
        <f>CONCATENATE(Table3[[#This Row],[Spell ID]])</f>
        <v>22719</v>
      </c>
      <c r="O50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["22719"] ={"Black Battlestrider", 22719, 29465, 1, 1, 0, "Mechanostrider", "Honor", 1, 0},</v>
      </c>
      <c r="P50" s="1" t="str">
        <f>CONCATENATE("https://www.wowhead.com/wotlk/item=",Table3[[#This Row],[ItemID]])</f>
        <v>https://www.wowhead.com/wotlk/item=29465</v>
      </c>
    </row>
    <row r="51" spans="1:16" x14ac:dyDescent="0.35">
      <c r="A51">
        <v>22720</v>
      </c>
      <c r="B51" t="s">
        <v>100</v>
      </c>
      <c r="C51" t="s">
        <v>371</v>
      </c>
      <c r="D51">
        <v>1</v>
      </c>
      <c r="E51" s="1">
        <v>1</v>
      </c>
      <c r="F51">
        <v>0</v>
      </c>
      <c r="G51">
        <v>1</v>
      </c>
      <c r="H51">
        <v>0</v>
      </c>
      <c r="I51">
        <v>29467</v>
      </c>
      <c r="J51" t="s">
        <v>403</v>
      </c>
      <c r="K51">
        <v>1</v>
      </c>
      <c r="M51">
        <v>1</v>
      </c>
      <c r="N51" s="1" t="str">
        <f>CONCATENATE(Table3[[#This Row],[Spell ID]])</f>
        <v>22720</v>
      </c>
      <c r="O51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["22720"] ={"Black War Ram", 22720, 29467, 1, 1, 0, "Ram", "Honor", 1, 0},</v>
      </c>
      <c r="P51" s="1" t="str">
        <f>CONCATENATE("https://www.wowhead.com/wotlk/item=",Table3[[#This Row],[ItemID]])</f>
        <v>https://www.wowhead.com/wotlk/item=29467</v>
      </c>
    </row>
    <row r="52" spans="1:16" x14ac:dyDescent="0.35">
      <c r="A52">
        <v>22721</v>
      </c>
      <c r="B52" t="s">
        <v>101</v>
      </c>
      <c r="C52" t="s">
        <v>372</v>
      </c>
      <c r="D52">
        <v>1</v>
      </c>
      <c r="E52" s="1">
        <v>1</v>
      </c>
      <c r="F52">
        <v>0</v>
      </c>
      <c r="G52">
        <v>1</v>
      </c>
      <c r="H52">
        <v>0</v>
      </c>
      <c r="I52">
        <v>29472</v>
      </c>
      <c r="J52" t="s">
        <v>403</v>
      </c>
      <c r="L52">
        <v>1</v>
      </c>
      <c r="M52">
        <v>1</v>
      </c>
      <c r="N52" s="1" t="str">
        <f>CONCATENATE(Table3[[#This Row],[Spell ID]])</f>
        <v>22721</v>
      </c>
      <c r="O52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["22721"] ={"Black War Raptor", 22721, 29472, 1, 1, 0, "Raptor", "Honor", 1, 0},</v>
      </c>
      <c r="P52" s="1" t="str">
        <f>CONCATENATE("https://www.wowhead.com/wotlk/item=",Table3[[#This Row],[ItemID]])</f>
        <v>https://www.wowhead.com/wotlk/item=29472</v>
      </c>
    </row>
    <row r="53" spans="1:16" x14ac:dyDescent="0.35">
      <c r="A53">
        <v>22722</v>
      </c>
      <c r="B53" t="s">
        <v>193</v>
      </c>
      <c r="C53" t="s">
        <v>369</v>
      </c>
      <c r="D53">
        <v>1</v>
      </c>
      <c r="E53" s="1">
        <v>1</v>
      </c>
      <c r="F53">
        <v>0</v>
      </c>
      <c r="G53">
        <v>1</v>
      </c>
      <c r="H53">
        <v>0</v>
      </c>
      <c r="I53">
        <v>29470</v>
      </c>
      <c r="J53" t="s">
        <v>403</v>
      </c>
      <c r="L53">
        <v>1</v>
      </c>
      <c r="M53">
        <v>1</v>
      </c>
      <c r="N53" s="1" t="str">
        <f>CONCATENATE(Table3[[#This Row],[Spell ID]])</f>
        <v>22722</v>
      </c>
      <c r="O53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["22722"] ={"Red Skeletal Warhorse", 22722, 29470, 1, 1, 0, "Horse", "Honor", 1, 0},</v>
      </c>
      <c r="P53" s="1" t="str">
        <f>CONCATENATE("https://www.wowhead.com/wotlk/item=",Table3[[#This Row],[ItemID]])</f>
        <v>https://www.wowhead.com/wotlk/item=29470</v>
      </c>
    </row>
    <row r="54" spans="1:16" x14ac:dyDescent="0.35">
      <c r="A54">
        <v>22723</v>
      </c>
      <c r="B54" t="s">
        <v>103</v>
      </c>
      <c r="C54" t="s">
        <v>373</v>
      </c>
      <c r="D54">
        <v>1</v>
      </c>
      <c r="E54" s="1">
        <v>1</v>
      </c>
      <c r="F54">
        <v>0</v>
      </c>
      <c r="G54">
        <v>1</v>
      </c>
      <c r="H54">
        <v>0</v>
      </c>
      <c r="I54">
        <v>29471</v>
      </c>
      <c r="J54" t="s">
        <v>403</v>
      </c>
      <c r="K54">
        <v>1</v>
      </c>
      <c r="M54">
        <v>1</v>
      </c>
      <c r="N54" s="1" t="str">
        <f>CONCATENATE(Table3[[#This Row],[Spell ID]])</f>
        <v>22723</v>
      </c>
      <c r="O54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["22723"] ={"Black War Tiger", 22723, 29471, 1, 1, 0, "Saber", "Honor", 1, 0},</v>
      </c>
      <c r="P54" s="1" t="str">
        <f>CONCATENATE("https://www.wowhead.com/wotlk/item=",Table3[[#This Row],[ItemID]])</f>
        <v>https://www.wowhead.com/wotlk/item=29471</v>
      </c>
    </row>
    <row r="55" spans="1:16" x14ac:dyDescent="0.35">
      <c r="A55">
        <v>22724</v>
      </c>
      <c r="B55" t="s">
        <v>104</v>
      </c>
      <c r="C55" t="s">
        <v>370</v>
      </c>
      <c r="D55">
        <v>1</v>
      </c>
      <c r="E55" s="1">
        <v>1</v>
      </c>
      <c r="F55">
        <v>0</v>
      </c>
      <c r="G55">
        <v>1</v>
      </c>
      <c r="H55">
        <v>0</v>
      </c>
      <c r="I55">
        <v>29469</v>
      </c>
      <c r="J55" t="s">
        <v>403</v>
      </c>
      <c r="L55">
        <v>1</v>
      </c>
      <c r="M55">
        <v>1</v>
      </c>
      <c r="N55" s="1" t="str">
        <f>CONCATENATE(Table3[[#This Row],[Spell ID]])</f>
        <v>22724</v>
      </c>
      <c r="O55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["22724"] ={"Black War Wolf", 22724, 29469, 1, 1, 0, "Wolf", "Honor", 1, 0},</v>
      </c>
      <c r="P55" s="1" t="str">
        <f>CONCATENATE("https://www.wowhead.com/wotlk/item=",Table3[[#This Row],[ItemID]])</f>
        <v>https://www.wowhead.com/wotlk/item=29469</v>
      </c>
    </row>
    <row r="56" spans="1:16" x14ac:dyDescent="0.35">
      <c r="A56">
        <v>23161</v>
      </c>
      <c r="B56" t="s">
        <v>134</v>
      </c>
      <c r="C56" t="s">
        <v>311</v>
      </c>
      <c r="D56">
        <v>1</v>
      </c>
      <c r="E56" s="1">
        <v>1</v>
      </c>
      <c r="F56">
        <v>0</v>
      </c>
      <c r="G56">
        <v>1</v>
      </c>
      <c r="H56">
        <v>0</v>
      </c>
      <c r="I56">
        <v>0</v>
      </c>
      <c r="J56" t="s">
        <v>311</v>
      </c>
      <c r="K56">
        <v>1</v>
      </c>
      <c r="L56">
        <v>1</v>
      </c>
      <c r="M56">
        <v>1</v>
      </c>
      <c r="N56" s="1" t="str">
        <f>CONCATENATE(Table3[[#This Row],[Spell ID]])</f>
        <v>23161</v>
      </c>
      <c r="O56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["23161"] ={"Dreadsteed", 23161, 0, 1, 1, 0, "Warlock", "Warlock", 1, 0},</v>
      </c>
      <c r="P56" s="1" t="str">
        <f>CONCATENATE("https://www.wowhead.com/wotlk/item=",Table3[[#This Row],[ItemID]])</f>
        <v>https://www.wowhead.com/wotlk/item=0</v>
      </c>
    </row>
    <row r="57" spans="1:16" x14ac:dyDescent="0.35">
      <c r="A57">
        <v>23214</v>
      </c>
      <c r="B57" t="s">
        <v>122</v>
      </c>
      <c r="C57" t="s">
        <v>307</v>
      </c>
      <c r="D57">
        <v>1</v>
      </c>
      <c r="E57" s="1">
        <v>1</v>
      </c>
      <c r="F57">
        <v>0</v>
      </c>
      <c r="G57">
        <v>1</v>
      </c>
      <c r="H57">
        <v>0</v>
      </c>
      <c r="I57">
        <v>0</v>
      </c>
      <c r="J57" t="s">
        <v>307</v>
      </c>
      <c r="K57">
        <v>1</v>
      </c>
      <c r="L57">
        <v>1</v>
      </c>
      <c r="M57">
        <v>1</v>
      </c>
      <c r="N57" s="1" t="str">
        <f>CONCATENATE(Table3[[#This Row],[Spell ID]])</f>
        <v>23214</v>
      </c>
      <c r="O57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["23214"] ={"Charger", 23214, 0, 1, 1, 0, "Paladin", "Paladin", 1, 0},</v>
      </c>
      <c r="P57" s="1" t="str">
        <f>CONCATENATE("https://www.wowhead.com/wotlk/item=",Table3[[#This Row],[ItemID]])</f>
        <v>https://www.wowhead.com/wotlk/item=0</v>
      </c>
    </row>
    <row r="58" spans="1:16" x14ac:dyDescent="0.35">
      <c r="A58">
        <v>23219</v>
      </c>
      <c r="B58" t="s">
        <v>227</v>
      </c>
      <c r="C58" t="s">
        <v>373</v>
      </c>
      <c r="D58">
        <v>1</v>
      </c>
      <c r="E58" s="1">
        <v>1</v>
      </c>
      <c r="F58">
        <v>0</v>
      </c>
      <c r="G58">
        <v>1</v>
      </c>
      <c r="H58">
        <v>0</v>
      </c>
      <c r="I58">
        <v>18767</v>
      </c>
      <c r="J58" t="s">
        <v>410</v>
      </c>
      <c r="K58">
        <v>1</v>
      </c>
      <c r="M58">
        <v>1</v>
      </c>
      <c r="N58" s="1" t="str">
        <f>CONCATENATE(Table3[[#This Row],[Spell ID]])</f>
        <v>23219</v>
      </c>
      <c r="O58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["23219"] ={"Swift Mistsaber", 23219, 18767, 1, 1, 0, "Saber", "Exalted Darnasses", 1, 0},</v>
      </c>
      <c r="P58" s="1" t="str">
        <f>CONCATENATE("https://www.wowhead.com/wotlk/item=",Table3[[#This Row],[ItemID]])</f>
        <v>https://www.wowhead.com/wotlk/item=18767</v>
      </c>
    </row>
    <row r="59" spans="1:16" x14ac:dyDescent="0.35">
      <c r="A59">
        <v>23221</v>
      </c>
      <c r="B59" t="s">
        <v>220</v>
      </c>
      <c r="C59" t="s">
        <v>373</v>
      </c>
      <c r="D59">
        <v>1</v>
      </c>
      <c r="E59" s="1">
        <v>1</v>
      </c>
      <c r="F59">
        <v>0</v>
      </c>
      <c r="G59">
        <v>1</v>
      </c>
      <c r="H59">
        <v>0</v>
      </c>
      <c r="I59">
        <v>18766</v>
      </c>
      <c r="J59" t="s">
        <v>410</v>
      </c>
      <c r="K59">
        <v>1</v>
      </c>
      <c r="M59">
        <v>1</v>
      </c>
      <c r="N59" s="1" t="str">
        <f>CONCATENATE(Table3[[#This Row],[Spell ID]])</f>
        <v>23221</v>
      </c>
      <c r="O59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["23221"] ={"Swift Frostsaber", 23221, 18766, 1, 1, 0, "Saber", "Exalted Darnasses", 1, 0},</v>
      </c>
      <c r="P59" s="1" t="str">
        <f>CONCATENATE("https://www.wowhead.com/wotlk/item=",Table3[[#This Row],[ItemID]])</f>
        <v>https://www.wowhead.com/wotlk/item=18766</v>
      </c>
    </row>
    <row r="60" spans="1:16" x14ac:dyDescent="0.35">
      <c r="A60">
        <v>23222</v>
      </c>
      <c r="B60" t="s">
        <v>247</v>
      </c>
      <c r="C60" t="s">
        <v>365</v>
      </c>
      <c r="D60">
        <v>1</v>
      </c>
      <c r="E60" s="1">
        <v>1</v>
      </c>
      <c r="F60">
        <v>0</v>
      </c>
      <c r="G60">
        <v>1</v>
      </c>
      <c r="H60">
        <v>0</v>
      </c>
      <c r="I60">
        <v>18774</v>
      </c>
      <c r="J60" t="s">
        <v>414</v>
      </c>
      <c r="K60">
        <v>1</v>
      </c>
      <c r="M60">
        <v>1</v>
      </c>
      <c r="N60" s="1" t="str">
        <f>CONCATENATE(Table3[[#This Row],[Spell ID]])</f>
        <v>23222</v>
      </c>
      <c r="O60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["23222"] ={"Swift Yellow Mechanostrider", 23222, 18774, 1, 1, 0, "Mechanostrider", "Exalted Gnomeragan", 1, 0},</v>
      </c>
      <c r="P60" s="1" t="str">
        <f>CONCATENATE("https://www.wowhead.com/wotlk/item=",Table3[[#This Row],[ItemID]])</f>
        <v>https://www.wowhead.com/wotlk/item=18774</v>
      </c>
    </row>
    <row r="61" spans="1:16" x14ac:dyDescent="0.35">
      <c r="A61">
        <v>23223</v>
      </c>
      <c r="B61" t="s">
        <v>244</v>
      </c>
      <c r="C61" t="s">
        <v>365</v>
      </c>
      <c r="D61">
        <v>1</v>
      </c>
      <c r="E61" s="1">
        <v>1</v>
      </c>
      <c r="F61">
        <v>0</v>
      </c>
      <c r="G61">
        <v>1</v>
      </c>
      <c r="H61">
        <v>0</v>
      </c>
      <c r="I61">
        <v>18773</v>
      </c>
      <c r="J61" t="s">
        <v>414</v>
      </c>
      <c r="K61">
        <v>1</v>
      </c>
      <c r="M61">
        <v>1</v>
      </c>
      <c r="N61" s="1" t="str">
        <f>CONCATENATE(Table3[[#This Row],[Spell ID]])</f>
        <v>23223</v>
      </c>
      <c r="O61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["23223"] ={"Swift White Mechanostrider", 23223, 18773, 1, 1, 0, "Mechanostrider", "Exalted Gnomeragan", 1, 0},</v>
      </c>
      <c r="P61" s="1" t="str">
        <f>CONCATENATE("https://www.wowhead.com/wotlk/item=",Table3[[#This Row],[ItemID]])</f>
        <v>https://www.wowhead.com/wotlk/item=18773</v>
      </c>
    </row>
    <row r="62" spans="1:16" x14ac:dyDescent="0.35">
      <c r="A62">
        <v>23225</v>
      </c>
      <c r="B62" t="s">
        <v>225</v>
      </c>
      <c r="C62" t="s">
        <v>365</v>
      </c>
      <c r="D62">
        <v>1</v>
      </c>
      <c r="E62" s="1">
        <v>1</v>
      </c>
      <c r="F62">
        <v>0</v>
      </c>
      <c r="G62">
        <v>1</v>
      </c>
      <c r="H62">
        <v>0</v>
      </c>
      <c r="I62">
        <v>18772</v>
      </c>
      <c r="J62" t="s">
        <v>414</v>
      </c>
      <c r="K62">
        <v>1</v>
      </c>
      <c r="M62">
        <v>1</v>
      </c>
      <c r="N62" s="1" t="str">
        <f>CONCATENATE(Table3[[#This Row],[Spell ID]])</f>
        <v>23225</v>
      </c>
      <c r="O62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["23225"] ={"Swift Green Mechanostrider", 23225, 18772, 1, 1, 0, "Mechanostrider", "Exalted Gnomeragan", 1, 0},</v>
      </c>
      <c r="P62" s="1" t="str">
        <f>CONCATENATE("https://www.wowhead.com/wotlk/item=",Table3[[#This Row],[ItemID]])</f>
        <v>https://www.wowhead.com/wotlk/item=18772</v>
      </c>
    </row>
    <row r="63" spans="1:16" x14ac:dyDescent="0.35">
      <c r="A63">
        <v>23227</v>
      </c>
      <c r="B63" t="s">
        <v>231</v>
      </c>
      <c r="C63" t="s">
        <v>369</v>
      </c>
      <c r="D63">
        <v>1</v>
      </c>
      <c r="E63" s="1">
        <v>1</v>
      </c>
      <c r="F63">
        <v>0</v>
      </c>
      <c r="G63">
        <v>1</v>
      </c>
      <c r="H63">
        <v>0</v>
      </c>
      <c r="I63">
        <v>18776</v>
      </c>
      <c r="J63" t="s">
        <v>412</v>
      </c>
      <c r="K63">
        <v>1</v>
      </c>
      <c r="M63">
        <v>1</v>
      </c>
      <c r="N63" s="1" t="str">
        <f>CONCATENATE(Table3[[#This Row],[Spell ID]])</f>
        <v>23227</v>
      </c>
      <c r="O63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["23227"] ={"Swift Palomino", 23227, 18776, 1, 1, 0, "Horse", "Exalted Stormwind", 1, 0},</v>
      </c>
      <c r="P63" s="1" t="str">
        <f>CONCATENATE("https://www.wowhead.com/wotlk/item=",Table3[[#This Row],[ItemID]])</f>
        <v>https://www.wowhead.com/wotlk/item=18776</v>
      </c>
    </row>
    <row r="64" spans="1:16" x14ac:dyDescent="0.35">
      <c r="A64">
        <v>23228</v>
      </c>
      <c r="B64" t="s">
        <v>246</v>
      </c>
      <c r="C64" t="s">
        <v>369</v>
      </c>
      <c r="D64">
        <v>1</v>
      </c>
      <c r="E64" s="1">
        <v>1</v>
      </c>
      <c r="F64">
        <v>0</v>
      </c>
      <c r="G64">
        <v>1</v>
      </c>
      <c r="H64">
        <v>0</v>
      </c>
      <c r="I64">
        <v>18778</v>
      </c>
      <c r="J64" t="s">
        <v>412</v>
      </c>
      <c r="K64">
        <v>1</v>
      </c>
      <c r="M64">
        <v>1</v>
      </c>
      <c r="N64" s="1" t="str">
        <f>CONCATENATE(Table3[[#This Row],[Spell ID]])</f>
        <v>23228</v>
      </c>
      <c r="O64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["23228"] ={"Swift White Steed", 23228, 18778, 1, 1, 0, "Horse", "Exalted Stormwind", 1, 0},</v>
      </c>
      <c r="P64" s="1" t="str">
        <f>CONCATENATE("https://www.wowhead.com/wotlk/item=",Table3[[#This Row],[ItemID]])</f>
        <v>https://www.wowhead.com/wotlk/item=18778</v>
      </c>
    </row>
    <row r="65" spans="1:16" x14ac:dyDescent="0.35">
      <c r="A65">
        <v>23229</v>
      </c>
      <c r="B65" t="s">
        <v>216</v>
      </c>
      <c r="C65" t="s">
        <v>369</v>
      </c>
      <c r="D65">
        <v>1</v>
      </c>
      <c r="E65" s="1">
        <v>1</v>
      </c>
      <c r="F65">
        <v>0</v>
      </c>
      <c r="G65">
        <v>1</v>
      </c>
      <c r="H65">
        <v>0</v>
      </c>
      <c r="I65">
        <v>18777</v>
      </c>
      <c r="J65" t="s">
        <v>412</v>
      </c>
      <c r="K65">
        <v>1</v>
      </c>
      <c r="M65">
        <v>1</v>
      </c>
      <c r="N65" s="1" t="str">
        <f>CONCATENATE(Table3[[#This Row],[Spell ID]])</f>
        <v>23229</v>
      </c>
      <c r="O65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["23229"] ={"Swift Brown Steed", 23229, 18777, 1, 1, 0, "Horse", "Exalted Stormwind", 1, 0},</v>
      </c>
      <c r="P65" s="1" t="str">
        <f>CONCATENATE("https://www.wowhead.com/wotlk/item=",Table3[[#This Row],[ItemID]])</f>
        <v>https://www.wowhead.com/wotlk/item=18777</v>
      </c>
    </row>
    <row r="66" spans="1:16" x14ac:dyDescent="0.35">
      <c r="A66">
        <v>23238</v>
      </c>
      <c r="B66" t="s">
        <v>215</v>
      </c>
      <c r="C66" t="s">
        <v>371</v>
      </c>
      <c r="D66">
        <v>1</v>
      </c>
      <c r="E66" s="1">
        <v>1</v>
      </c>
      <c r="F66">
        <v>0</v>
      </c>
      <c r="G66">
        <v>1</v>
      </c>
      <c r="H66">
        <v>0</v>
      </c>
      <c r="I66">
        <v>18786</v>
      </c>
      <c r="J66" t="s">
        <v>413</v>
      </c>
      <c r="K66">
        <v>1</v>
      </c>
      <c r="M66">
        <v>1</v>
      </c>
      <c r="N66" s="1" t="str">
        <f>CONCATENATE(Table3[[#This Row],[Spell ID]])</f>
        <v>23238</v>
      </c>
      <c r="O66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["23238"] ={"Swift Brown Ram", 23238, 18786, 1, 1, 0, "Ram", "Exalted IronForge", 1, 0},</v>
      </c>
      <c r="P66" s="1" t="str">
        <f>CONCATENATE("https://www.wowhead.com/wotlk/item=",Table3[[#This Row],[ItemID]])</f>
        <v>https://www.wowhead.com/wotlk/item=18786</v>
      </c>
    </row>
    <row r="67" spans="1:16" x14ac:dyDescent="0.35">
      <c r="A67">
        <v>23239</v>
      </c>
      <c r="B67" t="s">
        <v>221</v>
      </c>
      <c r="C67" t="s">
        <v>371</v>
      </c>
      <c r="D67">
        <v>1</v>
      </c>
      <c r="E67" s="1">
        <v>1</v>
      </c>
      <c r="F67">
        <v>0</v>
      </c>
      <c r="G67">
        <v>1</v>
      </c>
      <c r="H67">
        <v>0</v>
      </c>
      <c r="I67">
        <v>18787</v>
      </c>
      <c r="J67" t="s">
        <v>413</v>
      </c>
      <c r="K67">
        <v>1</v>
      </c>
      <c r="M67">
        <v>1</v>
      </c>
      <c r="N67" s="1" t="str">
        <f>CONCATENATE(Table3[[#This Row],[Spell ID]])</f>
        <v>23239</v>
      </c>
      <c r="O67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["23239"] ={"Swift Gray Ram", 23239, 18787, 1, 1, 0, "Ram", "Exalted IronForge", 1, 0},</v>
      </c>
      <c r="P67" s="1" t="str">
        <f>CONCATENATE("https://www.wowhead.com/wotlk/item=",Table3[[#This Row],[ItemID]])</f>
        <v>https://www.wowhead.com/wotlk/item=18787</v>
      </c>
    </row>
    <row r="68" spans="1:16" x14ac:dyDescent="0.35">
      <c r="A68">
        <v>23240</v>
      </c>
      <c r="B68" t="s">
        <v>245</v>
      </c>
      <c r="C68" t="s">
        <v>371</v>
      </c>
      <c r="D68">
        <v>1</v>
      </c>
      <c r="E68" s="1">
        <v>1</v>
      </c>
      <c r="F68">
        <v>0</v>
      </c>
      <c r="G68">
        <v>1</v>
      </c>
      <c r="H68">
        <v>0</v>
      </c>
      <c r="I68">
        <v>18785</v>
      </c>
      <c r="J68" t="s">
        <v>413</v>
      </c>
      <c r="K68">
        <v>1</v>
      </c>
      <c r="M68">
        <v>1</v>
      </c>
      <c r="N68" s="1" t="str">
        <f>CONCATENATE(Table3[[#This Row],[Spell ID]])</f>
        <v>23240</v>
      </c>
      <c r="O68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["23240"] ={"Swift White Ram", 23240, 18785, 1, 1, 0, "Ram", "Exalted IronForge", 1, 0},</v>
      </c>
      <c r="P68" s="1" t="str">
        <f>CONCATENATE("https://www.wowhead.com/wotlk/item=",Table3[[#This Row],[ItemID]])</f>
        <v>https://www.wowhead.com/wotlk/item=18785</v>
      </c>
    </row>
    <row r="69" spans="1:16" x14ac:dyDescent="0.35">
      <c r="A69">
        <v>23241</v>
      </c>
      <c r="B69" t="s">
        <v>213</v>
      </c>
      <c r="C69" t="s">
        <v>372</v>
      </c>
      <c r="D69">
        <v>1</v>
      </c>
      <c r="E69" s="1">
        <v>1</v>
      </c>
      <c r="F69">
        <v>0</v>
      </c>
      <c r="G69">
        <v>1</v>
      </c>
      <c r="H69">
        <v>0</v>
      </c>
      <c r="I69">
        <v>18788</v>
      </c>
      <c r="J69" t="s">
        <v>285</v>
      </c>
      <c r="L69">
        <v>1</v>
      </c>
      <c r="M69">
        <v>1</v>
      </c>
      <c r="N69" s="1" t="str">
        <f>CONCATENATE(Table3[[#This Row],[Spell ID]])</f>
        <v>23241</v>
      </c>
      <c r="O69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["23241"] ={"Swift Blue Raptor", 23241, 18788, 1, 1, 0, "Raptor", "Gold", 1, 0},</v>
      </c>
      <c r="P69" s="1" t="str">
        <f>CONCATENATE("https://www.wowhead.com/wotlk/item=",Table3[[#This Row],[ItemID]])</f>
        <v>https://www.wowhead.com/wotlk/item=18788</v>
      </c>
    </row>
    <row r="70" spans="1:16" x14ac:dyDescent="0.35">
      <c r="A70">
        <v>23242</v>
      </c>
      <c r="B70" t="s">
        <v>229</v>
      </c>
      <c r="C70" t="s">
        <v>372</v>
      </c>
      <c r="D70">
        <v>1</v>
      </c>
      <c r="E70" s="1">
        <v>1</v>
      </c>
      <c r="F70">
        <v>0</v>
      </c>
      <c r="G70">
        <v>1</v>
      </c>
      <c r="H70">
        <v>0</v>
      </c>
      <c r="I70">
        <v>18789</v>
      </c>
      <c r="J70" t="s">
        <v>285</v>
      </c>
      <c r="L70">
        <v>1</v>
      </c>
      <c r="M70">
        <v>1</v>
      </c>
      <c r="N70" s="1" t="str">
        <f>CONCATENATE(Table3[[#This Row],[Spell ID]])</f>
        <v>23242</v>
      </c>
      <c r="O70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["23242"] ={"Swift Olive Raptor", 23242, 18789, 1, 1, 0, "Raptor", "Gold", 1, 0},</v>
      </c>
      <c r="P70" s="1" t="str">
        <f>CONCATENATE("https://www.wowhead.com/wotlk/item=",Table3[[#This Row],[ItemID]])</f>
        <v>https://www.wowhead.com/wotlk/item=18789</v>
      </c>
    </row>
    <row r="71" spans="1:16" x14ac:dyDescent="0.35">
      <c r="A71">
        <v>23243</v>
      </c>
      <c r="B71" t="s">
        <v>230</v>
      </c>
      <c r="C71" t="s">
        <v>372</v>
      </c>
      <c r="D71">
        <v>1</v>
      </c>
      <c r="E71" s="1">
        <v>1</v>
      </c>
      <c r="F71">
        <v>0</v>
      </c>
      <c r="G71">
        <v>1</v>
      </c>
      <c r="H71">
        <v>0</v>
      </c>
      <c r="I71">
        <v>18790</v>
      </c>
      <c r="J71" t="s">
        <v>285</v>
      </c>
      <c r="L71">
        <v>1</v>
      </c>
      <c r="M71">
        <v>1</v>
      </c>
      <c r="N71" s="1" t="str">
        <f>CONCATENATE(Table3[[#This Row],[Spell ID]])</f>
        <v>23243</v>
      </c>
      <c r="O71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["23243"] ={"Swift Orange Raptor", 23243, 18790, 1, 1, 0, "Raptor", "Gold", 1, 0},</v>
      </c>
      <c r="P71" s="1" t="str">
        <f>CONCATENATE("https://www.wowhead.com/wotlk/item=",Table3[[#This Row],[ItemID]])</f>
        <v>https://www.wowhead.com/wotlk/item=18790</v>
      </c>
    </row>
    <row r="72" spans="1:16" x14ac:dyDescent="0.35">
      <c r="A72">
        <v>23246</v>
      </c>
      <c r="B72" t="s">
        <v>185</v>
      </c>
      <c r="C72" t="s">
        <v>369</v>
      </c>
      <c r="D72">
        <v>1</v>
      </c>
      <c r="E72" s="1">
        <v>1</v>
      </c>
      <c r="F72">
        <v>0</v>
      </c>
      <c r="G72">
        <v>1</v>
      </c>
      <c r="H72">
        <v>0</v>
      </c>
      <c r="I72">
        <v>18791</v>
      </c>
      <c r="J72" t="s">
        <v>285</v>
      </c>
      <c r="L72">
        <v>1</v>
      </c>
      <c r="M72">
        <v>1</v>
      </c>
      <c r="N72" s="1" t="str">
        <f>CONCATENATE(Table3[[#This Row],[Spell ID]])</f>
        <v>23246</v>
      </c>
      <c r="O72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["23246"] ={"Purple Skeletal Warhorse", 23246, 18791, 1, 1, 0, "Horse", "Gold", 1, 0},</v>
      </c>
      <c r="P72" s="1" t="str">
        <f>CONCATENATE("https://www.wowhead.com/wotlk/item=",Table3[[#This Row],[ItemID]])</f>
        <v>https://www.wowhead.com/wotlk/item=18791</v>
      </c>
    </row>
    <row r="73" spans="1:16" x14ac:dyDescent="0.35">
      <c r="A73">
        <v>23247</v>
      </c>
      <c r="B73" t="s">
        <v>161</v>
      </c>
      <c r="C73" t="s">
        <v>375</v>
      </c>
      <c r="D73">
        <v>1</v>
      </c>
      <c r="E73" s="1">
        <v>1</v>
      </c>
      <c r="F73">
        <v>0</v>
      </c>
      <c r="G73">
        <v>1</v>
      </c>
      <c r="H73">
        <v>0</v>
      </c>
      <c r="I73">
        <v>18793</v>
      </c>
      <c r="J73" t="s">
        <v>285</v>
      </c>
      <c r="L73">
        <v>1</v>
      </c>
      <c r="M73">
        <v>1</v>
      </c>
      <c r="N73" s="1" t="str">
        <f>CONCATENATE(Table3[[#This Row],[Spell ID]])</f>
        <v>23247</v>
      </c>
      <c r="O73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["23247"] ={"Great White Kodo", 23247, 18793, 1, 1, 0, "Kodo", "Gold", 1, 0},</v>
      </c>
      <c r="P73" s="1" t="str">
        <f>CONCATENATE("https://www.wowhead.com/wotlk/item=",Table3[[#This Row],[ItemID]])</f>
        <v>https://www.wowhead.com/wotlk/item=18793</v>
      </c>
    </row>
    <row r="74" spans="1:16" x14ac:dyDescent="0.35">
      <c r="A74">
        <v>23248</v>
      </c>
      <c r="B74" t="s">
        <v>157</v>
      </c>
      <c r="C74" t="s">
        <v>375</v>
      </c>
      <c r="D74">
        <v>1</v>
      </c>
      <c r="E74" s="1">
        <v>1</v>
      </c>
      <c r="F74">
        <v>0</v>
      </c>
      <c r="G74">
        <v>1</v>
      </c>
      <c r="H74">
        <v>0</v>
      </c>
      <c r="I74">
        <v>18795</v>
      </c>
      <c r="J74" t="s">
        <v>285</v>
      </c>
      <c r="L74">
        <v>1</v>
      </c>
      <c r="M74">
        <v>1</v>
      </c>
      <c r="N74" s="1" t="str">
        <f>CONCATENATE(Table3[[#This Row],[Spell ID]])</f>
        <v>23248</v>
      </c>
      <c r="O74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["23248"] ={"Great Gray Kodo", 23248, 18795, 1, 1, 0, "Kodo", "Gold", 1, 0},</v>
      </c>
      <c r="P74" s="1" t="str">
        <f>CONCATENATE("https://www.wowhead.com/wotlk/item=",Table3[[#This Row],[ItemID]])</f>
        <v>https://www.wowhead.com/wotlk/item=18795</v>
      </c>
    </row>
    <row r="75" spans="1:16" x14ac:dyDescent="0.35">
      <c r="A75">
        <v>23249</v>
      </c>
      <c r="B75" t="s">
        <v>154</v>
      </c>
      <c r="C75" t="s">
        <v>375</v>
      </c>
      <c r="D75">
        <v>1</v>
      </c>
      <c r="E75" s="1">
        <v>1</v>
      </c>
      <c r="F75">
        <v>0</v>
      </c>
      <c r="G75">
        <v>1</v>
      </c>
      <c r="H75">
        <v>0</v>
      </c>
      <c r="I75">
        <v>18794</v>
      </c>
      <c r="J75" t="s">
        <v>285</v>
      </c>
      <c r="L75">
        <v>1</v>
      </c>
      <c r="M75">
        <v>1</v>
      </c>
      <c r="N75" s="1" t="str">
        <f>CONCATENATE(Table3[[#This Row],[Spell ID]])</f>
        <v>23249</v>
      </c>
      <c r="O75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["23249"] ={"Great Brown Kodo", 23249, 18794, 1, 1, 0, "Kodo", "Gold", 1, 0},</v>
      </c>
      <c r="P75" s="1" t="str">
        <f>CONCATENATE("https://www.wowhead.com/wotlk/item=",Table3[[#This Row],[ItemID]])</f>
        <v>https://www.wowhead.com/wotlk/item=18794</v>
      </c>
    </row>
    <row r="76" spans="1:16" x14ac:dyDescent="0.35">
      <c r="A76">
        <v>23250</v>
      </c>
      <c r="B76" t="s">
        <v>217</v>
      </c>
      <c r="C76" t="s">
        <v>370</v>
      </c>
      <c r="D76">
        <v>1</v>
      </c>
      <c r="E76" s="1">
        <v>1</v>
      </c>
      <c r="F76">
        <v>0</v>
      </c>
      <c r="G76">
        <v>1</v>
      </c>
      <c r="H76">
        <v>0</v>
      </c>
      <c r="I76">
        <v>18796</v>
      </c>
      <c r="J76" t="s">
        <v>285</v>
      </c>
      <c r="L76">
        <v>1</v>
      </c>
      <c r="M76">
        <v>1</v>
      </c>
      <c r="N76" s="1" t="str">
        <f>CONCATENATE(Table3[[#This Row],[Spell ID]])</f>
        <v>23250</v>
      </c>
      <c r="O76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["23250"] ={"Swift Brown Wolf", 23250, 18796, 1, 1, 0, "Wolf", "Gold", 1, 0},</v>
      </c>
      <c r="P76" s="1" t="str">
        <f>CONCATENATE("https://www.wowhead.com/wotlk/item=",Table3[[#This Row],[ItemID]])</f>
        <v>https://www.wowhead.com/wotlk/item=18796</v>
      </c>
    </row>
    <row r="77" spans="1:16" x14ac:dyDescent="0.35">
      <c r="A77">
        <v>23251</v>
      </c>
      <c r="B77" t="s">
        <v>239</v>
      </c>
      <c r="C77" t="s">
        <v>370</v>
      </c>
      <c r="D77">
        <v>1</v>
      </c>
      <c r="E77" s="1">
        <v>1</v>
      </c>
      <c r="F77">
        <v>0</v>
      </c>
      <c r="G77">
        <v>1</v>
      </c>
      <c r="H77">
        <v>0</v>
      </c>
      <c r="I77">
        <v>18797</v>
      </c>
      <c r="J77" t="s">
        <v>285</v>
      </c>
      <c r="L77">
        <v>1</v>
      </c>
      <c r="M77">
        <v>1</v>
      </c>
      <c r="N77" s="1" t="str">
        <f>CONCATENATE(Table3[[#This Row],[Spell ID]])</f>
        <v>23251</v>
      </c>
      <c r="O77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["23251"] ={"Swift Timber Wolf", 23251, 18797, 1, 1, 0, "Wolf", "Gold", 1, 0},</v>
      </c>
      <c r="P77" s="1" t="str">
        <f>CONCATENATE("https://www.wowhead.com/wotlk/item=",Table3[[#This Row],[ItemID]])</f>
        <v>https://www.wowhead.com/wotlk/item=18797</v>
      </c>
    </row>
    <row r="78" spans="1:16" x14ac:dyDescent="0.35">
      <c r="A78">
        <v>23252</v>
      </c>
      <c r="B78" t="s">
        <v>223</v>
      </c>
      <c r="C78" t="s">
        <v>370</v>
      </c>
      <c r="D78">
        <v>1</v>
      </c>
      <c r="E78" s="1">
        <v>1</v>
      </c>
      <c r="F78">
        <v>0</v>
      </c>
      <c r="G78">
        <v>1</v>
      </c>
      <c r="H78">
        <v>0</v>
      </c>
      <c r="I78">
        <v>18798</v>
      </c>
      <c r="J78" t="s">
        <v>285</v>
      </c>
      <c r="L78">
        <v>1</v>
      </c>
      <c r="M78">
        <v>1</v>
      </c>
      <c r="N78" s="1" t="str">
        <f>CONCATENATE(Table3[[#This Row],[Spell ID]])</f>
        <v>23252</v>
      </c>
      <c r="O78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["23252"] ={"Swift Gray Wolf", 23252, 18798, 1, 1, 0, "Wolf", "Gold", 1, 0},</v>
      </c>
      <c r="P78" s="1" t="str">
        <f>CONCATENATE("https://www.wowhead.com/wotlk/item=",Table3[[#This Row],[ItemID]])</f>
        <v>https://www.wowhead.com/wotlk/item=18798</v>
      </c>
    </row>
    <row r="79" spans="1:16" x14ac:dyDescent="0.35">
      <c r="A79">
        <v>23338</v>
      </c>
      <c r="B79" t="s">
        <v>238</v>
      </c>
      <c r="C79" t="s">
        <v>373</v>
      </c>
      <c r="D79">
        <v>1</v>
      </c>
      <c r="E79" s="1">
        <v>1</v>
      </c>
      <c r="F79">
        <v>0</v>
      </c>
      <c r="G79">
        <v>1</v>
      </c>
      <c r="H79">
        <v>0</v>
      </c>
      <c r="I79">
        <v>18902</v>
      </c>
      <c r="J79" t="s">
        <v>410</v>
      </c>
      <c r="K79">
        <v>1</v>
      </c>
      <c r="M79">
        <v>1</v>
      </c>
      <c r="N79" s="1" t="str">
        <f>CONCATENATE(Table3[[#This Row],[Spell ID]])</f>
        <v>23338</v>
      </c>
      <c r="O79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["23338"] ={"Swift Stormsaber", 23338, 18902, 1, 1, 0, "Saber", "Exalted Darnasses", 1, 0},</v>
      </c>
      <c r="P79" s="1" t="str">
        <f>CONCATENATE("https://www.wowhead.com/wotlk/item=",Table3[[#This Row],[ItemID]])</f>
        <v>https://www.wowhead.com/wotlk/item=18902</v>
      </c>
    </row>
    <row r="80" spans="1:16" x14ac:dyDescent="0.35">
      <c r="A80">
        <v>23509</v>
      </c>
      <c r="B80" t="s">
        <v>142</v>
      </c>
      <c r="C80" t="s">
        <v>370</v>
      </c>
      <c r="D80">
        <v>1</v>
      </c>
      <c r="E80" s="1">
        <v>1</v>
      </c>
      <c r="F80">
        <v>0</v>
      </c>
      <c r="G80">
        <v>1</v>
      </c>
      <c r="H80">
        <v>0</v>
      </c>
      <c r="I80">
        <v>19029</v>
      </c>
      <c r="J80" t="s">
        <v>403</v>
      </c>
      <c r="L80">
        <v>1</v>
      </c>
      <c r="M80">
        <v>1</v>
      </c>
      <c r="N80" s="1" t="str">
        <f>CONCATENATE(Table3[[#This Row],[Spell ID]])</f>
        <v>23509</v>
      </c>
      <c r="O80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["23509"] ={"Frostwolf Howler", 23509, 19029, 1, 1, 0, "Wolf", "Honor", 1, 0},</v>
      </c>
      <c r="P80" s="1" t="str">
        <f>CONCATENATE("https://www.wowhead.com/wotlk/item=",Table3[[#This Row],[ItemID]])</f>
        <v>https://www.wowhead.com/wotlk/item=19029</v>
      </c>
    </row>
    <row r="81" spans="1:16" x14ac:dyDescent="0.35">
      <c r="A81">
        <v>23510</v>
      </c>
      <c r="B81" t="s">
        <v>204</v>
      </c>
      <c r="C81" t="s">
        <v>371</v>
      </c>
      <c r="D81">
        <v>1</v>
      </c>
      <c r="E81" s="1">
        <v>1</v>
      </c>
      <c r="F81">
        <v>0</v>
      </c>
      <c r="G81">
        <v>1</v>
      </c>
      <c r="H81">
        <v>0</v>
      </c>
      <c r="I81">
        <v>19030</v>
      </c>
      <c r="J81" t="s">
        <v>403</v>
      </c>
      <c r="K81">
        <v>1</v>
      </c>
      <c r="M81">
        <v>1</v>
      </c>
      <c r="N81" s="1" t="str">
        <f>CONCATENATE(Table3[[#This Row],[Spell ID]])</f>
        <v>23510</v>
      </c>
      <c r="O81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["23510"] ={"Stormpike Battle Charger", 23510, 19030, 1, 1, 0, "Ram", "Honor", 1, 0},</v>
      </c>
      <c r="P81" s="1" t="str">
        <f>CONCATENATE("https://www.wowhead.com/wotlk/item=",Table3[[#This Row],[ItemID]])</f>
        <v>https://www.wowhead.com/wotlk/item=19030</v>
      </c>
    </row>
    <row r="82" spans="1:16" x14ac:dyDescent="0.35">
      <c r="A82">
        <v>24242</v>
      </c>
      <c r="B82" t="s">
        <v>235</v>
      </c>
      <c r="C82" t="s">
        <v>372</v>
      </c>
      <c r="D82">
        <v>1</v>
      </c>
      <c r="E82" s="1">
        <v>1</v>
      </c>
      <c r="F82">
        <v>0</v>
      </c>
      <c r="G82">
        <v>1</v>
      </c>
      <c r="H82">
        <v>0</v>
      </c>
      <c r="I82">
        <v>19872</v>
      </c>
      <c r="J82" t="s">
        <v>335</v>
      </c>
      <c r="K82">
        <v>1</v>
      </c>
      <c r="L82">
        <v>1</v>
      </c>
      <c r="M82">
        <v>1</v>
      </c>
      <c r="N82" s="1" t="str">
        <f>CONCATENATE(Table3[[#This Row],[Spell ID]])</f>
        <v>24242</v>
      </c>
      <c r="O82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["24242"] ={"Swift Razzashi Raptor", 24242, 19872, 1, 1, 0, "Raptor", "Drop ZG", 1, 0},</v>
      </c>
      <c r="P82" s="1" t="str">
        <f>CONCATENATE("https://www.wowhead.com/wotlk/item=",Table3[[#This Row],[ItemID]])</f>
        <v>https://www.wowhead.com/wotlk/item=19872</v>
      </c>
    </row>
    <row r="83" spans="1:16" x14ac:dyDescent="0.35">
      <c r="A83">
        <v>24252</v>
      </c>
      <c r="B83" t="s">
        <v>249</v>
      </c>
      <c r="C83" t="s">
        <v>373</v>
      </c>
      <c r="D83">
        <v>1</v>
      </c>
      <c r="E83" s="1">
        <v>1</v>
      </c>
      <c r="F83">
        <v>0</v>
      </c>
      <c r="G83">
        <v>1</v>
      </c>
      <c r="H83">
        <v>0</v>
      </c>
      <c r="I83">
        <v>19902</v>
      </c>
      <c r="J83" t="s">
        <v>335</v>
      </c>
      <c r="K83">
        <v>1</v>
      </c>
      <c r="L83">
        <v>1</v>
      </c>
      <c r="M83">
        <v>1</v>
      </c>
      <c r="N83" s="1" t="str">
        <f>CONCATENATE(Table3[[#This Row],[Spell ID]])</f>
        <v>24252</v>
      </c>
      <c r="O83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["24252"] ={"Swift Zulian Tiger", 24252, 19902, 1, 1, 0, "Saber", "Drop ZG", 1, 0},</v>
      </c>
      <c r="P83" s="1" t="str">
        <f>CONCATENATE("https://www.wowhead.com/wotlk/item=",Table3[[#This Row],[ItemID]])</f>
        <v>https://www.wowhead.com/wotlk/item=19902</v>
      </c>
    </row>
    <row r="84" spans="1:16" x14ac:dyDescent="0.35">
      <c r="A84">
        <v>25953</v>
      </c>
      <c r="B84" t="s">
        <v>108</v>
      </c>
      <c r="C84" t="s">
        <v>377</v>
      </c>
      <c r="D84">
        <v>1</v>
      </c>
      <c r="E84" s="1">
        <v>1</v>
      </c>
      <c r="F84">
        <v>0</v>
      </c>
      <c r="G84">
        <v>0</v>
      </c>
      <c r="H84">
        <v>1</v>
      </c>
      <c r="I84">
        <v>21218</v>
      </c>
      <c r="J84" t="s">
        <v>301</v>
      </c>
      <c r="K84">
        <v>1</v>
      </c>
      <c r="L84">
        <v>1</v>
      </c>
      <c r="M84">
        <v>1</v>
      </c>
      <c r="N84" s="1" t="str">
        <f>CONCATENATE(Table3[[#This Row],[Spell ID]])</f>
        <v>25953</v>
      </c>
      <c r="O84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["25953"] ={"Blue Qiraji Battle Tank", 25953, 21218, 1, 1, 0, "Bug", "Drop, AQ40", 0, 1},</v>
      </c>
      <c r="P84" s="1" t="str">
        <f>CONCATENATE("https://www.wowhead.com/wotlk/item=",Table3[[#This Row],[ItemID]])</f>
        <v>https://www.wowhead.com/wotlk/item=21218</v>
      </c>
    </row>
    <row r="85" spans="1:16" x14ac:dyDescent="0.35">
      <c r="A85">
        <v>26054</v>
      </c>
      <c r="B85" t="s">
        <v>191</v>
      </c>
      <c r="C85" t="s">
        <v>377</v>
      </c>
      <c r="D85">
        <v>1</v>
      </c>
      <c r="E85" s="1">
        <v>1</v>
      </c>
      <c r="F85">
        <v>0</v>
      </c>
      <c r="G85">
        <v>0</v>
      </c>
      <c r="H85">
        <v>1</v>
      </c>
      <c r="I85">
        <v>21321</v>
      </c>
      <c r="J85" t="s">
        <v>322</v>
      </c>
      <c r="K85">
        <v>1</v>
      </c>
      <c r="L85">
        <v>1</v>
      </c>
      <c r="M85">
        <v>1</v>
      </c>
      <c r="N85" s="1" t="str">
        <f>CONCATENATE(Table3[[#This Row],[Spell ID]])</f>
        <v>26054</v>
      </c>
      <c r="O85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["26054"] ={"Red Qiraji Battle Tank", 26054, 21321, 1, 1, 0, "Bug", "Drop AQ40", 0, 1},</v>
      </c>
      <c r="P85" s="1" t="str">
        <f>CONCATENATE("https://www.wowhead.com/wotlk/item=",Table3[[#This Row],[ItemID]])</f>
        <v>https://www.wowhead.com/wotlk/item=21321</v>
      </c>
    </row>
    <row r="86" spans="1:16" x14ac:dyDescent="0.35">
      <c r="A86">
        <v>26055</v>
      </c>
      <c r="B86" t="s">
        <v>275</v>
      </c>
      <c r="C86" t="s">
        <v>377</v>
      </c>
      <c r="D86">
        <v>1</v>
      </c>
      <c r="E86" s="1">
        <v>1</v>
      </c>
      <c r="F86">
        <v>0</v>
      </c>
      <c r="G86">
        <v>0</v>
      </c>
      <c r="H86">
        <v>1</v>
      </c>
      <c r="I86">
        <v>21324</v>
      </c>
      <c r="J86" t="s">
        <v>322</v>
      </c>
      <c r="K86">
        <v>1</v>
      </c>
      <c r="L86">
        <v>1</v>
      </c>
      <c r="M86">
        <v>1</v>
      </c>
      <c r="N86" s="1" t="str">
        <f>CONCATENATE(Table3[[#This Row],[Spell ID]])</f>
        <v>26055</v>
      </c>
      <c r="O86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["26055"] ={"Yellow Qiraji Battle Tank", 26055, 21324, 1, 1, 0, "Bug", "Drop AQ40", 0, 1},</v>
      </c>
      <c r="P86" s="1" t="str">
        <f>CONCATENATE("https://www.wowhead.com/wotlk/item=",Table3[[#This Row],[ItemID]])</f>
        <v>https://www.wowhead.com/wotlk/item=21324</v>
      </c>
    </row>
    <row r="87" spans="1:16" x14ac:dyDescent="0.35">
      <c r="A87">
        <v>26056</v>
      </c>
      <c r="B87" t="s">
        <v>164</v>
      </c>
      <c r="C87" t="s">
        <v>377</v>
      </c>
      <c r="D87">
        <v>1</v>
      </c>
      <c r="E87" s="1">
        <v>1</v>
      </c>
      <c r="F87">
        <v>0</v>
      </c>
      <c r="G87">
        <v>0</v>
      </c>
      <c r="H87">
        <v>1</v>
      </c>
      <c r="I87">
        <v>21323</v>
      </c>
      <c r="J87" t="s">
        <v>322</v>
      </c>
      <c r="K87">
        <v>1</v>
      </c>
      <c r="L87">
        <v>1</v>
      </c>
      <c r="M87">
        <v>1</v>
      </c>
      <c r="N87" s="1" t="str">
        <f>CONCATENATE(Table3[[#This Row],[Spell ID]])</f>
        <v>26056</v>
      </c>
      <c r="O87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["26056"] ={"Green Qiraji Battle Tank", 26056, 21323, 1, 1, 0, "Bug", "Drop AQ40", 0, 1},</v>
      </c>
      <c r="P87" s="1" t="str">
        <f>CONCATENATE("https://www.wowhead.com/wotlk/item=",Table3[[#This Row],[ItemID]])</f>
        <v>https://www.wowhead.com/wotlk/item=21323</v>
      </c>
    </row>
    <row r="88" spans="1:16" x14ac:dyDescent="0.35">
      <c r="A88">
        <v>26656</v>
      </c>
      <c r="B88" t="s">
        <v>92</v>
      </c>
      <c r="C88" t="s">
        <v>377</v>
      </c>
      <c r="D88">
        <v>1</v>
      </c>
      <c r="E88" s="1">
        <v>1</v>
      </c>
      <c r="F88">
        <v>0</v>
      </c>
      <c r="G88">
        <v>1</v>
      </c>
      <c r="H88">
        <v>1</v>
      </c>
      <c r="I88">
        <v>21176</v>
      </c>
      <c r="J88" t="s">
        <v>281</v>
      </c>
      <c r="K88">
        <v>1</v>
      </c>
      <c r="L88">
        <v>1</v>
      </c>
      <c r="M88">
        <v>1</v>
      </c>
      <c r="N88" s="1" t="str">
        <f>CONCATENATE(Table3[[#This Row],[Spell ID]])</f>
        <v>26656</v>
      </c>
      <c r="O88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["26656"] ={"Black Qiraji Battle Tank", 26656, 21176, 1, 1, 0, "Bug", "Removed", 1, 1},</v>
      </c>
      <c r="P88" s="1" t="str">
        <f>CONCATENATE("https://www.wowhead.com/wotlk/item=",Table3[[#This Row],[ItemID]])</f>
        <v>https://www.wowhead.com/wotlk/item=21176</v>
      </c>
    </row>
    <row r="89" spans="1:16" x14ac:dyDescent="0.35">
      <c r="A89">
        <v>28828</v>
      </c>
      <c r="B89" t="s">
        <v>41</v>
      </c>
      <c r="C89" t="s">
        <v>41</v>
      </c>
      <c r="D89">
        <v>1.5</v>
      </c>
      <c r="E89" s="1">
        <v>1.5</v>
      </c>
      <c r="F89">
        <v>0</v>
      </c>
      <c r="G89">
        <v>1</v>
      </c>
      <c r="H89">
        <v>0</v>
      </c>
      <c r="I89">
        <v>0</v>
      </c>
      <c r="J89" t="s">
        <v>433</v>
      </c>
      <c r="K89">
        <v>1</v>
      </c>
      <c r="L89">
        <v>1</v>
      </c>
      <c r="M89">
        <v>1</v>
      </c>
      <c r="N89" s="1" t="str">
        <f>CONCATENATE(Table3[[#This Row],[Spell ID]])</f>
        <v>28828</v>
      </c>
      <c r="O89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["28828"] ={"Nether Drake", 28828, 0, 1.5, 1.5, 0, "Nether Drake", "?", 1, 0},</v>
      </c>
      <c r="P89" s="1" t="str">
        <f>CONCATENATE("https://www.wowhead.com/wotlk/item=",Table3[[#This Row],[ItemID]])</f>
        <v>https://www.wowhead.com/wotlk/item=0</v>
      </c>
    </row>
    <row r="90" spans="1:16" x14ac:dyDescent="0.35">
      <c r="A90">
        <v>32235</v>
      </c>
      <c r="B90" t="s">
        <v>32</v>
      </c>
      <c r="C90" t="s">
        <v>380</v>
      </c>
      <c r="D90">
        <v>1.5</v>
      </c>
      <c r="E90" s="1">
        <v>1.5</v>
      </c>
      <c r="F90">
        <v>0</v>
      </c>
      <c r="G90">
        <v>1</v>
      </c>
      <c r="H90">
        <v>0</v>
      </c>
      <c r="I90">
        <v>25470</v>
      </c>
      <c r="J90" t="s">
        <v>285</v>
      </c>
      <c r="K90">
        <v>1</v>
      </c>
      <c r="M90">
        <v>1</v>
      </c>
      <c r="N90" s="1" t="str">
        <f>CONCATENATE(Table3[[#This Row],[Spell ID]])</f>
        <v>32235</v>
      </c>
      <c r="O90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["32235"] ={"Golden Gryphon", 32235, 25470, 1.5, 1.5, 0, "Gryphon", "Gold", 1, 0},</v>
      </c>
      <c r="P90" s="1" t="str">
        <f>CONCATENATE("https://www.wowhead.com/wotlk/item=",Table3[[#This Row],[ItemID]])</f>
        <v>https://www.wowhead.com/wotlk/item=25470</v>
      </c>
    </row>
    <row r="91" spans="1:16" x14ac:dyDescent="0.35">
      <c r="A91">
        <v>32239</v>
      </c>
      <c r="B91" t="s">
        <v>25</v>
      </c>
      <c r="C91" t="s">
        <v>380</v>
      </c>
      <c r="D91">
        <v>1.5</v>
      </c>
      <c r="E91" s="1">
        <v>1.5</v>
      </c>
      <c r="F91">
        <v>0</v>
      </c>
      <c r="G91">
        <v>1</v>
      </c>
      <c r="H91">
        <v>0</v>
      </c>
      <c r="I91">
        <v>25471</v>
      </c>
      <c r="J91" t="s">
        <v>285</v>
      </c>
      <c r="K91">
        <v>1</v>
      </c>
      <c r="M91">
        <v>1</v>
      </c>
      <c r="N91" s="1" t="str">
        <f>CONCATENATE(Table3[[#This Row],[Spell ID]])</f>
        <v>32239</v>
      </c>
      <c r="O91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["32239"] ={"Ebon Gryphon", 32239, 25471, 1.5, 1.5, 0, "Gryphon", "Gold", 1, 0},</v>
      </c>
      <c r="P91" s="1" t="str">
        <f>CONCATENATE("https://www.wowhead.com/wotlk/item=",Table3[[#This Row],[ItemID]])</f>
        <v>https://www.wowhead.com/wotlk/item=25471</v>
      </c>
    </row>
    <row r="92" spans="1:16" x14ac:dyDescent="0.35">
      <c r="A92">
        <v>32240</v>
      </c>
      <c r="B92" t="s">
        <v>56</v>
      </c>
      <c r="C92" t="s">
        <v>380</v>
      </c>
      <c r="D92">
        <v>1.5</v>
      </c>
      <c r="E92" s="1">
        <v>1.5</v>
      </c>
      <c r="F92">
        <v>0</v>
      </c>
      <c r="G92">
        <v>1</v>
      </c>
      <c r="H92">
        <v>0</v>
      </c>
      <c r="I92">
        <v>25472</v>
      </c>
      <c r="J92" t="s">
        <v>285</v>
      </c>
      <c r="K92">
        <v>1</v>
      </c>
      <c r="M92">
        <v>1</v>
      </c>
      <c r="N92" s="1" t="str">
        <f>CONCATENATE(Table3[[#This Row],[Spell ID]])</f>
        <v>32240</v>
      </c>
      <c r="O92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["32240"] ={"Snowy Gryphon", 32240, 25472, 1.5, 1.5, 0, "Gryphon", "Gold", 1, 0},</v>
      </c>
      <c r="P92" s="1" t="str">
        <f>CONCATENATE("https://www.wowhead.com/wotlk/item=",Table3[[#This Row],[ItemID]])</f>
        <v>https://www.wowhead.com/wotlk/item=25472</v>
      </c>
    </row>
    <row r="93" spans="1:16" x14ac:dyDescent="0.35">
      <c r="A93">
        <v>32242</v>
      </c>
      <c r="B93" t="s">
        <v>58</v>
      </c>
      <c r="C93" t="s">
        <v>380</v>
      </c>
      <c r="D93">
        <v>2.8</v>
      </c>
      <c r="E93" s="1">
        <v>2.8</v>
      </c>
      <c r="F93">
        <v>0</v>
      </c>
      <c r="G93">
        <v>1</v>
      </c>
      <c r="H93">
        <v>0</v>
      </c>
      <c r="I93">
        <v>25473</v>
      </c>
      <c r="J93" t="s">
        <v>285</v>
      </c>
      <c r="K93">
        <v>1</v>
      </c>
      <c r="M93">
        <v>1</v>
      </c>
      <c r="N93" s="1" t="str">
        <f>CONCATENATE(Table3[[#This Row],[Spell ID]])</f>
        <v>32242</v>
      </c>
      <c r="O93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["32242"] ={"Swift Blue Gryphon", 32242, 25473, 2.8, 2.8, 0, "Gryphon", "Gold", 1, 0},</v>
      </c>
      <c r="P93" s="1" t="str">
        <f>CONCATENATE("https://www.wowhead.com/wotlk/item=",Table3[[#This Row],[ItemID]])</f>
        <v>https://www.wowhead.com/wotlk/item=25473</v>
      </c>
    </row>
    <row r="94" spans="1:16" x14ac:dyDescent="0.35">
      <c r="A94">
        <v>32243</v>
      </c>
      <c r="B94" t="s">
        <v>67</v>
      </c>
      <c r="C94" t="s">
        <v>381</v>
      </c>
      <c r="D94">
        <v>1.5</v>
      </c>
      <c r="E94" s="1">
        <v>1.5</v>
      </c>
      <c r="F94">
        <v>0</v>
      </c>
      <c r="G94">
        <v>1</v>
      </c>
      <c r="H94">
        <v>0</v>
      </c>
      <c r="I94">
        <v>25474</v>
      </c>
      <c r="J94" t="s">
        <v>285</v>
      </c>
      <c r="L94">
        <v>1</v>
      </c>
      <c r="M94">
        <v>1</v>
      </c>
      <c r="N94" s="1" t="str">
        <f>CONCATENATE(Table3[[#This Row],[Spell ID]])</f>
        <v>32243</v>
      </c>
      <c r="O94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["32243"] ={"Tawny Wind Rider", 32243, 25474, 1.5, 1.5, 0, "Wind Rider", "Gold", 1, 0},</v>
      </c>
      <c r="P94" s="1" t="str">
        <f>CONCATENATE("https://www.wowhead.com/wotlk/item=",Table3[[#This Row],[ItemID]])</f>
        <v>https://www.wowhead.com/wotlk/item=25474</v>
      </c>
    </row>
    <row r="95" spans="1:16" x14ac:dyDescent="0.35">
      <c r="A95">
        <v>32244</v>
      </c>
      <c r="B95" t="s">
        <v>19</v>
      </c>
      <c r="C95" t="s">
        <v>381</v>
      </c>
      <c r="D95">
        <v>1.5</v>
      </c>
      <c r="E95" s="1">
        <v>1.5</v>
      </c>
      <c r="F95">
        <v>0</v>
      </c>
      <c r="G95">
        <v>1</v>
      </c>
      <c r="H95">
        <v>0</v>
      </c>
      <c r="I95">
        <v>25475</v>
      </c>
      <c r="J95" t="s">
        <v>285</v>
      </c>
      <c r="L95">
        <v>1</v>
      </c>
      <c r="M95">
        <v>1</v>
      </c>
      <c r="N95" s="1" t="str">
        <f>CONCATENATE(Table3[[#This Row],[Spell ID]])</f>
        <v>32244</v>
      </c>
      <c r="O95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["32244"] ={"Blue Wind Rider", 32244, 25475, 1.5, 1.5, 0, "Wind Rider", "Gold", 1, 0},</v>
      </c>
      <c r="P95" s="1" t="str">
        <f>CONCATENATE("https://www.wowhead.com/wotlk/item=",Table3[[#This Row],[ItemID]])</f>
        <v>https://www.wowhead.com/wotlk/item=25475</v>
      </c>
    </row>
    <row r="96" spans="1:16" x14ac:dyDescent="0.35">
      <c r="A96">
        <v>32245</v>
      </c>
      <c r="B96" t="s">
        <v>35</v>
      </c>
      <c r="C96" t="s">
        <v>381</v>
      </c>
      <c r="D96">
        <v>1.5</v>
      </c>
      <c r="E96" s="1">
        <v>1.5</v>
      </c>
      <c r="F96">
        <v>0</v>
      </c>
      <c r="G96">
        <v>1</v>
      </c>
      <c r="H96">
        <v>0</v>
      </c>
      <c r="I96">
        <v>25476</v>
      </c>
      <c r="J96" t="s">
        <v>285</v>
      </c>
      <c r="L96">
        <v>1</v>
      </c>
      <c r="M96">
        <v>1</v>
      </c>
      <c r="N96" s="1" t="str">
        <f>CONCATENATE(Table3[[#This Row],[Spell ID]])</f>
        <v>32245</v>
      </c>
      <c r="O96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["32245"] ={"Green Wind Rider", 32245, 25476, 1.5, 1.5, 0, "Wind Rider", "Gold", 1, 0},</v>
      </c>
      <c r="P96" s="1" t="str">
        <f>CONCATENATE("https://www.wowhead.com/wotlk/item=",Table3[[#This Row],[ItemID]])</f>
        <v>https://www.wowhead.com/wotlk/item=25476</v>
      </c>
    </row>
    <row r="97" spans="1:16" x14ac:dyDescent="0.35">
      <c r="A97">
        <v>32246</v>
      </c>
      <c r="B97" t="s">
        <v>65</v>
      </c>
      <c r="C97" t="s">
        <v>381</v>
      </c>
      <c r="D97">
        <v>2.8</v>
      </c>
      <c r="E97" s="1">
        <v>2.8</v>
      </c>
      <c r="F97">
        <v>0</v>
      </c>
      <c r="G97">
        <v>1</v>
      </c>
      <c r="H97">
        <v>0</v>
      </c>
      <c r="I97">
        <v>25477</v>
      </c>
      <c r="J97" t="s">
        <v>285</v>
      </c>
      <c r="L97">
        <v>1</v>
      </c>
      <c r="M97">
        <v>1</v>
      </c>
      <c r="N97" s="1" t="str">
        <f>CONCATENATE(Table3[[#This Row],[Spell ID]])</f>
        <v>32246</v>
      </c>
      <c r="O97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["32246"] ={"Swift Red Wind Rider", 32246, 25477, 2.8, 2.8, 0, "Wind Rider", "Gold", 1, 0},</v>
      </c>
      <c r="P97" s="1" t="str">
        <f>CONCATENATE("https://www.wowhead.com/wotlk/item=",Table3[[#This Row],[ItemID]])</f>
        <v>https://www.wowhead.com/wotlk/item=25477</v>
      </c>
    </row>
    <row r="98" spans="1:16" x14ac:dyDescent="0.35">
      <c r="A98">
        <v>32289</v>
      </c>
      <c r="B98" t="s">
        <v>64</v>
      </c>
      <c r="C98" t="s">
        <v>380</v>
      </c>
      <c r="D98">
        <v>2.8</v>
      </c>
      <c r="E98" s="1">
        <v>2.8</v>
      </c>
      <c r="F98">
        <v>0</v>
      </c>
      <c r="G98">
        <v>1</v>
      </c>
      <c r="H98">
        <v>0</v>
      </c>
      <c r="I98">
        <v>25527</v>
      </c>
      <c r="J98" t="s">
        <v>285</v>
      </c>
      <c r="K98">
        <v>1</v>
      </c>
      <c r="M98">
        <v>1</v>
      </c>
      <c r="N98" s="1" t="str">
        <f>CONCATENATE(Table3[[#This Row],[Spell ID]])</f>
        <v>32289</v>
      </c>
      <c r="O98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["32289"] ={"Swift Red Gryphon", 32289, 25527, 2.8, 2.8, 0, "Gryphon", "Gold", 1, 0},</v>
      </c>
      <c r="P98" s="1" t="str">
        <f>CONCATENATE("https://www.wowhead.com/wotlk/item=",Table3[[#This Row],[ItemID]])</f>
        <v>https://www.wowhead.com/wotlk/item=25527</v>
      </c>
    </row>
    <row r="99" spans="1:16" x14ac:dyDescent="0.35">
      <c r="A99">
        <v>32290</v>
      </c>
      <c r="B99" t="s">
        <v>59</v>
      </c>
      <c r="C99" t="s">
        <v>380</v>
      </c>
      <c r="D99">
        <v>2.8</v>
      </c>
      <c r="E99" s="1">
        <v>2.8</v>
      </c>
      <c r="F99">
        <v>0</v>
      </c>
      <c r="G99">
        <v>1</v>
      </c>
      <c r="H99">
        <v>0</v>
      </c>
      <c r="I99">
        <v>25528</v>
      </c>
      <c r="J99" t="s">
        <v>285</v>
      </c>
      <c r="K99">
        <v>1</v>
      </c>
      <c r="M99">
        <v>1</v>
      </c>
      <c r="N99" s="1" t="str">
        <f>CONCATENATE(Table3[[#This Row],[Spell ID]])</f>
        <v>32290</v>
      </c>
      <c r="O99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["32290"] ={"Swift Green Gryphon", 32290, 25528, 2.8, 2.8, 0, "Gryphon", "Gold", 1, 0},</v>
      </c>
      <c r="P99" s="1" t="str">
        <f>CONCATENATE("https://www.wowhead.com/wotlk/item=",Table3[[#This Row],[ItemID]])</f>
        <v>https://www.wowhead.com/wotlk/item=25528</v>
      </c>
    </row>
    <row r="100" spans="1:16" x14ac:dyDescent="0.35">
      <c r="A100">
        <v>32292</v>
      </c>
      <c r="B100" t="s">
        <v>62</v>
      </c>
      <c r="C100" t="s">
        <v>380</v>
      </c>
      <c r="D100">
        <v>2.8</v>
      </c>
      <c r="E100" s="1">
        <v>2.8</v>
      </c>
      <c r="F100">
        <v>0</v>
      </c>
      <c r="G100">
        <v>1</v>
      </c>
      <c r="H100">
        <v>0</v>
      </c>
      <c r="I100">
        <v>25529</v>
      </c>
      <c r="J100" t="s">
        <v>285</v>
      </c>
      <c r="K100">
        <v>1</v>
      </c>
      <c r="M100">
        <v>1</v>
      </c>
      <c r="N100" s="1" t="str">
        <f>CONCATENATE(Table3[[#This Row],[Spell ID]])</f>
        <v>32292</v>
      </c>
      <c r="O100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["32292"] ={"Swift Purple Gryphon", 32292, 25529, 2.8, 2.8, 0, "Gryphon", "Gold", 1, 0},</v>
      </c>
      <c r="P100" s="1" t="str">
        <f>CONCATENATE("https://www.wowhead.com/wotlk/item=",Table3[[#This Row],[ItemID]])</f>
        <v>https://www.wowhead.com/wotlk/item=25529</v>
      </c>
    </row>
    <row r="101" spans="1:16" x14ac:dyDescent="0.35">
      <c r="A101">
        <v>32295</v>
      </c>
      <c r="B101" t="s">
        <v>60</v>
      </c>
      <c r="C101" t="s">
        <v>381</v>
      </c>
      <c r="D101">
        <v>2.8</v>
      </c>
      <c r="E101" s="1">
        <v>2.8</v>
      </c>
      <c r="F101">
        <v>0</v>
      </c>
      <c r="G101">
        <v>1</v>
      </c>
      <c r="H101">
        <v>0</v>
      </c>
      <c r="I101">
        <v>25531</v>
      </c>
      <c r="J101" t="s">
        <v>285</v>
      </c>
      <c r="L101">
        <v>1</v>
      </c>
      <c r="M101">
        <v>1</v>
      </c>
      <c r="N101" s="1" t="str">
        <f>CONCATENATE(Table3[[#This Row],[Spell ID]])</f>
        <v>32295</v>
      </c>
      <c r="O101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["32295"] ={"Swift Green Wind Rider", 32295, 25531, 2.8, 2.8, 0, "Wind Rider", "Gold", 1, 0},</v>
      </c>
      <c r="P101" s="1" t="str">
        <f>CONCATENATE("https://www.wowhead.com/wotlk/item=",Table3[[#This Row],[ItemID]])</f>
        <v>https://www.wowhead.com/wotlk/item=25531</v>
      </c>
    </row>
    <row r="102" spans="1:16" x14ac:dyDescent="0.35">
      <c r="A102">
        <v>32296</v>
      </c>
      <c r="B102" t="s">
        <v>66</v>
      </c>
      <c r="C102" t="s">
        <v>381</v>
      </c>
      <c r="D102">
        <v>2.8</v>
      </c>
      <c r="E102" s="1">
        <v>2.8</v>
      </c>
      <c r="F102">
        <v>0</v>
      </c>
      <c r="G102">
        <v>1</v>
      </c>
      <c r="H102">
        <v>0</v>
      </c>
      <c r="I102">
        <v>25532</v>
      </c>
      <c r="J102" t="s">
        <v>285</v>
      </c>
      <c r="L102">
        <v>1</v>
      </c>
      <c r="M102">
        <v>1</v>
      </c>
      <c r="N102" s="1" t="str">
        <f>CONCATENATE(Table3[[#This Row],[Spell ID]])</f>
        <v>32296</v>
      </c>
      <c r="O102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["32296"] ={"Swift Yellow Wind Rider", 32296, 25532, 2.8, 2.8, 0, "Wind Rider", "Gold", 1, 0},</v>
      </c>
      <c r="P102" s="1" t="str">
        <f>CONCATENATE("https://www.wowhead.com/wotlk/item=",Table3[[#This Row],[ItemID]])</f>
        <v>https://www.wowhead.com/wotlk/item=25532</v>
      </c>
    </row>
    <row r="103" spans="1:16" x14ac:dyDescent="0.35">
      <c r="A103">
        <v>32297</v>
      </c>
      <c r="B103" t="s">
        <v>63</v>
      </c>
      <c r="C103" t="s">
        <v>381</v>
      </c>
      <c r="D103">
        <v>2.8</v>
      </c>
      <c r="E103" s="1">
        <v>2.8</v>
      </c>
      <c r="F103">
        <v>0</v>
      </c>
      <c r="G103">
        <v>1</v>
      </c>
      <c r="H103">
        <v>0</v>
      </c>
      <c r="I103">
        <v>25533</v>
      </c>
      <c r="J103" t="s">
        <v>285</v>
      </c>
      <c r="L103">
        <v>1</v>
      </c>
      <c r="M103">
        <v>1</v>
      </c>
      <c r="N103" s="1" t="str">
        <f>CONCATENATE(Table3[[#This Row],[Spell ID]])</f>
        <v>32297</v>
      </c>
      <c r="O103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["32297"] ={"Swift Purple Wind Rider", 32297, 25533, 2.8, 2.8, 0, "Wind Rider", "Gold", 1, 0},</v>
      </c>
      <c r="P103" s="1" t="str">
        <f>CONCATENATE("https://www.wowhead.com/wotlk/item=",Table3[[#This Row],[ItemID]])</f>
        <v>https://www.wowhead.com/wotlk/item=25533</v>
      </c>
    </row>
    <row r="104" spans="1:16" x14ac:dyDescent="0.35">
      <c r="A104">
        <v>33630</v>
      </c>
      <c r="B104" t="s">
        <v>107</v>
      </c>
      <c r="C104" t="s">
        <v>365</v>
      </c>
      <c r="D104">
        <v>0.6</v>
      </c>
      <c r="E104" s="1">
        <v>0.6</v>
      </c>
      <c r="F104">
        <v>0</v>
      </c>
      <c r="G104">
        <v>1</v>
      </c>
      <c r="H104">
        <v>0</v>
      </c>
      <c r="I104">
        <v>8595</v>
      </c>
      <c r="J104" t="s">
        <v>414</v>
      </c>
      <c r="K104">
        <v>1</v>
      </c>
      <c r="M104">
        <v>1</v>
      </c>
      <c r="N104" s="1" t="str">
        <f>CONCATENATE(Table3[[#This Row],[Spell ID]])</f>
        <v>33630</v>
      </c>
      <c r="O104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["33630"] ={"Blue Mechanostrider", 33630, 8595, 0.6, 0.6, 0, "Mechanostrider", "Exalted Gnomeragan", 1, 0},</v>
      </c>
      <c r="P104" s="1" t="str">
        <f>CONCATENATE("https://www.wowhead.com/wotlk/item=",Table3[[#This Row],[ItemID]])</f>
        <v>https://www.wowhead.com/wotlk/item=8595</v>
      </c>
    </row>
    <row r="105" spans="1:16" x14ac:dyDescent="0.35">
      <c r="A105">
        <v>33660</v>
      </c>
      <c r="B105" t="s">
        <v>232</v>
      </c>
      <c r="C105" t="s">
        <v>384</v>
      </c>
      <c r="D105">
        <v>1</v>
      </c>
      <c r="E105" s="1">
        <v>1</v>
      </c>
      <c r="F105">
        <v>0</v>
      </c>
      <c r="G105">
        <v>1</v>
      </c>
      <c r="H105">
        <v>0</v>
      </c>
      <c r="I105">
        <v>28936</v>
      </c>
      <c r="J105" t="s">
        <v>285</v>
      </c>
      <c r="L105">
        <v>1</v>
      </c>
      <c r="M105">
        <v>1</v>
      </c>
      <c r="N105" s="1" t="str">
        <f>CONCATENATE(Table3[[#This Row],[Spell ID]])</f>
        <v>33660</v>
      </c>
      <c r="O105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["33660"] ={"Swift Pink Hawkstrider", 33660, 28936, 1, 1, 0, "Hawkstrider", "Gold", 1, 0},</v>
      </c>
      <c r="P105" s="1" t="str">
        <f>CONCATENATE("https://www.wowhead.com/wotlk/item=",Table3[[#This Row],[ItemID]])</f>
        <v>https://www.wowhead.com/wotlk/item=28936</v>
      </c>
    </row>
    <row r="106" spans="1:16" x14ac:dyDescent="0.35">
      <c r="A106">
        <v>34406</v>
      </c>
      <c r="B106" t="s">
        <v>115</v>
      </c>
      <c r="C106" t="s">
        <v>367</v>
      </c>
      <c r="D106">
        <v>0.6</v>
      </c>
      <c r="E106" s="1">
        <v>0.6</v>
      </c>
      <c r="F106">
        <v>0</v>
      </c>
      <c r="G106">
        <v>1</v>
      </c>
      <c r="H106">
        <v>0</v>
      </c>
      <c r="I106">
        <v>28481</v>
      </c>
      <c r="J106" t="s">
        <v>416</v>
      </c>
      <c r="K106">
        <v>1</v>
      </c>
      <c r="M106">
        <v>1</v>
      </c>
      <c r="N106" s="1" t="str">
        <f>CONCATENATE(Table3[[#This Row],[Spell ID]])</f>
        <v>34406</v>
      </c>
      <c r="O106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["34406"] ={"Brown Elekk", 34406, 28481, 0.6, 0.6, 0, "Elekk", "Exalted Exodar", 1, 0},</v>
      </c>
      <c r="P106" s="1" t="str">
        <f>CONCATENATE("https://www.wowhead.com/wotlk/item=",Table3[[#This Row],[ItemID]])</f>
        <v>https://www.wowhead.com/wotlk/item=28481</v>
      </c>
    </row>
    <row r="107" spans="1:16" x14ac:dyDescent="0.35">
      <c r="A107">
        <v>34767</v>
      </c>
      <c r="B107" t="s">
        <v>209</v>
      </c>
      <c r="C107" t="s">
        <v>307</v>
      </c>
      <c r="D107">
        <v>1</v>
      </c>
      <c r="E107" s="1">
        <v>1</v>
      </c>
      <c r="F107">
        <v>0</v>
      </c>
      <c r="G107">
        <v>1</v>
      </c>
      <c r="H107">
        <v>0</v>
      </c>
      <c r="I107">
        <v>0</v>
      </c>
      <c r="J107" t="s">
        <v>363</v>
      </c>
      <c r="K107">
        <v>1</v>
      </c>
      <c r="L107">
        <v>1</v>
      </c>
      <c r="M107">
        <v>1</v>
      </c>
      <c r="N107" s="1" t="str">
        <f>CONCATENATE(Table3[[#This Row],[Spell ID]])</f>
        <v>34767</v>
      </c>
      <c r="O107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["34767"] ={"Summon Charger", 34767, 0, 1, 1, 0, "Paladin", "Duplicate", 1, 0},</v>
      </c>
      <c r="P107" s="1" t="str">
        <f>CONCATENATE("https://www.wowhead.com/wotlk/item=",Table3[[#This Row],[ItemID]])</f>
        <v>https://www.wowhead.com/wotlk/item=0</v>
      </c>
    </row>
    <row r="108" spans="1:16" x14ac:dyDescent="0.35">
      <c r="A108">
        <v>34769</v>
      </c>
      <c r="B108" t="s">
        <v>210</v>
      </c>
      <c r="C108" t="s">
        <v>307</v>
      </c>
      <c r="D108">
        <v>0.6</v>
      </c>
      <c r="E108" s="1">
        <v>0.6</v>
      </c>
      <c r="F108">
        <v>0</v>
      </c>
      <c r="G108">
        <v>1</v>
      </c>
      <c r="H108">
        <v>0</v>
      </c>
      <c r="I108">
        <v>0</v>
      </c>
      <c r="J108" t="s">
        <v>363</v>
      </c>
      <c r="K108">
        <v>1</v>
      </c>
      <c r="L108">
        <v>1</v>
      </c>
      <c r="M108">
        <v>1</v>
      </c>
      <c r="N108" s="1" t="str">
        <f>CONCATENATE(Table3[[#This Row],[Spell ID]])</f>
        <v>34769</v>
      </c>
      <c r="O108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["34769"] ={"Summon Warhorse", 34769, 0, 0.6, 0.6, 0, "Paladin", "Duplicate", 1, 0},</v>
      </c>
      <c r="P108" s="1" t="str">
        <f>CONCATENATE("https://www.wowhead.com/wotlk/item=",Table3[[#This Row],[ItemID]])</f>
        <v>https://www.wowhead.com/wotlk/item=0</v>
      </c>
    </row>
    <row r="109" spans="1:16" x14ac:dyDescent="0.35">
      <c r="A109">
        <v>34790</v>
      </c>
      <c r="B109" t="s">
        <v>130</v>
      </c>
      <c r="C109" t="s">
        <v>383</v>
      </c>
      <c r="D109">
        <v>1</v>
      </c>
      <c r="E109" s="1">
        <v>1</v>
      </c>
      <c r="F109">
        <v>0</v>
      </c>
      <c r="G109">
        <v>1</v>
      </c>
      <c r="H109">
        <v>0</v>
      </c>
      <c r="I109">
        <v>29228</v>
      </c>
      <c r="J109" t="s">
        <v>364</v>
      </c>
      <c r="K109">
        <v>1</v>
      </c>
      <c r="L109">
        <v>1</v>
      </c>
      <c r="M109">
        <v>1</v>
      </c>
      <c r="N109" s="1" t="str">
        <f>CONCATENATE(Table3[[#This Row],[Spell ID]])</f>
        <v>34790</v>
      </c>
      <c r="O109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["34790"] ={"Dark War Talbuk", 34790, 29228, 1, 1, 0, "Talbuk", "Hala tokens", 1, 0},</v>
      </c>
      <c r="P109" s="1" t="str">
        <f>CONCATENATE("https://www.wowhead.com/wotlk/item=",Table3[[#This Row],[ItemID]])</f>
        <v>https://www.wowhead.com/wotlk/item=29228</v>
      </c>
    </row>
    <row r="110" spans="1:16" x14ac:dyDescent="0.35">
      <c r="A110">
        <v>34795</v>
      </c>
      <c r="B110" t="s">
        <v>189</v>
      </c>
      <c r="C110" t="s">
        <v>384</v>
      </c>
      <c r="D110">
        <v>0.6</v>
      </c>
      <c r="E110" s="1">
        <v>0.6</v>
      </c>
      <c r="F110">
        <v>0</v>
      </c>
      <c r="G110">
        <v>1</v>
      </c>
      <c r="H110">
        <v>0</v>
      </c>
      <c r="I110">
        <v>28927</v>
      </c>
      <c r="J110" t="s">
        <v>285</v>
      </c>
      <c r="L110">
        <v>1</v>
      </c>
      <c r="M110">
        <v>1</v>
      </c>
      <c r="N110" s="1" t="str">
        <f>CONCATENATE(Table3[[#This Row],[Spell ID]])</f>
        <v>34795</v>
      </c>
      <c r="O110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["34795"] ={"Red Hawkstrider", 34795, 28927, 0.6, 0.6, 0, "Hawkstrider", "Gold", 1, 0},</v>
      </c>
      <c r="P110" s="1" t="str">
        <f>CONCATENATE("https://www.wowhead.com/wotlk/item=",Table3[[#This Row],[ItemID]])</f>
        <v>https://www.wowhead.com/wotlk/item=28927</v>
      </c>
    </row>
    <row r="111" spans="1:16" x14ac:dyDescent="0.35">
      <c r="A111">
        <v>34896</v>
      </c>
      <c r="B111" t="s">
        <v>125</v>
      </c>
      <c r="C111" t="s">
        <v>383</v>
      </c>
      <c r="D111">
        <v>1</v>
      </c>
      <c r="E111" s="1">
        <v>1</v>
      </c>
      <c r="F111">
        <v>0</v>
      </c>
      <c r="G111">
        <v>1</v>
      </c>
      <c r="H111">
        <v>0</v>
      </c>
      <c r="I111">
        <v>29227</v>
      </c>
      <c r="J111" t="s">
        <v>417</v>
      </c>
      <c r="K111">
        <v>1</v>
      </c>
      <c r="M111">
        <v>1</v>
      </c>
      <c r="N111" s="1" t="str">
        <f>CONCATENATE(Table3[[#This Row],[Spell ID]])</f>
        <v>34896</v>
      </c>
      <c r="O111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["34896"] ={"Cobalt War Talbuk", 34896, 29227, 1, 1, 0, "Talbuk", "Exalted Kurenai", 1, 0},</v>
      </c>
      <c r="P111" s="1" t="str">
        <f>CONCATENATE("https://www.wowhead.com/wotlk/item=",Table3[[#This Row],[ItemID]])</f>
        <v>https://www.wowhead.com/wotlk/item=29227</v>
      </c>
    </row>
    <row r="112" spans="1:16" x14ac:dyDescent="0.35">
      <c r="A112">
        <v>34897</v>
      </c>
      <c r="B112" t="s">
        <v>270</v>
      </c>
      <c r="C112" t="s">
        <v>383</v>
      </c>
      <c r="D112">
        <v>1</v>
      </c>
      <c r="E112" s="1">
        <v>1</v>
      </c>
      <c r="F112">
        <v>0</v>
      </c>
      <c r="G112">
        <v>1</v>
      </c>
      <c r="H112">
        <v>0</v>
      </c>
      <c r="I112">
        <v>29231</v>
      </c>
      <c r="J112" t="s">
        <v>417</v>
      </c>
      <c r="K112">
        <v>1</v>
      </c>
      <c r="M112">
        <v>1</v>
      </c>
      <c r="N112" s="1" t="str">
        <f>CONCATENATE(Table3[[#This Row],[Spell ID]])</f>
        <v>34897</v>
      </c>
      <c r="O112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["34897"] ={"White War Talbuk", 34897, 29231, 1, 1, 0, "Talbuk", "Exalted Kurenai", 1, 0},</v>
      </c>
      <c r="P112" s="1" t="str">
        <f>CONCATENATE("https://www.wowhead.com/wotlk/item=",Table3[[#This Row],[ItemID]])</f>
        <v>https://www.wowhead.com/wotlk/item=29231</v>
      </c>
    </row>
    <row r="113" spans="1:16" x14ac:dyDescent="0.35">
      <c r="A113">
        <v>34898</v>
      </c>
      <c r="B113" t="s">
        <v>198</v>
      </c>
      <c r="C113" t="s">
        <v>383</v>
      </c>
      <c r="D113">
        <v>1</v>
      </c>
      <c r="E113" s="1">
        <v>1</v>
      </c>
      <c r="F113">
        <v>0</v>
      </c>
      <c r="G113">
        <v>1</v>
      </c>
      <c r="H113">
        <v>0</v>
      </c>
      <c r="I113">
        <v>29229</v>
      </c>
      <c r="J113" t="s">
        <v>417</v>
      </c>
      <c r="K113">
        <v>1</v>
      </c>
      <c r="M113">
        <v>1</v>
      </c>
      <c r="N113" s="1" t="str">
        <f>CONCATENATE(Table3[[#This Row],[Spell ID]])</f>
        <v>34898</v>
      </c>
      <c r="O113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["34898"] ={"Silver War Talbuk", 34898, 29229, 1, 1, 0, "Talbuk", "Exalted Kurenai", 1, 0},</v>
      </c>
      <c r="P113" s="1" t="str">
        <f>CONCATENATE("https://www.wowhead.com/wotlk/item=",Table3[[#This Row],[ItemID]])</f>
        <v>https://www.wowhead.com/wotlk/item=29229</v>
      </c>
    </row>
    <row r="114" spans="1:16" x14ac:dyDescent="0.35">
      <c r="A114">
        <v>34899</v>
      </c>
      <c r="B114" t="s">
        <v>251</v>
      </c>
      <c r="C114" t="s">
        <v>383</v>
      </c>
      <c r="D114">
        <v>1</v>
      </c>
      <c r="E114" s="1">
        <v>1</v>
      </c>
      <c r="F114">
        <v>0</v>
      </c>
      <c r="G114">
        <v>1</v>
      </c>
      <c r="H114">
        <v>0</v>
      </c>
      <c r="I114">
        <v>29230</v>
      </c>
      <c r="J114" t="s">
        <v>417</v>
      </c>
      <c r="K114">
        <v>1</v>
      </c>
      <c r="M114">
        <v>1</v>
      </c>
      <c r="N114" s="1" t="str">
        <f>CONCATENATE(Table3[[#This Row],[Spell ID]])</f>
        <v>34899</v>
      </c>
      <c r="O114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["34899"] ={"Tan War Talbuk", 34899, 29230, 1, 1, 0, "Talbuk", "Exalted Kurenai", 1, 0},</v>
      </c>
      <c r="P114" s="1" t="str">
        <f>CONCATENATE("https://www.wowhead.com/wotlk/item=",Table3[[#This Row],[ItemID]])</f>
        <v>https://www.wowhead.com/wotlk/item=29230</v>
      </c>
    </row>
    <row r="115" spans="1:16" x14ac:dyDescent="0.35">
      <c r="A115">
        <v>35018</v>
      </c>
      <c r="B115" t="s">
        <v>183</v>
      </c>
      <c r="C115" t="s">
        <v>384</v>
      </c>
      <c r="D115">
        <v>0.6</v>
      </c>
      <c r="E115" s="1">
        <v>0.6</v>
      </c>
      <c r="F115">
        <v>0</v>
      </c>
      <c r="G115">
        <v>1</v>
      </c>
      <c r="H115">
        <v>0</v>
      </c>
      <c r="I115">
        <v>29222</v>
      </c>
      <c r="J115" t="s">
        <v>285</v>
      </c>
      <c r="L115">
        <v>1</v>
      </c>
      <c r="M115">
        <v>1</v>
      </c>
      <c r="N115" s="1" t="str">
        <f>CONCATENATE(Table3[[#This Row],[Spell ID]])</f>
        <v>35018</v>
      </c>
      <c r="O115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["35018"] ={"Purple Hawkstrider", 35018, 29222, 0.6, 0.6, 0, "Hawkstrider", "Gold", 1, 0},</v>
      </c>
      <c r="P115" s="1" t="str">
        <f>CONCATENATE("https://www.wowhead.com/wotlk/item=",Table3[[#This Row],[ItemID]])</f>
        <v>https://www.wowhead.com/wotlk/item=29222</v>
      </c>
    </row>
    <row r="116" spans="1:16" x14ac:dyDescent="0.35">
      <c r="A116">
        <v>35020</v>
      </c>
      <c r="B116" t="s">
        <v>106</v>
      </c>
      <c r="C116" t="s">
        <v>384</v>
      </c>
      <c r="D116">
        <v>0.6</v>
      </c>
      <c r="E116" s="1">
        <v>0.6</v>
      </c>
      <c r="F116">
        <v>0</v>
      </c>
      <c r="G116">
        <v>1</v>
      </c>
      <c r="H116">
        <v>0</v>
      </c>
      <c r="I116">
        <v>29220</v>
      </c>
      <c r="J116" t="s">
        <v>285</v>
      </c>
      <c r="L116">
        <v>1</v>
      </c>
      <c r="M116">
        <v>1</v>
      </c>
      <c r="N116" s="1" t="str">
        <f>CONCATENATE(Table3[[#This Row],[Spell ID]])</f>
        <v>35020</v>
      </c>
      <c r="O116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["35020"] ={"Blue Hawkstrider", 35020, 29220, 0.6, 0.6, 0, "Hawkstrider", "Gold", 1, 0},</v>
      </c>
      <c r="P116" s="1" t="str">
        <f>CONCATENATE("https://www.wowhead.com/wotlk/item=",Table3[[#This Row],[ItemID]])</f>
        <v>https://www.wowhead.com/wotlk/item=29220</v>
      </c>
    </row>
    <row r="117" spans="1:16" x14ac:dyDescent="0.35">
      <c r="A117">
        <v>35022</v>
      </c>
      <c r="B117" t="s">
        <v>89</v>
      </c>
      <c r="C117" t="s">
        <v>384</v>
      </c>
      <c r="D117">
        <v>0.6</v>
      </c>
      <c r="E117" s="1">
        <v>0.6</v>
      </c>
      <c r="F117">
        <v>0</v>
      </c>
      <c r="G117">
        <v>1</v>
      </c>
      <c r="H117">
        <v>0</v>
      </c>
      <c r="I117">
        <v>29221</v>
      </c>
      <c r="J117" t="s">
        <v>285</v>
      </c>
      <c r="L117">
        <v>1</v>
      </c>
      <c r="M117">
        <v>1</v>
      </c>
      <c r="N117" s="1" t="str">
        <f>CONCATENATE(Table3[[#This Row],[Spell ID]])</f>
        <v>35022</v>
      </c>
      <c r="O117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["35022"] ={"Black Hawkstrider", 35022, 29221, 0.6, 0.6, 0, "Hawkstrider", "Gold", 1, 0},</v>
      </c>
      <c r="P117" s="1" t="str">
        <f>CONCATENATE("https://www.wowhead.com/wotlk/item=",Table3[[#This Row],[ItemID]])</f>
        <v>https://www.wowhead.com/wotlk/item=29221</v>
      </c>
    </row>
    <row r="118" spans="1:16" x14ac:dyDescent="0.35">
      <c r="A118">
        <v>35025</v>
      </c>
      <c r="B118" t="s">
        <v>224</v>
      </c>
      <c r="C118" t="s">
        <v>384</v>
      </c>
      <c r="D118">
        <v>1</v>
      </c>
      <c r="E118" s="1">
        <v>1</v>
      </c>
      <c r="F118">
        <v>0</v>
      </c>
      <c r="G118">
        <v>1</v>
      </c>
      <c r="H118">
        <v>0</v>
      </c>
      <c r="I118">
        <v>29223</v>
      </c>
      <c r="J118" t="s">
        <v>285</v>
      </c>
      <c r="L118">
        <v>1</v>
      </c>
      <c r="M118">
        <v>1</v>
      </c>
      <c r="N118" s="1" t="str">
        <f>CONCATENATE(Table3[[#This Row],[Spell ID]])</f>
        <v>35025</v>
      </c>
      <c r="O118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["35025"] ={"Swift Green Hawkstrider", 35025, 29223, 1, 1, 0, "Hawkstrider", "Gold", 1, 0},</v>
      </c>
      <c r="P118" s="1" t="str">
        <f>CONCATENATE("https://www.wowhead.com/wotlk/item=",Table3[[#This Row],[ItemID]])</f>
        <v>https://www.wowhead.com/wotlk/item=29223</v>
      </c>
    </row>
    <row r="119" spans="1:16" x14ac:dyDescent="0.35">
      <c r="A119">
        <v>35027</v>
      </c>
      <c r="B119" t="s">
        <v>233</v>
      </c>
      <c r="C119" t="s">
        <v>384</v>
      </c>
      <c r="D119">
        <v>1</v>
      </c>
      <c r="E119" s="1">
        <v>1</v>
      </c>
      <c r="F119">
        <v>0</v>
      </c>
      <c r="G119">
        <v>1</v>
      </c>
      <c r="H119">
        <v>0</v>
      </c>
      <c r="I119">
        <v>29224</v>
      </c>
      <c r="J119" t="s">
        <v>285</v>
      </c>
      <c r="L119">
        <v>1</v>
      </c>
      <c r="M119">
        <v>1</v>
      </c>
      <c r="N119" s="1" t="str">
        <f>CONCATENATE(Table3[[#This Row],[Spell ID]])</f>
        <v>35027</v>
      </c>
      <c r="O119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["35027"] ={"Swift Purple Hawkstrider", 35027, 29224, 1, 1, 0, "Hawkstrider", "Gold", 1, 0},</v>
      </c>
      <c r="P119" s="1" t="str">
        <f>CONCATENATE("https://www.wowhead.com/wotlk/item=",Table3[[#This Row],[ItemID]])</f>
        <v>https://www.wowhead.com/wotlk/item=29224</v>
      </c>
    </row>
    <row r="120" spans="1:16" x14ac:dyDescent="0.35">
      <c r="A120">
        <v>35028</v>
      </c>
      <c r="B120" t="s">
        <v>242</v>
      </c>
      <c r="C120" t="s">
        <v>384</v>
      </c>
      <c r="D120">
        <v>1</v>
      </c>
      <c r="E120" s="1">
        <v>1</v>
      </c>
      <c r="F120">
        <v>0</v>
      </c>
      <c r="G120">
        <v>1</v>
      </c>
      <c r="H120">
        <v>0</v>
      </c>
      <c r="I120">
        <v>34129</v>
      </c>
      <c r="J120" t="s">
        <v>403</v>
      </c>
      <c r="L120">
        <v>1</v>
      </c>
      <c r="M120">
        <v>1</v>
      </c>
      <c r="N120" s="1" t="str">
        <f>CONCATENATE(Table3[[#This Row],[Spell ID]])</f>
        <v>35028</v>
      </c>
      <c r="O120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["35028"] ={"Swift Warstrider", 35028, 34129, 1, 1, 0, "Hawkstrider", "Honor", 1, 0},</v>
      </c>
      <c r="P120" s="1" t="str">
        <f>CONCATENATE("https://www.wowhead.com/wotlk/item=",Table3[[#This Row],[ItemID]])</f>
        <v>https://www.wowhead.com/wotlk/item=34129</v>
      </c>
    </row>
    <row r="121" spans="1:16" x14ac:dyDescent="0.35">
      <c r="A121">
        <v>35710</v>
      </c>
      <c r="B121" t="s">
        <v>148</v>
      </c>
      <c r="C121" t="s">
        <v>367</v>
      </c>
      <c r="D121">
        <v>0.6</v>
      </c>
      <c r="E121" s="1">
        <v>0.6</v>
      </c>
      <c r="F121">
        <v>0</v>
      </c>
      <c r="G121">
        <v>1</v>
      </c>
      <c r="H121">
        <v>0</v>
      </c>
      <c r="I121">
        <v>29744</v>
      </c>
      <c r="J121" t="s">
        <v>416</v>
      </c>
      <c r="K121">
        <v>1</v>
      </c>
      <c r="M121">
        <v>1</v>
      </c>
      <c r="N121" s="1" t="str">
        <f>CONCATENATE(Table3[[#This Row],[Spell ID]])</f>
        <v>35710</v>
      </c>
      <c r="O121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["35710"] ={"Gray Elekk", 35710, 29744, 0.6, 0.6, 0, "Elekk", "Exalted Exodar", 1, 0},</v>
      </c>
      <c r="P121" s="1" t="str">
        <f>CONCATENATE("https://www.wowhead.com/wotlk/item=",Table3[[#This Row],[ItemID]])</f>
        <v>https://www.wowhead.com/wotlk/item=29744</v>
      </c>
    </row>
    <row r="122" spans="1:16" x14ac:dyDescent="0.35">
      <c r="A122">
        <v>35711</v>
      </c>
      <c r="B122" t="s">
        <v>182</v>
      </c>
      <c r="C122" t="s">
        <v>367</v>
      </c>
      <c r="D122">
        <v>0.6</v>
      </c>
      <c r="E122" s="1">
        <v>0.6</v>
      </c>
      <c r="F122">
        <v>0</v>
      </c>
      <c r="G122">
        <v>1</v>
      </c>
      <c r="H122">
        <v>0</v>
      </c>
      <c r="I122">
        <v>29743</v>
      </c>
      <c r="J122" t="s">
        <v>416</v>
      </c>
      <c r="K122">
        <v>1</v>
      </c>
      <c r="M122">
        <v>1</v>
      </c>
      <c r="N122" s="1" t="str">
        <f>CONCATENATE(Table3[[#This Row],[Spell ID]])</f>
        <v>35711</v>
      </c>
      <c r="O122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["35711"] ={"Purple Elekk", 35711, 29743, 0.6, 0.6, 0, "Elekk", "Exalted Exodar", 1, 0},</v>
      </c>
      <c r="P122" s="1" t="str">
        <f>CONCATENATE("https://www.wowhead.com/wotlk/item=",Table3[[#This Row],[ItemID]])</f>
        <v>https://www.wowhead.com/wotlk/item=29743</v>
      </c>
    </row>
    <row r="123" spans="1:16" x14ac:dyDescent="0.35">
      <c r="A123">
        <v>35712</v>
      </c>
      <c r="B123" t="s">
        <v>158</v>
      </c>
      <c r="C123" t="s">
        <v>367</v>
      </c>
      <c r="D123">
        <v>1</v>
      </c>
      <c r="E123" s="1">
        <v>1</v>
      </c>
      <c r="F123">
        <v>0</v>
      </c>
      <c r="G123">
        <v>1</v>
      </c>
      <c r="H123">
        <v>0</v>
      </c>
      <c r="I123">
        <v>29746</v>
      </c>
      <c r="J123" t="s">
        <v>416</v>
      </c>
      <c r="K123">
        <v>1</v>
      </c>
      <c r="M123">
        <v>1</v>
      </c>
      <c r="N123" s="1" t="str">
        <f>CONCATENATE(Table3[[#This Row],[Spell ID]])</f>
        <v>35712</v>
      </c>
      <c r="O123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["35712"] ={"Great Green Elekk", 35712, 29746, 1, 1, 0, "Elekk", "Exalted Exodar", 1, 0},</v>
      </c>
      <c r="P123" s="1" t="str">
        <f>CONCATENATE("https://www.wowhead.com/wotlk/item=",Table3[[#This Row],[ItemID]])</f>
        <v>https://www.wowhead.com/wotlk/item=29746</v>
      </c>
    </row>
    <row r="124" spans="1:16" x14ac:dyDescent="0.35">
      <c r="A124">
        <v>35713</v>
      </c>
      <c r="B124" t="s">
        <v>152</v>
      </c>
      <c r="C124" t="s">
        <v>367</v>
      </c>
      <c r="D124">
        <v>1</v>
      </c>
      <c r="E124" s="1">
        <v>1</v>
      </c>
      <c r="F124">
        <v>0</v>
      </c>
      <c r="G124">
        <v>1</v>
      </c>
      <c r="H124">
        <v>0</v>
      </c>
      <c r="I124">
        <v>29745</v>
      </c>
      <c r="J124" t="s">
        <v>416</v>
      </c>
      <c r="K124">
        <v>1</v>
      </c>
      <c r="M124">
        <v>1</v>
      </c>
      <c r="N124" s="1" t="str">
        <f>CONCATENATE(Table3[[#This Row],[Spell ID]])</f>
        <v>35713</v>
      </c>
      <c r="O124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["35713"] ={"Great Blue Elekk", 35713, 29745, 1, 1, 0, "Elekk", "Exalted Exodar", 1, 0},</v>
      </c>
      <c r="P124" s="1" t="str">
        <f>CONCATENATE("https://www.wowhead.com/wotlk/item=",Table3[[#This Row],[ItemID]])</f>
        <v>https://www.wowhead.com/wotlk/item=29745</v>
      </c>
    </row>
    <row r="125" spans="1:16" x14ac:dyDescent="0.35">
      <c r="A125">
        <v>35714</v>
      </c>
      <c r="B125" t="s">
        <v>159</v>
      </c>
      <c r="C125" t="s">
        <v>367</v>
      </c>
      <c r="D125">
        <v>1</v>
      </c>
      <c r="E125" s="1">
        <v>1</v>
      </c>
      <c r="F125">
        <v>0</v>
      </c>
      <c r="G125">
        <v>1</v>
      </c>
      <c r="H125">
        <v>0</v>
      </c>
      <c r="I125">
        <v>29747</v>
      </c>
      <c r="J125" t="s">
        <v>416</v>
      </c>
      <c r="K125">
        <v>1</v>
      </c>
      <c r="M125">
        <v>1</v>
      </c>
      <c r="N125" s="1" t="str">
        <f>CONCATENATE(Table3[[#This Row],[Spell ID]])</f>
        <v>35714</v>
      </c>
      <c r="O125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["35714"] ={"Great Purple Elekk", 35714, 29747, 1, 1, 0, "Elekk", "Exalted Exodar", 1, 0},</v>
      </c>
      <c r="P125" s="1" t="str">
        <f>CONCATENATE("https://www.wowhead.com/wotlk/item=",Table3[[#This Row],[ItemID]])</f>
        <v>https://www.wowhead.com/wotlk/item=29747</v>
      </c>
    </row>
    <row r="126" spans="1:16" x14ac:dyDescent="0.35">
      <c r="A126">
        <v>36702</v>
      </c>
      <c r="B126" t="s">
        <v>138</v>
      </c>
      <c r="C126" t="s">
        <v>369</v>
      </c>
      <c r="D126">
        <v>1</v>
      </c>
      <c r="E126" s="1">
        <v>1</v>
      </c>
      <c r="F126">
        <v>0</v>
      </c>
      <c r="G126">
        <v>1</v>
      </c>
      <c r="H126">
        <v>0</v>
      </c>
      <c r="I126">
        <v>30480</v>
      </c>
      <c r="J126" t="s">
        <v>312</v>
      </c>
      <c r="K126">
        <v>1</v>
      </c>
      <c r="L126">
        <v>1</v>
      </c>
      <c r="M126">
        <v>1</v>
      </c>
      <c r="N126" s="1" t="str">
        <f>CONCATENATE(Table3[[#This Row],[Spell ID]])</f>
        <v>36702</v>
      </c>
      <c r="O126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["36702"] ={"Fiery Warhorse", 36702, 30480, 1, 1, 0, "Horse", "Drop Kara", 1, 0},</v>
      </c>
      <c r="P126" s="1" t="str">
        <f>CONCATENATE("https://www.wowhead.com/wotlk/item=",Table3[[#This Row],[ItemID]])</f>
        <v>https://www.wowhead.com/wotlk/item=30480</v>
      </c>
    </row>
    <row r="127" spans="1:16" x14ac:dyDescent="0.35">
      <c r="A127">
        <v>37015</v>
      </c>
      <c r="B127" t="s">
        <v>61</v>
      </c>
      <c r="C127" t="s">
        <v>41</v>
      </c>
      <c r="D127">
        <v>3.1</v>
      </c>
      <c r="E127" s="1">
        <v>3.1</v>
      </c>
      <c r="F127">
        <v>0</v>
      </c>
      <c r="G127">
        <v>1</v>
      </c>
      <c r="H127">
        <v>0</v>
      </c>
      <c r="I127">
        <v>30609</v>
      </c>
      <c r="J127" t="s">
        <v>305</v>
      </c>
      <c r="K127">
        <v>1</v>
      </c>
      <c r="L127">
        <v>1</v>
      </c>
      <c r="M127">
        <v>1</v>
      </c>
      <c r="N127" s="1" t="str">
        <f>CONCATENATE(Table3[[#This Row],[Spell ID]])</f>
        <v>37015</v>
      </c>
      <c r="O127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["37015"] ={"Swift Nether Drake", 37015, 30609, 3.1, 3.1, 0, "Nether Drake", "Gladiator", 1, 0},</v>
      </c>
      <c r="P127" s="1" t="str">
        <f>CONCATENATE("https://www.wowhead.com/wotlk/item=",Table3[[#This Row],[ItemID]])</f>
        <v>https://www.wowhead.com/wotlk/item=30609</v>
      </c>
    </row>
    <row r="128" spans="1:16" x14ac:dyDescent="0.35">
      <c r="A128">
        <v>39315</v>
      </c>
      <c r="B128" t="s">
        <v>124</v>
      </c>
      <c r="C128" t="s">
        <v>383</v>
      </c>
      <c r="D128">
        <v>1</v>
      </c>
      <c r="E128" s="1">
        <v>1</v>
      </c>
      <c r="F128">
        <v>0</v>
      </c>
      <c r="G128">
        <v>1</v>
      </c>
      <c r="H128">
        <v>0</v>
      </c>
      <c r="I128">
        <v>31830</v>
      </c>
      <c r="J128" t="s">
        <v>417</v>
      </c>
      <c r="K128">
        <v>1</v>
      </c>
      <c r="M128">
        <v>1</v>
      </c>
      <c r="N128" s="1" t="str">
        <f>CONCATENATE(Table3[[#This Row],[Spell ID]])</f>
        <v>39315</v>
      </c>
      <c r="O128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["39315"] ={"Cobalt Riding Talbuk", 39315, 31830, 1, 1, 0, "Talbuk", "Exalted Kurenai", 1, 0},</v>
      </c>
      <c r="P128" s="1" t="str">
        <f>CONCATENATE("https://www.wowhead.com/wotlk/item=",Table3[[#This Row],[ItemID]])</f>
        <v>https://www.wowhead.com/wotlk/item=31830</v>
      </c>
    </row>
    <row r="129" spans="1:16" x14ac:dyDescent="0.35">
      <c r="A129">
        <v>39316</v>
      </c>
      <c r="B129" t="s">
        <v>129</v>
      </c>
      <c r="C129" t="s">
        <v>383</v>
      </c>
      <c r="D129">
        <v>1</v>
      </c>
      <c r="E129" s="1">
        <v>1</v>
      </c>
      <c r="F129">
        <v>0</v>
      </c>
      <c r="G129">
        <v>1</v>
      </c>
      <c r="H129">
        <v>0</v>
      </c>
      <c r="I129">
        <v>28915</v>
      </c>
      <c r="J129" t="s">
        <v>364</v>
      </c>
      <c r="K129">
        <v>1</v>
      </c>
      <c r="L129">
        <v>1</v>
      </c>
      <c r="M129">
        <v>1</v>
      </c>
      <c r="N129" s="1" t="str">
        <f>CONCATENATE(Table3[[#This Row],[Spell ID]])</f>
        <v>39316</v>
      </c>
      <c r="O129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["39316"] ={"Dark Riding Talbuk", 39316, 28915, 1, 1, 0, "Talbuk", "Hala tokens", 1, 0},</v>
      </c>
      <c r="P129" s="1" t="str">
        <f>CONCATENATE("https://www.wowhead.com/wotlk/item=",Table3[[#This Row],[ItemID]])</f>
        <v>https://www.wowhead.com/wotlk/item=28915</v>
      </c>
    </row>
    <row r="130" spans="1:16" x14ac:dyDescent="0.35">
      <c r="A130">
        <v>39317</v>
      </c>
      <c r="B130" t="s">
        <v>197</v>
      </c>
      <c r="C130" t="s">
        <v>383</v>
      </c>
      <c r="D130">
        <v>1</v>
      </c>
      <c r="E130" s="1">
        <v>1</v>
      </c>
      <c r="F130">
        <v>0</v>
      </c>
      <c r="G130">
        <v>1</v>
      </c>
      <c r="H130">
        <v>0</v>
      </c>
      <c r="I130">
        <v>31832</v>
      </c>
      <c r="J130" t="s">
        <v>417</v>
      </c>
      <c r="K130">
        <v>1</v>
      </c>
      <c r="M130">
        <v>1</v>
      </c>
      <c r="N130" s="1" t="str">
        <f>CONCATENATE(Table3[[#This Row],[Spell ID]])</f>
        <v>39317</v>
      </c>
      <c r="O130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["39317"] ={"Silver Riding Talbuk", 39317, 31832, 1, 1, 0, "Talbuk", "Exalted Kurenai", 1, 0},</v>
      </c>
      <c r="P130" s="1" t="str">
        <f>CONCATENATE("https://www.wowhead.com/wotlk/item=",Table3[[#This Row],[ItemID]])</f>
        <v>https://www.wowhead.com/wotlk/item=31832</v>
      </c>
    </row>
    <row r="131" spans="1:16" x14ac:dyDescent="0.35">
      <c r="A131">
        <v>39318</v>
      </c>
      <c r="B131" t="s">
        <v>250</v>
      </c>
      <c r="C131" t="s">
        <v>383</v>
      </c>
      <c r="D131">
        <v>1</v>
      </c>
      <c r="E131" s="1">
        <v>1</v>
      </c>
      <c r="F131">
        <v>0</v>
      </c>
      <c r="G131">
        <v>1</v>
      </c>
      <c r="H131">
        <v>0</v>
      </c>
      <c r="I131">
        <v>31834</v>
      </c>
      <c r="J131" t="s">
        <v>417</v>
      </c>
      <c r="K131">
        <v>1</v>
      </c>
      <c r="M131">
        <v>1</v>
      </c>
      <c r="N131" s="1" t="str">
        <f>CONCATENATE(Table3[[#This Row],[Spell ID]])</f>
        <v>39318</v>
      </c>
      <c r="O131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["39318"] ={"Tan Riding Talbuk", 39318, 31834, 1, 1, 0, "Talbuk", "Exalted Kurenai", 1, 0},</v>
      </c>
      <c r="P131" s="1" t="str">
        <f>CONCATENATE("https://www.wowhead.com/wotlk/item=",Table3[[#This Row],[ItemID]])</f>
        <v>https://www.wowhead.com/wotlk/item=31834</v>
      </c>
    </row>
    <row r="132" spans="1:16" x14ac:dyDescent="0.35">
      <c r="A132">
        <v>39319</v>
      </c>
      <c r="B132" t="s">
        <v>267</v>
      </c>
      <c r="C132" t="s">
        <v>383</v>
      </c>
      <c r="D132">
        <v>1</v>
      </c>
      <c r="E132" s="1">
        <v>1</v>
      </c>
      <c r="F132">
        <v>0</v>
      </c>
      <c r="G132">
        <v>1</v>
      </c>
      <c r="H132">
        <v>0</v>
      </c>
      <c r="I132">
        <v>31836</v>
      </c>
      <c r="J132" t="s">
        <v>417</v>
      </c>
      <c r="K132">
        <v>1</v>
      </c>
      <c r="M132">
        <v>1</v>
      </c>
      <c r="N132" s="1" t="str">
        <f>CONCATENATE(Table3[[#This Row],[Spell ID]])</f>
        <v>39319</v>
      </c>
      <c r="O132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["39319"] ={"White Riding Talbuk", 39319, 31836, 1, 1, 0, "Talbuk", "Exalted Kurenai", 1, 0},</v>
      </c>
      <c r="P132" s="1" t="str">
        <f>CONCATENATE("https://www.wowhead.com/wotlk/item=",Table3[[#This Row],[ItemID]])</f>
        <v>https://www.wowhead.com/wotlk/item=31836</v>
      </c>
    </row>
    <row r="133" spans="1:16" x14ac:dyDescent="0.35">
      <c r="A133">
        <v>39798</v>
      </c>
      <c r="B133" t="s">
        <v>34</v>
      </c>
      <c r="C133" t="s">
        <v>385</v>
      </c>
      <c r="D133">
        <v>2.8</v>
      </c>
      <c r="E133" s="1">
        <v>2.8</v>
      </c>
      <c r="F133">
        <v>0</v>
      </c>
      <c r="G133">
        <v>1</v>
      </c>
      <c r="H133">
        <v>0</v>
      </c>
      <c r="I133">
        <v>32314</v>
      </c>
      <c r="J133" t="s">
        <v>418</v>
      </c>
      <c r="K133">
        <v>1</v>
      </c>
      <c r="L133">
        <v>1</v>
      </c>
      <c r="M133">
        <v>1</v>
      </c>
      <c r="N133" s="1" t="str">
        <f>CONCATENATE(Table3[[#This Row],[Spell ID]])</f>
        <v>39798</v>
      </c>
      <c r="O133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["39798"] ={"Green Riding Nether Ray", 39798, 32314, 2.8, 2.8, 0, "Nether Ray", "Exalted Skyguard", 1, 0},</v>
      </c>
      <c r="P133" s="1" t="str">
        <f>CONCATENATE("https://www.wowhead.com/wotlk/item=",Table3[[#This Row],[ItemID]])</f>
        <v>https://www.wowhead.com/wotlk/item=32314</v>
      </c>
    </row>
    <row r="134" spans="1:16" x14ac:dyDescent="0.35">
      <c r="A134">
        <v>39800</v>
      </c>
      <c r="B134" t="s">
        <v>51</v>
      </c>
      <c r="C134" t="s">
        <v>385</v>
      </c>
      <c r="D134">
        <v>2.8</v>
      </c>
      <c r="E134" s="1">
        <v>2.8</v>
      </c>
      <c r="F134">
        <v>0</v>
      </c>
      <c r="G134">
        <v>1</v>
      </c>
      <c r="H134">
        <v>0</v>
      </c>
      <c r="I134">
        <v>32317</v>
      </c>
      <c r="J134" t="s">
        <v>418</v>
      </c>
      <c r="K134">
        <v>1</v>
      </c>
      <c r="L134">
        <v>1</v>
      </c>
      <c r="M134">
        <v>1</v>
      </c>
      <c r="N134" s="1" t="str">
        <f>CONCATENATE(Table3[[#This Row],[Spell ID]])</f>
        <v>39800</v>
      </c>
      <c r="O134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["39800"] ={"Red Riding Nether Ray", 39800, 32317, 2.8, 2.8, 0, "Nether Ray", "Exalted Skyguard", 1, 0},</v>
      </c>
      <c r="P134" s="1" t="str">
        <f>CONCATENATE("https://www.wowhead.com/wotlk/item=",Table3[[#This Row],[ItemID]])</f>
        <v>https://www.wowhead.com/wotlk/item=32317</v>
      </c>
    </row>
    <row r="135" spans="1:16" x14ac:dyDescent="0.35">
      <c r="A135">
        <v>39801</v>
      </c>
      <c r="B135" t="s">
        <v>47</v>
      </c>
      <c r="C135" t="s">
        <v>385</v>
      </c>
      <c r="D135">
        <v>2.8</v>
      </c>
      <c r="E135" s="1">
        <v>2.8</v>
      </c>
      <c r="F135">
        <v>0</v>
      </c>
      <c r="G135">
        <v>1</v>
      </c>
      <c r="H135">
        <v>0</v>
      </c>
      <c r="I135">
        <v>32316</v>
      </c>
      <c r="J135" t="s">
        <v>418</v>
      </c>
      <c r="K135">
        <v>1</v>
      </c>
      <c r="L135">
        <v>1</v>
      </c>
      <c r="M135">
        <v>1</v>
      </c>
      <c r="N135" s="1" t="str">
        <f>CONCATENATE(Table3[[#This Row],[Spell ID]])</f>
        <v>39801</v>
      </c>
      <c r="O135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["39801"] ={"Purple Riding Nether Ray", 39801, 32316, 2.8, 2.8, 0, "Nether Ray", "Exalted Skyguard", 1, 0},</v>
      </c>
      <c r="P135" s="1" t="str">
        <f>CONCATENATE("https://www.wowhead.com/wotlk/item=",Table3[[#This Row],[ItemID]])</f>
        <v>https://www.wowhead.com/wotlk/item=32316</v>
      </c>
    </row>
    <row r="136" spans="1:16" x14ac:dyDescent="0.35">
      <c r="A136">
        <v>39802</v>
      </c>
      <c r="B136" t="s">
        <v>55</v>
      </c>
      <c r="C136" t="s">
        <v>385</v>
      </c>
      <c r="D136">
        <v>2.8</v>
      </c>
      <c r="E136" s="1">
        <v>2.8</v>
      </c>
      <c r="F136">
        <v>0</v>
      </c>
      <c r="G136">
        <v>1</v>
      </c>
      <c r="H136">
        <v>0</v>
      </c>
      <c r="I136">
        <v>32318</v>
      </c>
      <c r="J136" t="s">
        <v>418</v>
      </c>
      <c r="K136">
        <v>1</v>
      </c>
      <c r="L136">
        <v>1</v>
      </c>
      <c r="M136">
        <v>1</v>
      </c>
      <c r="N136" s="1" t="str">
        <f>CONCATENATE(Table3[[#This Row],[Spell ID]])</f>
        <v>39802</v>
      </c>
      <c r="O136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["39802"] ={"Silver Riding Nether Ray", 39802, 32318, 2.8, 2.8, 0, "Nether Ray", "Exalted Skyguard", 1, 0},</v>
      </c>
      <c r="P136" s="1" t="str">
        <f>CONCATENATE("https://www.wowhead.com/wotlk/item=",Table3[[#This Row],[ItemID]])</f>
        <v>https://www.wowhead.com/wotlk/item=32318</v>
      </c>
    </row>
    <row r="137" spans="1:16" x14ac:dyDescent="0.35">
      <c r="A137">
        <v>39803</v>
      </c>
      <c r="B137" t="s">
        <v>18</v>
      </c>
      <c r="C137" t="s">
        <v>385</v>
      </c>
      <c r="D137">
        <v>2.8</v>
      </c>
      <c r="E137" s="1">
        <v>2.8</v>
      </c>
      <c r="F137">
        <v>0</v>
      </c>
      <c r="G137">
        <v>1</v>
      </c>
      <c r="H137">
        <v>0</v>
      </c>
      <c r="I137">
        <v>32319</v>
      </c>
      <c r="J137" t="s">
        <v>418</v>
      </c>
      <c r="K137">
        <v>1</v>
      </c>
      <c r="L137">
        <v>1</v>
      </c>
      <c r="M137">
        <v>1</v>
      </c>
      <c r="N137" s="1" t="str">
        <f>CONCATENATE(Table3[[#This Row],[Spell ID]])</f>
        <v>39803</v>
      </c>
      <c r="O137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["39803"] ={"Blue Riding Nether Ray", 39803, 32319, 2.8, 2.8, 0, "Nether Ray", "Exalted Skyguard", 1, 0},</v>
      </c>
      <c r="P137" s="1" t="str">
        <f>CONCATENATE("https://www.wowhead.com/wotlk/item=",Table3[[#This Row],[ItemID]])</f>
        <v>https://www.wowhead.com/wotlk/item=32319</v>
      </c>
    </row>
    <row r="138" spans="1:16" x14ac:dyDescent="0.35">
      <c r="A138">
        <v>40192</v>
      </c>
      <c r="B138" t="s">
        <v>8</v>
      </c>
      <c r="C138" t="s">
        <v>382</v>
      </c>
      <c r="D138">
        <v>3.1</v>
      </c>
      <c r="E138" s="1">
        <v>3.1</v>
      </c>
      <c r="F138">
        <v>0</v>
      </c>
      <c r="G138">
        <v>1</v>
      </c>
      <c r="H138">
        <v>0</v>
      </c>
      <c r="I138">
        <v>32458</v>
      </c>
      <c r="J138" t="s">
        <v>288</v>
      </c>
      <c r="K138">
        <v>1</v>
      </c>
      <c r="L138">
        <v>1</v>
      </c>
      <c r="M138">
        <v>1</v>
      </c>
      <c r="N138" s="1" t="str">
        <f>CONCATENATE(Table3[[#This Row],[Spell ID]])</f>
        <v>40192</v>
      </c>
      <c r="O138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["40192"] ={"Ashes of Al'ar", 40192, 32458, 3.1, 3.1, 0, "Phoenix", "Drop Tempest Keep", 1, 0},</v>
      </c>
      <c r="P138" s="1" t="str">
        <f>CONCATENATE("https://www.wowhead.com/wotlk/item=",Table3[[#This Row],[ItemID]])</f>
        <v>https://www.wowhead.com/wotlk/item=32458</v>
      </c>
    </row>
    <row r="139" spans="1:16" x14ac:dyDescent="0.35">
      <c r="A139">
        <v>41252</v>
      </c>
      <c r="B139" t="s">
        <v>187</v>
      </c>
      <c r="C139" t="s">
        <v>386</v>
      </c>
      <c r="D139">
        <v>1</v>
      </c>
      <c r="E139" s="1">
        <v>1</v>
      </c>
      <c r="F139">
        <v>0</v>
      </c>
      <c r="G139">
        <v>1</v>
      </c>
      <c r="H139">
        <v>0</v>
      </c>
      <c r="I139">
        <v>32768</v>
      </c>
      <c r="J139" t="s">
        <v>331</v>
      </c>
      <c r="K139">
        <v>1</v>
      </c>
      <c r="L139">
        <v>1</v>
      </c>
      <c r="M139">
        <v>1</v>
      </c>
      <c r="N139" s="1" t="str">
        <f>CONCATENATE(Table3[[#This Row],[Spell ID]])</f>
        <v>41252</v>
      </c>
      <c r="O139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["41252"] ={"Raven Lord", 41252, 32768, 1, 1, 0, "Raven", "Drop Sethekk Halls", 1, 0},</v>
      </c>
      <c r="P139" s="1" t="str">
        <f>CONCATENATE("https://www.wowhead.com/wotlk/item=",Table3[[#This Row],[ItemID]])</f>
        <v>https://www.wowhead.com/wotlk/item=32768</v>
      </c>
    </row>
    <row r="140" spans="1:16" x14ac:dyDescent="0.35">
      <c r="A140">
        <v>41513</v>
      </c>
      <c r="B140" t="s">
        <v>42</v>
      </c>
      <c r="C140" t="s">
        <v>41</v>
      </c>
      <c r="D140">
        <v>2.8</v>
      </c>
      <c r="E140" s="1">
        <v>2.8</v>
      </c>
      <c r="F140">
        <v>0</v>
      </c>
      <c r="G140">
        <v>1</v>
      </c>
      <c r="H140">
        <v>0</v>
      </c>
      <c r="I140">
        <v>32857</v>
      </c>
      <c r="J140" t="s">
        <v>419</v>
      </c>
      <c r="K140">
        <v>1</v>
      </c>
      <c r="L140">
        <v>1</v>
      </c>
      <c r="M140">
        <v>1</v>
      </c>
      <c r="N140" s="1" t="str">
        <f>CONCATENATE(Table3[[#This Row],[Spell ID]])</f>
        <v>41513</v>
      </c>
      <c r="O140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["41513"] ={"Onyx Netherwing Drake", 41513, 32857, 2.8, 2.8, 0, "Nether Drake", "Exalted Netherwing", 1, 0},</v>
      </c>
      <c r="P140" s="1" t="str">
        <f>CONCATENATE("https://www.wowhead.com/wotlk/item=",Table3[[#This Row],[ItemID]])</f>
        <v>https://www.wowhead.com/wotlk/item=32857</v>
      </c>
    </row>
    <row r="141" spans="1:16" x14ac:dyDescent="0.35">
      <c r="A141">
        <v>41514</v>
      </c>
      <c r="B141" t="s">
        <v>10</v>
      </c>
      <c r="C141" t="s">
        <v>41</v>
      </c>
      <c r="D141">
        <v>2.8</v>
      </c>
      <c r="E141" s="1">
        <v>2.8</v>
      </c>
      <c r="F141">
        <v>0</v>
      </c>
      <c r="G141">
        <v>1</v>
      </c>
      <c r="H141">
        <v>0</v>
      </c>
      <c r="I141">
        <v>32858</v>
      </c>
      <c r="J141" t="s">
        <v>419</v>
      </c>
      <c r="K141">
        <v>1</v>
      </c>
      <c r="L141">
        <v>1</v>
      </c>
      <c r="M141">
        <v>1</v>
      </c>
      <c r="N141" s="1" t="str">
        <f>CONCATENATE(Table3[[#This Row],[Spell ID]])</f>
        <v>41514</v>
      </c>
      <c r="O141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["41514"] ={"Azure Netherwing Drake", 41514, 32858, 2.8, 2.8, 0, "Nether Drake", "Exalted Netherwing", 1, 0},</v>
      </c>
      <c r="P141" s="1" t="str">
        <f>CONCATENATE("https://www.wowhead.com/wotlk/item=",Table3[[#This Row],[ItemID]])</f>
        <v>https://www.wowhead.com/wotlk/item=32858</v>
      </c>
    </row>
    <row r="142" spans="1:16" x14ac:dyDescent="0.35">
      <c r="A142">
        <v>41515</v>
      </c>
      <c r="B142" t="s">
        <v>23</v>
      </c>
      <c r="C142" t="s">
        <v>41</v>
      </c>
      <c r="D142">
        <v>2.8</v>
      </c>
      <c r="E142" s="1">
        <v>2.8</v>
      </c>
      <c r="F142">
        <v>0</v>
      </c>
      <c r="G142">
        <v>1</v>
      </c>
      <c r="H142">
        <v>0</v>
      </c>
      <c r="I142">
        <v>32859</v>
      </c>
      <c r="J142" t="s">
        <v>419</v>
      </c>
      <c r="K142">
        <v>1</v>
      </c>
      <c r="L142">
        <v>1</v>
      </c>
      <c r="M142">
        <v>1</v>
      </c>
      <c r="N142" s="1" t="str">
        <f>CONCATENATE(Table3[[#This Row],[Spell ID]])</f>
        <v>41515</v>
      </c>
      <c r="O142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["41515"] ={"Cobalt Netherwing Drake", 41515, 32859, 2.8, 2.8, 0, "Nether Drake", "Exalted Netherwing", 1, 0},</v>
      </c>
      <c r="P142" s="1" t="str">
        <f>CONCATENATE("https://www.wowhead.com/wotlk/item=",Table3[[#This Row],[ItemID]])</f>
        <v>https://www.wowhead.com/wotlk/item=32859</v>
      </c>
    </row>
    <row r="143" spans="1:16" x14ac:dyDescent="0.35">
      <c r="A143">
        <v>41516</v>
      </c>
      <c r="B143" t="s">
        <v>46</v>
      </c>
      <c r="C143" t="s">
        <v>41</v>
      </c>
      <c r="D143">
        <v>2.8</v>
      </c>
      <c r="E143" s="1">
        <v>2.8</v>
      </c>
      <c r="F143">
        <v>0</v>
      </c>
      <c r="G143">
        <v>1</v>
      </c>
      <c r="H143">
        <v>0</v>
      </c>
      <c r="I143">
        <v>32860</v>
      </c>
      <c r="J143" t="s">
        <v>419</v>
      </c>
      <c r="K143">
        <v>1</v>
      </c>
      <c r="L143">
        <v>1</v>
      </c>
      <c r="M143">
        <v>1</v>
      </c>
      <c r="N143" s="1" t="str">
        <f>CONCATENATE(Table3[[#This Row],[Spell ID]])</f>
        <v>41516</v>
      </c>
      <c r="O143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["41516"] ={"Purple Netherwing Drake", 41516, 32860, 2.8, 2.8, 0, "Nether Drake", "Exalted Netherwing", 1, 0},</v>
      </c>
      <c r="P143" s="1" t="str">
        <f>CONCATENATE("https://www.wowhead.com/wotlk/item=",Table3[[#This Row],[ItemID]])</f>
        <v>https://www.wowhead.com/wotlk/item=32860</v>
      </c>
    </row>
    <row r="144" spans="1:16" x14ac:dyDescent="0.35">
      <c r="A144">
        <v>41517</v>
      </c>
      <c r="B144" t="s">
        <v>72</v>
      </c>
      <c r="C144" t="s">
        <v>41</v>
      </c>
      <c r="D144">
        <v>2.8</v>
      </c>
      <c r="E144" s="1">
        <v>2.8</v>
      </c>
      <c r="F144">
        <v>0</v>
      </c>
      <c r="G144">
        <v>1</v>
      </c>
      <c r="H144">
        <v>0</v>
      </c>
      <c r="I144">
        <v>32861</v>
      </c>
      <c r="J144" t="s">
        <v>419</v>
      </c>
      <c r="K144">
        <v>1</v>
      </c>
      <c r="L144">
        <v>1</v>
      </c>
      <c r="M144">
        <v>1</v>
      </c>
      <c r="N144" s="1" t="str">
        <f>CONCATENATE(Table3[[#This Row],[Spell ID]])</f>
        <v>41517</v>
      </c>
      <c r="O144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["41517"] ={"Veridian Netherwing Drake", 41517, 32861, 2.8, 2.8, 0, "Nether Drake", "Exalted Netherwing", 1, 0},</v>
      </c>
      <c r="P144" s="1" t="str">
        <f>CONCATENATE("https://www.wowhead.com/wotlk/item=",Table3[[#This Row],[ItemID]])</f>
        <v>https://www.wowhead.com/wotlk/item=32861</v>
      </c>
    </row>
    <row r="145" spans="1:16" x14ac:dyDescent="0.35">
      <c r="A145">
        <v>41518</v>
      </c>
      <c r="B145" t="s">
        <v>73</v>
      </c>
      <c r="C145" t="s">
        <v>41</v>
      </c>
      <c r="D145">
        <v>2.8</v>
      </c>
      <c r="E145" s="1">
        <v>2.8</v>
      </c>
      <c r="F145">
        <v>0</v>
      </c>
      <c r="G145">
        <v>1</v>
      </c>
      <c r="H145">
        <v>0</v>
      </c>
      <c r="I145">
        <v>32862</v>
      </c>
      <c r="J145" t="s">
        <v>419</v>
      </c>
      <c r="K145">
        <v>1</v>
      </c>
      <c r="L145">
        <v>1</v>
      </c>
      <c r="M145">
        <v>1</v>
      </c>
      <c r="N145" s="1" t="str">
        <f>CONCATENATE(Table3[[#This Row],[Spell ID]])</f>
        <v>41518</v>
      </c>
      <c r="O145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["41518"] ={"Violet Netherwing Drake", 41518, 32862, 2.8, 2.8, 0, "Nether Drake", "Exalted Netherwing", 1, 0},</v>
      </c>
      <c r="P145" s="1" t="str">
        <f>CONCATENATE("https://www.wowhead.com/wotlk/item=",Table3[[#This Row],[ItemID]])</f>
        <v>https://www.wowhead.com/wotlk/item=32862</v>
      </c>
    </row>
    <row r="146" spans="1:16" x14ac:dyDescent="0.35">
      <c r="A146">
        <v>42776</v>
      </c>
      <c r="B146" t="s">
        <v>201</v>
      </c>
      <c r="C146" t="s">
        <v>373</v>
      </c>
      <c r="D146">
        <v>0.6</v>
      </c>
      <c r="E146" s="1">
        <v>0.6</v>
      </c>
      <c r="F146">
        <v>0</v>
      </c>
      <c r="G146">
        <v>1</v>
      </c>
      <c r="H146">
        <v>0</v>
      </c>
      <c r="I146">
        <v>49283</v>
      </c>
      <c r="J146" t="s">
        <v>325</v>
      </c>
      <c r="K146">
        <v>1</v>
      </c>
      <c r="L146">
        <v>1</v>
      </c>
      <c r="M146">
        <v>1</v>
      </c>
      <c r="N146" s="1" t="str">
        <f>CONCATENATE(Table3[[#This Row],[Spell ID]])</f>
        <v>42776</v>
      </c>
      <c r="O146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["42776"] ={"Spectral Tiger", 42776, 49283, 0.6, 0.6, 0, "Saber", "TCG", 1, 0},</v>
      </c>
      <c r="P146" s="1" t="str">
        <f>CONCATENATE("https://www.wowhead.com/wotlk/item=",Table3[[#This Row],[ItemID]])</f>
        <v>https://www.wowhead.com/wotlk/item=49283</v>
      </c>
    </row>
    <row r="147" spans="1:16" x14ac:dyDescent="0.35">
      <c r="A147">
        <v>42777</v>
      </c>
      <c r="B147" t="s">
        <v>237</v>
      </c>
      <c r="C147" t="s">
        <v>373</v>
      </c>
      <c r="D147">
        <v>1</v>
      </c>
      <c r="E147" s="1">
        <v>1</v>
      </c>
      <c r="F147">
        <v>0</v>
      </c>
      <c r="G147">
        <v>1</v>
      </c>
      <c r="H147">
        <v>0</v>
      </c>
      <c r="I147">
        <v>49284</v>
      </c>
      <c r="J147" t="s">
        <v>325</v>
      </c>
      <c r="K147">
        <v>1</v>
      </c>
      <c r="L147">
        <v>1</v>
      </c>
      <c r="M147">
        <v>1</v>
      </c>
      <c r="N147" s="1" t="str">
        <f>CONCATENATE(Table3[[#This Row],[Spell ID]])</f>
        <v>42777</v>
      </c>
      <c r="O147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["42777"] ={"Swift Spectral Tiger", 42777, 49284, 1, 1, 0, "Saber", "TCG", 1, 0},</v>
      </c>
      <c r="P147" s="1" t="str">
        <f>CONCATENATE("https://www.wowhead.com/wotlk/item=",Table3[[#This Row],[ItemID]])</f>
        <v>https://www.wowhead.com/wotlk/item=49284</v>
      </c>
    </row>
    <row r="148" spans="1:16" x14ac:dyDescent="0.35">
      <c r="A148">
        <v>43688</v>
      </c>
      <c r="B148" t="s">
        <v>82</v>
      </c>
      <c r="C148" t="s">
        <v>387</v>
      </c>
      <c r="D148">
        <v>1</v>
      </c>
      <c r="E148" s="1">
        <v>1</v>
      </c>
      <c r="F148">
        <v>0</v>
      </c>
      <c r="G148">
        <v>1</v>
      </c>
      <c r="H148">
        <v>0</v>
      </c>
      <c r="I148">
        <v>33809</v>
      </c>
      <c r="J148" t="s">
        <v>280</v>
      </c>
      <c r="K148">
        <v>1</v>
      </c>
      <c r="L148">
        <v>1</v>
      </c>
      <c r="M148">
        <v>1</v>
      </c>
      <c r="N148" s="1" t="str">
        <f>CONCATENATE(Table3[[#This Row],[Spell ID]])</f>
        <v>43688</v>
      </c>
      <c r="O148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["43688"] ={"Amani War Bear", 43688, 33809, 1, 1, 0, "Bear", "ZA", 1, 0},</v>
      </c>
      <c r="P148" s="1" t="str">
        <f>CONCATENATE("https://www.wowhead.com/wotlk/item=",Table3[[#This Row],[ItemID]])</f>
        <v>https://www.wowhead.com/wotlk/item=33809</v>
      </c>
    </row>
    <row r="149" spans="1:16" x14ac:dyDescent="0.35">
      <c r="A149">
        <v>43899</v>
      </c>
      <c r="B149" t="s">
        <v>113</v>
      </c>
      <c r="C149" t="s">
        <v>371</v>
      </c>
      <c r="D149">
        <v>0.6</v>
      </c>
      <c r="E149" s="1">
        <v>0.6</v>
      </c>
      <c r="F149">
        <v>0</v>
      </c>
      <c r="G149">
        <v>1</v>
      </c>
      <c r="H149">
        <v>0</v>
      </c>
      <c r="I149">
        <v>33976</v>
      </c>
      <c r="J149" t="s">
        <v>363</v>
      </c>
      <c r="K149">
        <v>1</v>
      </c>
      <c r="L149">
        <v>1</v>
      </c>
      <c r="M149">
        <v>1</v>
      </c>
      <c r="N149" s="1" t="str">
        <f>CONCATENATE(Table3[[#This Row],[Spell ID]])</f>
        <v>43899</v>
      </c>
      <c r="O149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["43899"] ={"Brewfest Ram", 43899, 33976, 0.6, 0.6, 0, "Ram", "Duplicate", 1, 0},</v>
      </c>
      <c r="P149" s="1" t="str">
        <f>CONCATENATE("https://www.wowhead.com/wotlk/item=",Table3[[#This Row],[ItemID]])</f>
        <v>https://www.wowhead.com/wotlk/item=33976</v>
      </c>
    </row>
    <row r="150" spans="1:16" x14ac:dyDescent="0.35">
      <c r="A150">
        <v>43900</v>
      </c>
      <c r="B150" t="s">
        <v>214</v>
      </c>
      <c r="C150" t="s">
        <v>371</v>
      </c>
      <c r="D150">
        <v>1</v>
      </c>
      <c r="E150" s="1">
        <v>1</v>
      </c>
      <c r="F150">
        <v>0</v>
      </c>
      <c r="G150">
        <v>1</v>
      </c>
      <c r="H150">
        <v>0</v>
      </c>
      <c r="I150">
        <v>33977</v>
      </c>
      <c r="J150" t="s">
        <v>303</v>
      </c>
      <c r="K150">
        <v>1</v>
      </c>
      <c r="L150">
        <v>1</v>
      </c>
      <c r="M150">
        <v>1</v>
      </c>
      <c r="N150" s="1" t="str">
        <f>CONCATENATE(Table3[[#This Row],[Spell ID]])</f>
        <v>43900</v>
      </c>
      <c r="O150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["43900"] ={"Swift Brewfest Ram", 43900, 33977, 1, 1, 0, "Ram", "Drop Brewfest", 1, 0},</v>
      </c>
      <c r="P150" s="1" t="str">
        <f>CONCATENATE("https://www.wowhead.com/wotlk/item=",Table3[[#This Row],[ItemID]])</f>
        <v>https://www.wowhead.com/wotlk/item=33977</v>
      </c>
    </row>
    <row r="151" spans="1:16" x14ac:dyDescent="0.35">
      <c r="A151">
        <v>43927</v>
      </c>
      <c r="B151" t="s">
        <v>22</v>
      </c>
      <c r="C151" t="s">
        <v>388</v>
      </c>
      <c r="D151">
        <v>2.8</v>
      </c>
      <c r="E151" s="1">
        <v>2.8</v>
      </c>
      <c r="F151">
        <v>0</v>
      </c>
      <c r="G151">
        <v>1</v>
      </c>
      <c r="H151">
        <v>0</v>
      </c>
      <c r="I151">
        <v>33999</v>
      </c>
      <c r="J151" t="s">
        <v>420</v>
      </c>
      <c r="K151">
        <v>1</v>
      </c>
      <c r="L151">
        <v>1</v>
      </c>
      <c r="M151">
        <v>1</v>
      </c>
      <c r="N151" s="1" t="str">
        <f>CONCATENATE(Table3[[#This Row],[Spell ID]])</f>
        <v>43927</v>
      </c>
      <c r="O151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["43927"] ={"Cenarion War Hippogryph", 43927, 33999, 2.8, 2.8, 0, "Hippogryph", "Exalted Cenarion Expedition", 1, 0},</v>
      </c>
      <c r="P151" s="1" t="str">
        <f>CONCATENATE("https://www.wowhead.com/wotlk/item=",Table3[[#This Row],[ItemID]])</f>
        <v>https://www.wowhead.com/wotlk/item=33999</v>
      </c>
    </row>
    <row r="152" spans="1:16" x14ac:dyDescent="0.35">
      <c r="A152">
        <v>44151</v>
      </c>
      <c r="B152" t="s">
        <v>69</v>
      </c>
      <c r="C152" t="s">
        <v>389</v>
      </c>
      <c r="D152">
        <v>2.8</v>
      </c>
      <c r="E152" s="1">
        <v>2.8</v>
      </c>
      <c r="F152">
        <v>0</v>
      </c>
      <c r="G152">
        <v>1</v>
      </c>
      <c r="H152">
        <v>0</v>
      </c>
      <c r="I152">
        <v>34061</v>
      </c>
      <c r="J152" t="s">
        <v>314</v>
      </c>
      <c r="K152">
        <v>1</v>
      </c>
      <c r="L152">
        <v>1</v>
      </c>
      <c r="M152">
        <v>1</v>
      </c>
      <c r="N152" s="1" t="str">
        <f>CONCATENATE(Table3[[#This Row],[Spell ID]])</f>
        <v>44151</v>
      </c>
      <c r="O152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["44151"] ={"Turbo-Charged Flying Machine", 44151, 34061, 2.8, 2.8, 0, "Machine", "Engineering", 1, 0},</v>
      </c>
      <c r="P152" s="1" t="str">
        <f>CONCATENATE("https://www.wowhead.com/wotlk/item=",Table3[[#This Row],[ItemID]])</f>
        <v>https://www.wowhead.com/wotlk/item=34061</v>
      </c>
    </row>
    <row r="153" spans="1:16" x14ac:dyDescent="0.35">
      <c r="A153">
        <v>44153</v>
      </c>
      <c r="B153" t="s">
        <v>27</v>
      </c>
      <c r="C153" t="s">
        <v>389</v>
      </c>
      <c r="D153">
        <v>1.5</v>
      </c>
      <c r="E153" s="1">
        <v>1.5</v>
      </c>
      <c r="F153">
        <v>0</v>
      </c>
      <c r="G153">
        <v>1</v>
      </c>
      <c r="H153">
        <v>0</v>
      </c>
      <c r="I153">
        <v>34060</v>
      </c>
      <c r="J153" t="s">
        <v>314</v>
      </c>
      <c r="K153">
        <v>1</v>
      </c>
      <c r="L153">
        <v>1</v>
      </c>
      <c r="M153">
        <v>1</v>
      </c>
      <c r="N153" s="1" t="str">
        <f>CONCATENATE(Table3[[#This Row],[Spell ID]])</f>
        <v>44153</v>
      </c>
      <c r="O153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["44153"] ={"Flying Machine", 44153, 34060, 1.5, 1.5, 0, "Machine", "Engineering", 1, 0},</v>
      </c>
      <c r="P153" s="1" t="str">
        <f>CONCATENATE("https://www.wowhead.com/wotlk/item=",Table3[[#This Row],[ItemID]])</f>
        <v>https://www.wowhead.com/wotlk/item=34060</v>
      </c>
    </row>
    <row r="154" spans="1:16" x14ac:dyDescent="0.35">
      <c r="A154">
        <v>44744</v>
      </c>
      <c r="B154" t="s">
        <v>39</v>
      </c>
      <c r="C154" t="s">
        <v>41</v>
      </c>
      <c r="D154">
        <v>3.1</v>
      </c>
      <c r="E154" s="1">
        <v>3.1</v>
      </c>
      <c r="F154">
        <v>0</v>
      </c>
      <c r="G154">
        <v>1</v>
      </c>
      <c r="H154">
        <v>0</v>
      </c>
      <c r="I154">
        <v>34092</v>
      </c>
      <c r="J154" t="s">
        <v>305</v>
      </c>
      <c r="K154">
        <v>1</v>
      </c>
      <c r="M154">
        <v>1</v>
      </c>
      <c r="N154" s="1" t="str">
        <f>CONCATENATE(Table3[[#This Row],[Spell ID]])</f>
        <v>44744</v>
      </c>
      <c r="O154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["44744"] ={"Merciless Nether Drake", 44744, 34092, 3.1, 3.1, 0, "Nether Drake", "Gladiator", 1, 0},</v>
      </c>
      <c r="P154" s="1" t="str">
        <f>CONCATENATE("https://www.wowhead.com/wotlk/item=",Table3[[#This Row],[ItemID]])</f>
        <v>https://www.wowhead.com/wotlk/item=34092</v>
      </c>
    </row>
    <row r="155" spans="1:16" x14ac:dyDescent="0.35">
      <c r="A155">
        <v>46628</v>
      </c>
      <c r="B155" t="s">
        <v>243</v>
      </c>
      <c r="C155" t="s">
        <v>384</v>
      </c>
      <c r="D155">
        <v>1</v>
      </c>
      <c r="E155" s="1">
        <v>1</v>
      </c>
      <c r="F155">
        <v>0</v>
      </c>
      <c r="G155">
        <v>1</v>
      </c>
      <c r="H155">
        <v>0</v>
      </c>
      <c r="I155">
        <v>35513</v>
      </c>
      <c r="J155" t="s">
        <v>336</v>
      </c>
      <c r="K155">
        <v>1</v>
      </c>
      <c r="L155">
        <v>1</v>
      </c>
      <c r="M155">
        <v>1</v>
      </c>
      <c r="N155" s="1" t="str">
        <f>CONCATENATE(Table3[[#This Row],[Spell ID]])</f>
        <v>46628</v>
      </c>
      <c r="O155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["46628"] ={"Swift White Hawkstrider", 46628, 35513, 1, 1, 0, "Hawkstrider", "Drop Magisters' Terrace", 1, 0},</v>
      </c>
      <c r="P155" s="1" t="str">
        <f>CONCATENATE("https://www.wowhead.com/wotlk/item=",Table3[[#This Row],[ItemID]])</f>
        <v>https://www.wowhead.com/wotlk/item=35513</v>
      </c>
    </row>
    <row r="156" spans="1:16" x14ac:dyDescent="0.35">
      <c r="A156">
        <v>48025</v>
      </c>
      <c r="B156" t="s">
        <v>348</v>
      </c>
      <c r="C156" t="s">
        <v>369</v>
      </c>
      <c r="D156">
        <v>2.8</v>
      </c>
      <c r="E156" s="1">
        <v>0.6</v>
      </c>
      <c r="F156">
        <v>0</v>
      </c>
      <c r="G156">
        <v>1</v>
      </c>
      <c r="H156">
        <v>0</v>
      </c>
      <c r="I156">
        <v>37012</v>
      </c>
      <c r="J156" t="s">
        <v>349</v>
      </c>
      <c r="K156">
        <v>1</v>
      </c>
      <c r="L156">
        <v>1</v>
      </c>
      <c r="M156">
        <v>1</v>
      </c>
      <c r="N156" s="1" t="str">
        <f>CONCATENATE(Table3[[#This Row],[Spell ID]])</f>
        <v>48025</v>
      </c>
      <c r="O156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["48025"] ={"Headless Horseman's Mount", 48025, 37012, 2.8, 0.6, 0, "Horse", "Drop, Halloween", 1, 0},</v>
      </c>
      <c r="P156" s="1" t="str">
        <f>CONCATENATE("https://www.wowhead.com/wotlk/item=",Table3[[#This Row],[ItemID]])</f>
        <v>https://www.wowhead.com/wotlk/item=37012</v>
      </c>
    </row>
    <row r="157" spans="1:16" x14ac:dyDescent="0.35">
      <c r="A157">
        <v>48027</v>
      </c>
      <c r="B157" t="s">
        <v>97</v>
      </c>
      <c r="C157" t="s">
        <v>367</v>
      </c>
      <c r="D157">
        <v>1</v>
      </c>
      <c r="E157" s="1">
        <v>1</v>
      </c>
      <c r="F157">
        <v>0</v>
      </c>
      <c r="G157">
        <v>1</v>
      </c>
      <c r="H157">
        <v>0</v>
      </c>
      <c r="I157">
        <v>35906</v>
      </c>
      <c r="J157" t="s">
        <v>403</v>
      </c>
      <c r="K157">
        <v>1</v>
      </c>
      <c r="M157">
        <v>1</v>
      </c>
      <c r="N157" s="1" t="str">
        <f>CONCATENATE(Table3[[#This Row],[Spell ID]])</f>
        <v>48027</v>
      </c>
      <c r="O157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["48027"] ={"Black War Elekk", 48027, 35906, 1, 1, 0, "Elekk", "Honor", 1, 0},</v>
      </c>
      <c r="P157" s="1" t="str">
        <f>CONCATENATE("https://www.wowhead.com/wotlk/item=",Table3[[#This Row],[ItemID]])</f>
        <v>https://www.wowhead.com/wotlk/item=35906</v>
      </c>
    </row>
    <row r="158" spans="1:16" x14ac:dyDescent="0.35">
      <c r="A158">
        <v>48778</v>
      </c>
      <c r="B158" t="s">
        <v>81</v>
      </c>
      <c r="C158" t="s">
        <v>351</v>
      </c>
      <c r="D158">
        <v>1</v>
      </c>
      <c r="E158" s="1">
        <v>1</v>
      </c>
      <c r="F158">
        <v>0</v>
      </c>
      <c r="G158">
        <v>1</v>
      </c>
      <c r="H158">
        <v>0</v>
      </c>
      <c r="I158">
        <v>0</v>
      </c>
      <c r="J158" t="s">
        <v>351</v>
      </c>
      <c r="K158">
        <v>1</v>
      </c>
      <c r="L158">
        <v>1</v>
      </c>
      <c r="M158">
        <v>1</v>
      </c>
      <c r="N158" s="1" t="str">
        <f>CONCATENATE(Table3[[#This Row],[Spell ID]])</f>
        <v>48778</v>
      </c>
      <c r="O158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["48778"] ={"Acherus Deathcharger", 48778, 0, 1, 1, 0, "DeathKnight", "DeathKnight", 1, 0},</v>
      </c>
      <c r="P158" s="1" t="str">
        <f>CONCATENATE("https://www.wowhead.com/wotlk/item=",Table3[[#This Row],[ItemID]])</f>
        <v>https://www.wowhead.com/wotlk/item=0</v>
      </c>
    </row>
    <row r="159" spans="1:16" x14ac:dyDescent="0.35">
      <c r="A159">
        <v>49193</v>
      </c>
      <c r="B159" t="s">
        <v>71</v>
      </c>
      <c r="C159" t="s">
        <v>41</v>
      </c>
      <c r="D159">
        <v>3.1</v>
      </c>
      <c r="E159" s="1">
        <v>3.1</v>
      </c>
      <c r="F159">
        <v>0</v>
      </c>
      <c r="G159">
        <v>1</v>
      </c>
      <c r="H159">
        <v>0</v>
      </c>
      <c r="I159">
        <v>37676</v>
      </c>
      <c r="J159" t="s">
        <v>305</v>
      </c>
      <c r="K159">
        <v>1</v>
      </c>
      <c r="L159">
        <v>1</v>
      </c>
      <c r="M159">
        <v>1</v>
      </c>
      <c r="N159" s="1" t="str">
        <f>CONCATENATE(Table3[[#This Row],[Spell ID]])</f>
        <v>49193</v>
      </c>
      <c r="O159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["49193"] ={"Vengeful Nether Drake", 49193, 37676, 3.1, 3.1, 0, "Nether Drake", "Gladiator", 1, 0},</v>
      </c>
      <c r="P159" s="1" t="str">
        <f>CONCATENATE("https://www.wowhead.com/wotlk/item=",Table3[[#This Row],[ItemID]])</f>
        <v>https://www.wowhead.com/wotlk/item=37676</v>
      </c>
    </row>
    <row r="160" spans="1:16" x14ac:dyDescent="0.35">
      <c r="A160">
        <v>49378</v>
      </c>
      <c r="B160" t="s">
        <v>114</v>
      </c>
      <c r="C160" t="s">
        <v>375</v>
      </c>
      <c r="D160">
        <v>0.6</v>
      </c>
      <c r="E160" s="1">
        <v>0.6</v>
      </c>
      <c r="F160">
        <v>0</v>
      </c>
      <c r="G160">
        <v>1</v>
      </c>
      <c r="H160">
        <v>0</v>
      </c>
      <c r="I160">
        <v>37827</v>
      </c>
      <c r="J160" t="s">
        <v>363</v>
      </c>
      <c r="K160">
        <v>1</v>
      </c>
      <c r="L160">
        <v>1</v>
      </c>
      <c r="M160">
        <v>1</v>
      </c>
      <c r="N160" s="1" t="str">
        <f>CONCATENATE(Table3[[#This Row],[Spell ID]])</f>
        <v>49378</v>
      </c>
      <c r="O160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["49378"] ={"Brewfest Riding Kodo", 49378, 37827, 0.6, 0.6, 0, "Kodo", "Duplicate", 1, 0},</v>
      </c>
      <c r="P160" s="1" t="str">
        <f>CONCATENATE("https://www.wowhead.com/wotlk/item=",Table3[[#This Row],[ItemID]])</f>
        <v>https://www.wowhead.com/wotlk/item=37827</v>
      </c>
    </row>
    <row r="161" spans="1:16" x14ac:dyDescent="0.35">
      <c r="A161">
        <v>49379</v>
      </c>
      <c r="B161" t="s">
        <v>153</v>
      </c>
      <c r="C161" t="s">
        <v>375</v>
      </c>
      <c r="D161">
        <v>1</v>
      </c>
      <c r="E161" s="1">
        <v>1</v>
      </c>
      <c r="F161">
        <v>0</v>
      </c>
      <c r="G161">
        <v>1</v>
      </c>
      <c r="H161">
        <v>0</v>
      </c>
      <c r="I161">
        <v>37828</v>
      </c>
      <c r="J161" t="s">
        <v>303</v>
      </c>
      <c r="K161">
        <v>1</v>
      </c>
      <c r="L161">
        <v>1</v>
      </c>
      <c r="M161">
        <v>1</v>
      </c>
      <c r="N161" s="1" t="str">
        <f>CONCATENATE(Table3[[#This Row],[Spell ID]])</f>
        <v>49379</v>
      </c>
      <c r="O161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["49379"] ={"Great Brewfest Kodo", 49379, 37828, 1, 1, 0, "Kodo", "Drop Brewfest", 1, 0},</v>
      </c>
      <c r="P161" s="1" t="str">
        <f>CONCATENATE("https://www.wowhead.com/wotlk/item=",Table3[[#This Row],[ItemID]])</f>
        <v>https://www.wowhead.com/wotlk/item=37828</v>
      </c>
    </row>
    <row r="162" spans="1:16" x14ac:dyDescent="0.35">
      <c r="A162">
        <v>54729</v>
      </c>
      <c r="B162" t="s">
        <v>350</v>
      </c>
      <c r="C162" t="s">
        <v>366</v>
      </c>
      <c r="D162">
        <v>2.8</v>
      </c>
      <c r="E162" s="1">
        <v>2.8</v>
      </c>
      <c r="F162">
        <v>0</v>
      </c>
      <c r="G162">
        <v>1</v>
      </c>
      <c r="H162">
        <v>0</v>
      </c>
      <c r="I162">
        <v>40775</v>
      </c>
      <c r="J162" t="s">
        <v>351</v>
      </c>
      <c r="K162">
        <v>1</v>
      </c>
      <c r="L162">
        <v>1</v>
      </c>
      <c r="M162">
        <v>1</v>
      </c>
      <c r="N162" s="1" t="str">
        <f>CONCATENATE(Table3[[#This Row],[Spell ID]])</f>
        <v>54729</v>
      </c>
      <c r="O162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["54729"] ={"Winged Steed of the Ebon Blade", 54729, 40775, 2.8, 2.8, 0, "Wyrm", "DeathKnight", 1, 0},</v>
      </c>
      <c r="P162" s="1" t="str">
        <f>CONCATENATE("https://www.wowhead.com/wotlk/item=",Table3[[#This Row],[ItemID]])</f>
        <v>https://www.wowhead.com/wotlk/item=40775</v>
      </c>
    </row>
    <row r="163" spans="1:16" x14ac:dyDescent="0.35">
      <c r="A163">
        <v>54753</v>
      </c>
      <c r="B163" t="s">
        <v>265</v>
      </c>
      <c r="C163" t="s">
        <v>387</v>
      </c>
      <c r="D163">
        <v>1</v>
      </c>
      <c r="E163" s="1">
        <v>1</v>
      </c>
      <c r="F163">
        <v>0</v>
      </c>
      <c r="G163">
        <v>1</v>
      </c>
      <c r="H163">
        <v>0</v>
      </c>
      <c r="I163">
        <v>43962</v>
      </c>
      <c r="J163" t="s">
        <v>340</v>
      </c>
      <c r="K163">
        <v>1</v>
      </c>
      <c r="L163">
        <v>1</v>
      </c>
      <c r="M163">
        <v>1</v>
      </c>
      <c r="N163" s="1" t="str">
        <f>CONCATENATE(Table3[[#This Row],[Spell ID]])</f>
        <v>54753</v>
      </c>
      <c r="O163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["54753"] ={"White Polar Bear", 54753, 43962, 1, 1, 0, "Bear", "Daily Storm Peaks", 1, 0},</v>
      </c>
      <c r="P163" s="1" t="str">
        <f>CONCATENATE("https://www.wowhead.com/wotlk/item=",Table3[[#This Row],[ItemID]])</f>
        <v>https://www.wowhead.com/wotlk/item=43962</v>
      </c>
    </row>
    <row r="164" spans="1:16" x14ac:dyDescent="0.35">
      <c r="A164">
        <v>55164</v>
      </c>
      <c r="B164" t="s">
        <v>430</v>
      </c>
      <c r="C164" t="s">
        <v>380</v>
      </c>
      <c r="D164">
        <v>2.8</v>
      </c>
      <c r="E164" s="1">
        <v>2.8</v>
      </c>
      <c r="F164">
        <v>0</v>
      </c>
      <c r="G164">
        <v>1</v>
      </c>
      <c r="H164">
        <v>0</v>
      </c>
      <c r="I164">
        <v>0</v>
      </c>
      <c r="J164" t="s">
        <v>433</v>
      </c>
      <c r="K164">
        <v>1</v>
      </c>
      <c r="L164">
        <v>1</v>
      </c>
      <c r="M164">
        <v>1</v>
      </c>
      <c r="N164" s="1" t="str">
        <f>CONCATENATE(Table3[[#This Row],[Spell ID]])</f>
        <v>55164</v>
      </c>
      <c r="O164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["55164"] ={"Swift Spectral Gryphon", 55164, 0, 2.8, 2.8, 0, "Gryphon", "?", 1, 0},</v>
      </c>
      <c r="P164" s="1" t="str">
        <f>CONCATENATE("https://www.wowhead.com/wotlk/item=",Table3[[#This Row],[ItemID]])</f>
        <v>https://www.wowhead.com/wotlk/item=0</v>
      </c>
    </row>
    <row r="165" spans="1:16" x14ac:dyDescent="0.35">
      <c r="A165">
        <v>55531</v>
      </c>
      <c r="B165" t="s">
        <v>171</v>
      </c>
      <c r="C165" t="s">
        <v>389</v>
      </c>
      <c r="D165">
        <v>1</v>
      </c>
      <c r="E165" s="1">
        <v>1</v>
      </c>
      <c r="F165">
        <v>0</v>
      </c>
      <c r="G165">
        <v>1</v>
      </c>
      <c r="H165">
        <v>0</v>
      </c>
      <c r="I165">
        <v>41508</v>
      </c>
      <c r="J165" t="s">
        <v>314</v>
      </c>
      <c r="L165">
        <v>1</v>
      </c>
      <c r="M165">
        <v>1</v>
      </c>
      <c r="N165" s="1" t="str">
        <f>CONCATENATE(Table3[[#This Row],[Spell ID]])</f>
        <v>55531</v>
      </c>
      <c r="O165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["55531"] ={"Mechano-hog", 55531, 41508, 1, 1, 0, "Machine", "Engineering", 1, 0},</v>
      </c>
      <c r="P165" s="1" t="str">
        <f>CONCATENATE("https://www.wowhead.com/wotlk/item=",Table3[[#This Row],[ItemID]])</f>
        <v>https://www.wowhead.com/wotlk/item=41508</v>
      </c>
    </row>
    <row r="166" spans="1:16" x14ac:dyDescent="0.35">
      <c r="A166">
        <v>58615</v>
      </c>
      <c r="B166" t="s">
        <v>21</v>
      </c>
      <c r="C166" t="s">
        <v>41</v>
      </c>
      <c r="D166">
        <v>3.1</v>
      </c>
      <c r="E166" s="1">
        <v>3.1</v>
      </c>
      <c r="F166">
        <v>0</v>
      </c>
      <c r="G166">
        <v>1</v>
      </c>
      <c r="H166">
        <v>0</v>
      </c>
      <c r="I166">
        <v>43516</v>
      </c>
      <c r="J166" t="s">
        <v>305</v>
      </c>
      <c r="K166">
        <v>1</v>
      </c>
      <c r="L166">
        <v>1</v>
      </c>
      <c r="M166">
        <v>1</v>
      </c>
      <c r="N166" s="1" t="str">
        <f>CONCATENATE(Table3[[#This Row],[Spell ID]])</f>
        <v>58615</v>
      </c>
      <c r="O166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["58615"] ={"Brutal Nether Drake", 58615, 43516, 3.1, 3.1, 0, "Nether Drake", "Gladiator", 1, 0},</v>
      </c>
      <c r="P166" s="1" t="str">
        <f>CONCATENATE("https://www.wowhead.com/wotlk/item=",Table3[[#This Row],[ItemID]])</f>
        <v>https://www.wowhead.com/wotlk/item=43516</v>
      </c>
    </row>
    <row r="167" spans="1:16" x14ac:dyDescent="0.35">
      <c r="A167">
        <v>58983</v>
      </c>
      <c r="B167" t="s">
        <v>352</v>
      </c>
      <c r="C167" t="s">
        <v>387</v>
      </c>
      <c r="D167">
        <v>1</v>
      </c>
      <c r="E167" s="1">
        <v>1</v>
      </c>
      <c r="F167">
        <v>0</v>
      </c>
      <c r="G167">
        <v>1</v>
      </c>
      <c r="H167">
        <v>0</v>
      </c>
      <c r="I167">
        <v>43599</v>
      </c>
      <c r="J167" t="s">
        <v>325</v>
      </c>
      <c r="K167">
        <v>1</v>
      </c>
      <c r="L167">
        <v>1</v>
      </c>
      <c r="M167">
        <v>1</v>
      </c>
      <c r="N167" s="1" t="str">
        <f>CONCATENATE(Table3[[#This Row],[Spell ID]])</f>
        <v>58983</v>
      </c>
      <c r="O167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["58983"] ={"Big Blizzard Bear", 58983, 43599, 1, 1, 0, "Bear", "TCG", 1, 0},</v>
      </c>
      <c r="P167" s="1" t="str">
        <f>CONCATENATE("https://www.wowhead.com/wotlk/item=",Table3[[#This Row],[ItemID]])</f>
        <v>https://www.wowhead.com/wotlk/item=43599</v>
      </c>
    </row>
    <row r="168" spans="1:16" x14ac:dyDescent="0.35">
      <c r="A168">
        <v>59567</v>
      </c>
      <c r="B168" t="s">
        <v>9</v>
      </c>
      <c r="C168" t="s">
        <v>376</v>
      </c>
      <c r="D168">
        <v>2.8</v>
      </c>
      <c r="E168" s="1">
        <v>2.8</v>
      </c>
      <c r="F168">
        <v>0</v>
      </c>
      <c r="G168">
        <v>1</v>
      </c>
      <c r="H168">
        <v>0</v>
      </c>
      <c r="I168">
        <v>43952</v>
      </c>
      <c r="J168" t="s">
        <v>289</v>
      </c>
      <c r="K168">
        <v>1</v>
      </c>
      <c r="L168">
        <v>1</v>
      </c>
      <c r="M168">
        <v>1</v>
      </c>
      <c r="N168" s="1" t="str">
        <f>CONCATENATE(Table3[[#This Row],[Spell ID]])</f>
        <v>59567</v>
      </c>
      <c r="O168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["59567"] ={"Azure Drake", 59567, 43952, 2.8, 2.8, 0, "Drake", "Drop Eye of Eternity", 1, 0},</v>
      </c>
      <c r="P168" s="1" t="str">
        <f>CONCATENATE("https://www.wowhead.com/wotlk/item=",Table3[[#This Row],[ItemID]])</f>
        <v>https://www.wowhead.com/wotlk/item=43952</v>
      </c>
    </row>
    <row r="169" spans="1:16" x14ac:dyDescent="0.35">
      <c r="A169">
        <v>59568</v>
      </c>
      <c r="B169" t="s">
        <v>16</v>
      </c>
      <c r="C169" t="s">
        <v>376</v>
      </c>
      <c r="D169">
        <v>2.8</v>
      </c>
      <c r="E169" s="1">
        <v>2.8</v>
      </c>
      <c r="F169">
        <v>0</v>
      </c>
      <c r="G169">
        <v>1</v>
      </c>
      <c r="H169">
        <v>0</v>
      </c>
      <c r="I169">
        <v>43953</v>
      </c>
      <c r="J169" t="s">
        <v>299</v>
      </c>
      <c r="K169">
        <v>1</v>
      </c>
      <c r="L169">
        <v>1</v>
      </c>
      <c r="M169">
        <v>1</v>
      </c>
      <c r="N169" s="1" t="str">
        <f>CONCATENATE(Table3[[#This Row],[Spell ID]])</f>
        <v>59568</v>
      </c>
      <c r="O169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["59568"] ={"Blue Drake", 59568, 43953, 2.8, 2.8, 0, "Drake", "Drop, The Eye of Eternity", 1, 0},</v>
      </c>
      <c r="P169" s="1" t="str">
        <f>CONCATENATE("https://www.wowhead.com/wotlk/item=",Table3[[#This Row],[ItemID]])</f>
        <v>https://www.wowhead.com/wotlk/item=43953</v>
      </c>
    </row>
    <row r="170" spans="1:16" x14ac:dyDescent="0.35">
      <c r="A170">
        <v>59569</v>
      </c>
      <c r="B170" t="s">
        <v>20</v>
      </c>
      <c r="C170" t="s">
        <v>376</v>
      </c>
      <c r="D170">
        <v>2.8</v>
      </c>
      <c r="E170" s="1">
        <v>2.8</v>
      </c>
      <c r="F170">
        <v>0</v>
      </c>
      <c r="G170">
        <v>1</v>
      </c>
      <c r="H170">
        <v>0</v>
      </c>
      <c r="I170">
        <v>43951</v>
      </c>
      <c r="J170" t="s">
        <v>304</v>
      </c>
      <c r="K170">
        <v>1</v>
      </c>
      <c r="L170">
        <v>1</v>
      </c>
      <c r="M170">
        <v>1</v>
      </c>
      <c r="N170" s="1" t="str">
        <f>CONCATENATE(Table3[[#This Row],[Spell ID]])</f>
        <v>59569</v>
      </c>
      <c r="O170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["59569"] ={"Bronze Drake", 59569, 43951, 2.8, 2.8, 0, "Drake", "Drop The Culling of Stratholme", 1, 0},</v>
      </c>
      <c r="P170" s="1" t="str">
        <f>CONCATENATE("https://www.wowhead.com/wotlk/item=",Table3[[#This Row],[ItemID]])</f>
        <v>https://www.wowhead.com/wotlk/item=43951</v>
      </c>
    </row>
    <row r="171" spans="1:16" x14ac:dyDescent="0.35">
      <c r="A171">
        <v>59570</v>
      </c>
      <c r="B171" t="s">
        <v>49</v>
      </c>
      <c r="C171" t="s">
        <v>376</v>
      </c>
      <c r="D171">
        <v>2.8</v>
      </c>
      <c r="E171" s="1">
        <v>2.8</v>
      </c>
      <c r="F171">
        <v>0</v>
      </c>
      <c r="G171">
        <v>1</v>
      </c>
      <c r="H171">
        <v>0</v>
      </c>
      <c r="I171">
        <v>43955</v>
      </c>
      <c r="J171" t="s">
        <v>332</v>
      </c>
      <c r="K171">
        <v>1</v>
      </c>
      <c r="L171">
        <v>1</v>
      </c>
      <c r="M171">
        <v>1</v>
      </c>
      <c r="N171" s="1" t="str">
        <f>CONCATENATE(Table3[[#This Row],[Spell ID]])</f>
        <v>59570</v>
      </c>
      <c r="O171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["59570"] ={"Red Drake", 59570, 43955, 2.8, 2.8, 0, "Drake", "Exalted, Wyrmrest Accord", 1, 0},</v>
      </c>
      <c r="P171" s="1" t="str">
        <f>CONCATENATE("https://www.wowhead.com/wotlk/item=",Table3[[#This Row],[ItemID]])</f>
        <v>https://www.wowhead.com/wotlk/item=43955</v>
      </c>
    </row>
    <row r="172" spans="1:16" x14ac:dyDescent="0.35">
      <c r="A172">
        <v>59571</v>
      </c>
      <c r="B172" t="s">
        <v>70</v>
      </c>
      <c r="C172" t="s">
        <v>376</v>
      </c>
      <c r="D172">
        <v>2.8</v>
      </c>
      <c r="E172" s="1">
        <v>2.8</v>
      </c>
      <c r="F172">
        <v>0</v>
      </c>
      <c r="G172">
        <v>1</v>
      </c>
      <c r="H172">
        <v>0</v>
      </c>
      <c r="I172">
        <v>43954</v>
      </c>
      <c r="J172" t="s">
        <v>292</v>
      </c>
      <c r="K172">
        <v>1</v>
      </c>
      <c r="L172">
        <v>1</v>
      </c>
      <c r="M172">
        <v>1</v>
      </c>
      <c r="N172" s="1" t="str">
        <f>CONCATENATE(Table3[[#This Row],[Spell ID]])</f>
        <v>59571</v>
      </c>
      <c r="O172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["59571"] ={"Twilight Drake", 59571, 43954, 2.8, 2.8, 0, "Drake", "Drop, The Obsidian Sanctum", 1, 0},</v>
      </c>
      <c r="P172" s="1" t="str">
        <f>CONCATENATE("https://www.wowhead.com/wotlk/item=",Table3[[#This Row],[ItemID]])</f>
        <v>https://www.wowhead.com/wotlk/item=43954</v>
      </c>
    </row>
    <row r="173" spans="1:16" x14ac:dyDescent="0.35">
      <c r="A173">
        <v>59572</v>
      </c>
      <c r="B173" t="s">
        <v>91</v>
      </c>
      <c r="C173" t="s">
        <v>387</v>
      </c>
      <c r="D173">
        <v>1</v>
      </c>
      <c r="E173" s="1">
        <v>1</v>
      </c>
      <c r="F173">
        <v>0</v>
      </c>
      <c r="G173">
        <v>1</v>
      </c>
      <c r="H173">
        <v>0</v>
      </c>
      <c r="I173">
        <v>43964</v>
      </c>
      <c r="J173" t="s">
        <v>281</v>
      </c>
      <c r="K173">
        <v>1</v>
      </c>
      <c r="L173">
        <v>1</v>
      </c>
      <c r="M173">
        <v>1</v>
      </c>
      <c r="N173" s="1" t="str">
        <f>CONCATENATE(Table3[[#This Row],[Spell ID]])</f>
        <v>59572</v>
      </c>
      <c r="O173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["59572"] ={"Black Polar Bear", 59572, 43964, 1, 1, 0, "Bear", "Removed", 1, 0},</v>
      </c>
      <c r="P173" s="1" t="str">
        <f>CONCATENATE("https://www.wowhead.com/wotlk/item=",Table3[[#This Row],[ItemID]])</f>
        <v>https://www.wowhead.com/wotlk/item=43964</v>
      </c>
    </row>
    <row r="174" spans="1:16" x14ac:dyDescent="0.35">
      <c r="A174">
        <v>59650</v>
      </c>
      <c r="B174" t="s">
        <v>12</v>
      </c>
      <c r="C174" t="s">
        <v>376</v>
      </c>
      <c r="D174">
        <v>2.8</v>
      </c>
      <c r="E174" s="1">
        <v>2.8</v>
      </c>
      <c r="F174">
        <v>0</v>
      </c>
      <c r="G174">
        <v>1</v>
      </c>
      <c r="H174">
        <v>0</v>
      </c>
      <c r="I174">
        <v>43986</v>
      </c>
      <c r="J174" t="s">
        <v>292</v>
      </c>
      <c r="K174">
        <v>1</v>
      </c>
      <c r="L174">
        <v>1</v>
      </c>
      <c r="M174">
        <v>1</v>
      </c>
      <c r="N174" s="1" t="str">
        <f>CONCATENATE(Table3[[#This Row],[Spell ID]])</f>
        <v>59650</v>
      </c>
      <c r="O174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["59650"] ={"Black Drake", 59650, 43986, 2.8, 2.8, 0, "Drake", "Drop, The Obsidian Sanctum", 1, 0},</v>
      </c>
      <c r="P174" s="1" t="str">
        <f>CONCATENATE("https://www.wowhead.com/wotlk/item=",Table3[[#This Row],[ItemID]])</f>
        <v>https://www.wowhead.com/wotlk/item=43986</v>
      </c>
    </row>
    <row r="175" spans="1:16" x14ac:dyDescent="0.35">
      <c r="A175">
        <v>59788</v>
      </c>
      <c r="B175" t="s">
        <v>99</v>
      </c>
      <c r="C175" t="s">
        <v>368</v>
      </c>
      <c r="D175">
        <v>1</v>
      </c>
      <c r="E175" s="1">
        <v>1</v>
      </c>
      <c r="F175">
        <v>0</v>
      </c>
      <c r="G175">
        <v>1</v>
      </c>
      <c r="H175">
        <v>0</v>
      </c>
      <c r="I175">
        <v>44077</v>
      </c>
      <c r="J175" t="s">
        <v>400</v>
      </c>
      <c r="L175">
        <v>1</v>
      </c>
      <c r="M175">
        <v>1</v>
      </c>
      <c r="N175" s="1" t="str">
        <f>CONCATENATE(Table3[[#This Row],[Spell ID]])</f>
        <v>59788</v>
      </c>
      <c r="O175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["59788"] ={"Black War Mammoth", 59788, 44077, 1, 1, 0, "Mammoth", "Stone Keeper's Shard", 1, 0},</v>
      </c>
      <c r="P175" s="1" t="str">
        <f>CONCATENATE("https://www.wowhead.com/wotlk/item=",Table3[[#This Row],[ItemID]])</f>
        <v>https://www.wowhead.com/wotlk/item=44077</v>
      </c>
    </row>
    <row r="176" spans="1:16" x14ac:dyDescent="0.35">
      <c r="A176">
        <v>59793</v>
      </c>
      <c r="B176" t="s">
        <v>273</v>
      </c>
      <c r="C176" t="s">
        <v>368</v>
      </c>
      <c r="D176">
        <v>1</v>
      </c>
      <c r="E176" s="1">
        <v>1</v>
      </c>
      <c r="F176">
        <v>0</v>
      </c>
      <c r="G176">
        <v>1</v>
      </c>
      <c r="H176">
        <v>0</v>
      </c>
      <c r="I176">
        <v>44231</v>
      </c>
      <c r="J176" t="s">
        <v>398</v>
      </c>
      <c r="L176">
        <v>1</v>
      </c>
      <c r="M176">
        <v>1</v>
      </c>
      <c r="N176" s="1" t="str">
        <f>CONCATENATE(Table3[[#This Row],[Spell ID]])</f>
        <v>59793</v>
      </c>
      <c r="O176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["59793"] ={"Wooly Mammoth", 59793, 44231, 1, 1, 0, "Mammoth", "Embelm of Heroism", 1, 0},</v>
      </c>
      <c r="P176" s="1" t="str">
        <f>CONCATENATE("https://www.wowhead.com/wotlk/item=",Table3[[#This Row],[ItemID]])</f>
        <v>https://www.wowhead.com/wotlk/item=44231</v>
      </c>
    </row>
    <row r="177" spans="1:16" x14ac:dyDescent="0.35">
      <c r="A177">
        <v>59799</v>
      </c>
      <c r="B177" t="s">
        <v>166</v>
      </c>
      <c r="C177" t="s">
        <v>368</v>
      </c>
      <c r="D177">
        <v>1</v>
      </c>
      <c r="E177" s="1">
        <v>1</v>
      </c>
      <c r="F177">
        <v>0</v>
      </c>
      <c r="G177">
        <v>1</v>
      </c>
      <c r="H177">
        <v>0</v>
      </c>
      <c r="I177">
        <v>44080</v>
      </c>
      <c r="J177" t="s">
        <v>399</v>
      </c>
      <c r="L177">
        <v>1</v>
      </c>
      <c r="M177">
        <v>1</v>
      </c>
      <c r="N177" s="1" t="str">
        <f>CONCATENATE(Table3[[#This Row],[Spell ID]])</f>
        <v>59799</v>
      </c>
      <c r="O177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["59799"] ={"Ice Mammoth", 59799, 44080, 1, 1, 0, "Mammoth", "Revered Sons of Hodir", 1, 0},</v>
      </c>
      <c r="P177" s="1" t="str">
        <f>CONCATENATE("https://www.wowhead.com/wotlk/item=",Table3[[#This Row],[ItemID]])</f>
        <v>https://www.wowhead.com/wotlk/item=44080</v>
      </c>
    </row>
    <row r="178" spans="1:16" x14ac:dyDescent="0.35">
      <c r="A178">
        <v>59961</v>
      </c>
      <c r="B178" t="s">
        <v>50</v>
      </c>
      <c r="C178" t="s">
        <v>378</v>
      </c>
      <c r="D178">
        <v>2.8</v>
      </c>
      <c r="E178" s="1">
        <v>2.8</v>
      </c>
      <c r="F178">
        <v>0</v>
      </c>
      <c r="G178">
        <v>1</v>
      </c>
      <c r="H178">
        <v>0</v>
      </c>
      <c r="I178">
        <v>44160</v>
      </c>
      <c r="J178" t="s">
        <v>279</v>
      </c>
      <c r="K178">
        <v>1</v>
      </c>
      <c r="L178">
        <v>1</v>
      </c>
      <c r="M178">
        <v>1</v>
      </c>
      <c r="N178" s="1" t="str">
        <f>CONCATENATE(Table3[[#This Row],[Spell ID]])</f>
        <v>59961</v>
      </c>
      <c r="O178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["59961"] ={"Red Proto-Drake", 59961, 44160, 2.8, 2.8, 0, "Proto-Drake", "Achievment", 1, 0},</v>
      </c>
      <c r="P178" s="1" t="str">
        <f>CONCATENATE("https://www.wowhead.com/wotlk/item=",Table3[[#This Row],[ItemID]])</f>
        <v>https://www.wowhead.com/wotlk/item=44160</v>
      </c>
    </row>
    <row r="179" spans="1:16" x14ac:dyDescent="0.35">
      <c r="A179">
        <v>59976</v>
      </c>
      <c r="B179" t="s">
        <v>13</v>
      </c>
      <c r="C179" t="s">
        <v>378</v>
      </c>
      <c r="D179">
        <v>3.1</v>
      </c>
      <c r="E179" s="1">
        <v>3.1</v>
      </c>
      <c r="F179">
        <v>0</v>
      </c>
      <c r="G179">
        <v>1</v>
      </c>
      <c r="H179">
        <v>0</v>
      </c>
      <c r="I179">
        <v>44164</v>
      </c>
      <c r="J179" t="s">
        <v>279</v>
      </c>
      <c r="K179">
        <v>1</v>
      </c>
      <c r="L179">
        <v>1</v>
      </c>
      <c r="M179">
        <v>1</v>
      </c>
      <c r="N179" s="1" t="str">
        <f>CONCATENATE(Table3[[#This Row],[Spell ID]])</f>
        <v>59976</v>
      </c>
      <c r="O179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["59976"] ={"Black Proto-Drake", 59976, 44164, 3.1, 3.1, 0, "Proto-Drake", "Achievment", 1, 0},</v>
      </c>
      <c r="P179" s="1" t="str">
        <f>CONCATENATE("https://www.wowhead.com/wotlk/item=",Table3[[#This Row],[ItemID]])</f>
        <v>https://www.wowhead.com/wotlk/item=44164</v>
      </c>
    </row>
    <row r="180" spans="1:16" x14ac:dyDescent="0.35">
      <c r="A180">
        <v>59996</v>
      </c>
      <c r="B180" t="s">
        <v>17</v>
      </c>
      <c r="C180" t="s">
        <v>378</v>
      </c>
      <c r="D180">
        <v>2.8</v>
      </c>
      <c r="E180" s="1">
        <v>2.8</v>
      </c>
      <c r="F180">
        <v>0</v>
      </c>
      <c r="G180">
        <v>1</v>
      </c>
      <c r="H180">
        <v>0</v>
      </c>
      <c r="I180">
        <v>44151</v>
      </c>
      <c r="J180" t="s">
        <v>300</v>
      </c>
      <c r="K180">
        <v>1</v>
      </c>
      <c r="L180">
        <v>1</v>
      </c>
      <c r="M180">
        <v>1</v>
      </c>
      <c r="N180" s="1" t="str">
        <f>CONCATENATE(Table3[[#This Row],[Spell ID]])</f>
        <v>59996</v>
      </c>
      <c r="O180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["59996"] ={"Blue Proto-Drake", 59996, 44151, 2.8, 2.8, 0, "Proto-Drake", "Drop, Skadi the Ruthless", 1, 0},</v>
      </c>
      <c r="P180" s="1" t="str">
        <f>CONCATENATE("https://www.wowhead.com/wotlk/item=",Table3[[#This Row],[ItemID]])</f>
        <v>https://www.wowhead.com/wotlk/item=44151</v>
      </c>
    </row>
    <row r="181" spans="1:16" x14ac:dyDescent="0.35">
      <c r="A181">
        <v>60002</v>
      </c>
      <c r="B181" t="s">
        <v>68</v>
      </c>
      <c r="C181" t="s">
        <v>378</v>
      </c>
      <c r="D181">
        <v>2.8</v>
      </c>
      <c r="E181" s="1">
        <v>2.8</v>
      </c>
      <c r="F181">
        <v>0</v>
      </c>
      <c r="G181">
        <v>1</v>
      </c>
      <c r="H181">
        <v>0</v>
      </c>
      <c r="I181">
        <v>44168</v>
      </c>
      <c r="J181" t="s">
        <v>338</v>
      </c>
      <c r="K181">
        <v>1</v>
      </c>
      <c r="L181">
        <v>1</v>
      </c>
      <c r="M181">
        <v>1</v>
      </c>
      <c r="N181" s="1" t="str">
        <f>CONCATENATE(Table3[[#This Row],[Spell ID]])</f>
        <v>60002</v>
      </c>
      <c r="O181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["60002"] ={"Time-Lost Proto-Drake", 60002, 44168, 2.8, 2.8, 0, "Proto-Drake", "Drop Rare", 1, 0},</v>
      </c>
      <c r="P181" s="1" t="str">
        <f>CONCATENATE("https://www.wowhead.com/wotlk/item=",Table3[[#This Row],[ItemID]])</f>
        <v>https://www.wowhead.com/wotlk/item=44168</v>
      </c>
    </row>
    <row r="182" spans="1:16" x14ac:dyDescent="0.35">
      <c r="A182">
        <v>60021</v>
      </c>
      <c r="B182" t="s">
        <v>45</v>
      </c>
      <c r="C182" t="s">
        <v>378</v>
      </c>
      <c r="D182">
        <v>3.1</v>
      </c>
      <c r="E182" s="1">
        <v>3.1</v>
      </c>
      <c r="F182">
        <v>0</v>
      </c>
      <c r="G182">
        <v>1</v>
      </c>
      <c r="H182">
        <v>0</v>
      </c>
      <c r="I182">
        <v>44175</v>
      </c>
      <c r="J182" t="s">
        <v>279</v>
      </c>
      <c r="K182">
        <v>1</v>
      </c>
      <c r="L182">
        <v>1</v>
      </c>
      <c r="M182">
        <v>1</v>
      </c>
      <c r="N182" s="1" t="str">
        <f>CONCATENATE(Table3[[#This Row],[Spell ID]])</f>
        <v>60021</v>
      </c>
      <c r="O182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["60021"] ={"Plagued Proto-Drake", 60021, 44175, 3.1, 3.1, 0, "Proto-Drake", "Achievment", 1, 0},</v>
      </c>
      <c r="P182" s="1" t="str">
        <f>CONCATENATE("https://www.wowhead.com/wotlk/item=",Table3[[#This Row],[ItemID]])</f>
        <v>https://www.wowhead.com/wotlk/item=44175</v>
      </c>
    </row>
    <row r="183" spans="1:16" x14ac:dyDescent="0.35">
      <c r="A183">
        <v>60024</v>
      </c>
      <c r="B183" t="s">
        <v>74</v>
      </c>
      <c r="C183" t="s">
        <v>378</v>
      </c>
      <c r="D183">
        <v>3.1</v>
      </c>
      <c r="E183" s="1">
        <v>3.1</v>
      </c>
      <c r="F183">
        <v>0</v>
      </c>
      <c r="G183">
        <v>1</v>
      </c>
      <c r="H183">
        <v>0</v>
      </c>
      <c r="I183">
        <v>44177</v>
      </c>
      <c r="J183" t="s">
        <v>279</v>
      </c>
      <c r="K183">
        <v>1</v>
      </c>
      <c r="L183">
        <v>1</v>
      </c>
      <c r="M183">
        <v>1</v>
      </c>
      <c r="N183" s="1" t="str">
        <f>CONCATENATE(Table3[[#This Row],[Spell ID]])</f>
        <v>60024</v>
      </c>
      <c r="O183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["60024"] ={"Violet Proto-Drake", 60024, 44177, 3.1, 3.1, 0, "Proto-Drake", "Achievment", 1, 0},</v>
      </c>
      <c r="P183" s="1" t="str">
        <f>CONCATENATE("https://www.wowhead.com/wotlk/item=",Table3[[#This Row],[ItemID]])</f>
        <v>https://www.wowhead.com/wotlk/item=44177</v>
      </c>
    </row>
    <row r="184" spans="1:16" x14ac:dyDescent="0.35">
      <c r="A184">
        <v>60025</v>
      </c>
      <c r="B184" t="s">
        <v>4</v>
      </c>
      <c r="C184" t="s">
        <v>376</v>
      </c>
      <c r="D184">
        <v>2.8</v>
      </c>
      <c r="E184" s="1">
        <v>2.8</v>
      </c>
      <c r="F184">
        <v>0</v>
      </c>
      <c r="G184">
        <v>1</v>
      </c>
      <c r="H184">
        <v>0</v>
      </c>
      <c r="I184">
        <v>44178</v>
      </c>
      <c r="J184" t="s">
        <v>279</v>
      </c>
      <c r="K184">
        <v>1</v>
      </c>
      <c r="L184">
        <v>1</v>
      </c>
      <c r="M184">
        <v>1</v>
      </c>
      <c r="N184" s="1" t="str">
        <f>CONCATENATE(Table3[[#This Row],[Spell ID]])</f>
        <v>60025</v>
      </c>
      <c r="O184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["60025"] ={"Albino Drake", 60025, 44178, 2.8, 2.8, 0, "Drake", "Achievment", 1, 0},</v>
      </c>
      <c r="P184" s="1" t="str">
        <f>CONCATENATE("https://www.wowhead.com/wotlk/item=",Table3[[#This Row],[ItemID]])</f>
        <v>https://www.wowhead.com/wotlk/item=44178</v>
      </c>
    </row>
    <row r="185" spans="1:16" x14ac:dyDescent="0.35">
      <c r="A185">
        <v>60116</v>
      </c>
      <c r="B185" t="s">
        <v>86</v>
      </c>
      <c r="C185" t="s">
        <v>387</v>
      </c>
      <c r="D185">
        <v>1</v>
      </c>
      <c r="E185" s="1">
        <v>1</v>
      </c>
      <c r="F185">
        <v>0</v>
      </c>
      <c r="G185">
        <v>1</v>
      </c>
      <c r="H185">
        <v>0</v>
      </c>
      <c r="I185">
        <v>44226</v>
      </c>
      <c r="J185" t="s">
        <v>285</v>
      </c>
      <c r="K185">
        <v>1</v>
      </c>
      <c r="L185">
        <v>1</v>
      </c>
      <c r="M185">
        <v>1</v>
      </c>
      <c r="N185" s="1" t="str">
        <f>CONCATENATE(Table3[[#This Row],[Spell ID]])</f>
        <v>60116</v>
      </c>
      <c r="O185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["60116"] ={"Armored Brown Bear", 60116, 44226, 1, 1, 0, "Bear", "Gold", 1, 0},</v>
      </c>
      <c r="P185" s="1" t="str">
        <f>CONCATENATE("https://www.wowhead.com/wotlk/item=",Table3[[#This Row],[ItemID]])</f>
        <v>https://www.wowhead.com/wotlk/item=44226</v>
      </c>
    </row>
    <row r="186" spans="1:16" x14ac:dyDescent="0.35">
      <c r="A186">
        <v>60119</v>
      </c>
      <c r="B186" t="s">
        <v>96</v>
      </c>
      <c r="C186" t="s">
        <v>387</v>
      </c>
      <c r="D186">
        <v>1</v>
      </c>
      <c r="E186" s="1">
        <v>1</v>
      </c>
      <c r="F186">
        <v>0</v>
      </c>
      <c r="G186">
        <v>1</v>
      </c>
      <c r="H186">
        <v>0</v>
      </c>
      <c r="I186">
        <v>44224</v>
      </c>
      <c r="J186" t="s">
        <v>279</v>
      </c>
      <c r="L186">
        <v>1</v>
      </c>
      <c r="M186">
        <v>1</v>
      </c>
      <c r="N186" s="1" t="str">
        <f>CONCATENATE(Table3[[#This Row],[Spell ID]])</f>
        <v>60119</v>
      </c>
      <c r="O186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["60119"] ={"Black War Bear", 60119, 44224, 1, 1, 0, "Bear", "Achievment", 1, 0},</v>
      </c>
      <c r="P186" s="1" t="str">
        <f>CONCATENATE("https://www.wowhead.com/wotlk/item=",Table3[[#This Row],[ItemID]])</f>
        <v>https://www.wowhead.com/wotlk/item=44224</v>
      </c>
    </row>
    <row r="187" spans="1:16" x14ac:dyDescent="0.35">
      <c r="A187">
        <v>60140</v>
      </c>
      <c r="B187" t="s">
        <v>146</v>
      </c>
      <c r="C187" t="s">
        <v>368</v>
      </c>
      <c r="D187">
        <v>1</v>
      </c>
      <c r="E187" s="1">
        <v>1</v>
      </c>
      <c r="F187">
        <v>0</v>
      </c>
      <c r="G187">
        <v>1</v>
      </c>
      <c r="H187">
        <v>0</v>
      </c>
      <c r="I187">
        <v>0</v>
      </c>
      <c r="J187" t="s">
        <v>318</v>
      </c>
      <c r="K187">
        <v>1</v>
      </c>
      <c r="L187">
        <v>1</v>
      </c>
      <c r="M187">
        <v>1</v>
      </c>
      <c r="N187" s="1" t="str">
        <f>CONCATENATE(Table3[[#This Row],[Spell ID]])</f>
        <v>60140</v>
      </c>
      <c r="O187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["60140"] ={"Grand Caravan Mammoth", 60140, 0, 1, 1, 0, "Mammoth", "removed", 1, 0},</v>
      </c>
      <c r="P187" s="1" t="str">
        <f>CONCATENATE("https://www.wowhead.com/wotlk/item=",Table3[[#This Row],[ItemID]])</f>
        <v>https://www.wowhead.com/wotlk/item=0</v>
      </c>
    </row>
    <row r="188" spans="1:16" x14ac:dyDescent="0.35">
      <c r="A188">
        <v>60424</v>
      </c>
      <c r="B188" t="s">
        <v>172</v>
      </c>
      <c r="C188" t="s">
        <v>389</v>
      </c>
      <c r="D188">
        <v>1</v>
      </c>
      <c r="E188" s="1">
        <v>1</v>
      </c>
      <c r="F188">
        <v>0</v>
      </c>
      <c r="G188">
        <v>1</v>
      </c>
      <c r="H188">
        <v>0</v>
      </c>
      <c r="I188">
        <v>44413</v>
      </c>
      <c r="J188" t="s">
        <v>314</v>
      </c>
      <c r="K188">
        <v>1</v>
      </c>
      <c r="M188">
        <v>1</v>
      </c>
      <c r="N188" s="1" t="str">
        <f>CONCATENATE(Table3[[#This Row],[Spell ID]])</f>
        <v>60424</v>
      </c>
      <c r="O188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["60424"] ={"Mekgineer's Chopper", 60424, 44413, 1, 1, 0, "Machine", "Engineering", 1, 0},</v>
      </c>
      <c r="P188" s="1" t="str">
        <f>CONCATENATE("https://www.wowhead.com/wotlk/item=",Table3[[#This Row],[ItemID]])</f>
        <v>https://www.wowhead.com/wotlk/item=44413</v>
      </c>
    </row>
    <row r="189" spans="1:16" x14ac:dyDescent="0.35">
      <c r="A189">
        <v>61229</v>
      </c>
      <c r="B189" t="s">
        <v>7</v>
      </c>
      <c r="C189" t="s">
        <v>380</v>
      </c>
      <c r="D189">
        <v>2.8</v>
      </c>
      <c r="E189" s="1">
        <v>2.8</v>
      </c>
      <c r="F189">
        <v>0</v>
      </c>
      <c r="G189">
        <v>1</v>
      </c>
      <c r="H189">
        <v>0</v>
      </c>
      <c r="I189">
        <v>44689</v>
      </c>
      <c r="J189" t="s">
        <v>285</v>
      </c>
      <c r="K189">
        <v>1</v>
      </c>
      <c r="M189">
        <v>1</v>
      </c>
      <c r="N189" s="1" t="str">
        <f>CONCATENATE(Table3[[#This Row],[Spell ID]])</f>
        <v>61229</v>
      </c>
      <c r="O189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["61229"] ={"Armored Snowy Gryphon", 61229, 44689, 2.8, 2.8, 0, "Gryphon", "Gold", 1, 0},</v>
      </c>
      <c r="P189" s="1" t="str">
        <f>CONCATENATE("https://www.wowhead.com/wotlk/item=",Table3[[#This Row],[ItemID]])</f>
        <v>https://www.wowhead.com/wotlk/item=44689</v>
      </c>
    </row>
    <row r="190" spans="1:16" x14ac:dyDescent="0.35">
      <c r="A190">
        <v>61230</v>
      </c>
      <c r="B190" t="s">
        <v>6</v>
      </c>
      <c r="C190" t="s">
        <v>381</v>
      </c>
      <c r="D190">
        <v>2.8</v>
      </c>
      <c r="E190" s="1">
        <v>2.8</v>
      </c>
      <c r="F190">
        <v>0</v>
      </c>
      <c r="G190">
        <v>1</v>
      </c>
      <c r="H190">
        <v>0</v>
      </c>
      <c r="I190">
        <v>44690</v>
      </c>
      <c r="J190" t="s">
        <v>285</v>
      </c>
      <c r="L190">
        <v>1</v>
      </c>
      <c r="M190">
        <v>1</v>
      </c>
      <c r="N190" s="1" t="str">
        <f>CONCATENATE(Table3[[#This Row],[Spell ID]])</f>
        <v>61230</v>
      </c>
      <c r="O190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["61230"] ={"Armored Blue Wind Rider", 61230, 44690, 2.8, 2.8, 0, "Wind Rider", "Gold", 1, 0},</v>
      </c>
      <c r="P190" s="1" t="str">
        <f>CONCATENATE("https://www.wowhead.com/wotlk/item=",Table3[[#This Row],[ItemID]])</f>
        <v>https://www.wowhead.com/wotlk/item=44690</v>
      </c>
    </row>
    <row r="191" spans="1:16" x14ac:dyDescent="0.35">
      <c r="A191">
        <v>61294</v>
      </c>
      <c r="B191" t="s">
        <v>33</v>
      </c>
      <c r="C191" t="s">
        <v>378</v>
      </c>
      <c r="D191">
        <v>2.8</v>
      </c>
      <c r="E191" s="1">
        <v>2.8</v>
      </c>
      <c r="F191">
        <v>0</v>
      </c>
      <c r="G191">
        <v>1</v>
      </c>
      <c r="H191">
        <v>0</v>
      </c>
      <c r="I191">
        <v>44707</v>
      </c>
      <c r="J191" t="s">
        <v>321</v>
      </c>
      <c r="K191">
        <v>1</v>
      </c>
      <c r="L191">
        <v>1</v>
      </c>
      <c r="M191">
        <v>1</v>
      </c>
      <c r="N191" s="1" t="str">
        <f>CONCATENATE(Table3[[#This Row],[Spell ID]])</f>
        <v>61294</v>
      </c>
      <c r="O191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["61294"] ={"Green Proto-Drake", 61294, 44707, 2.8, 2.8, 0, "Proto-Drake", "Revered Oracles, Mysterious Egg", 1, 0},</v>
      </c>
      <c r="P191" s="1" t="str">
        <f>CONCATENATE("https://www.wowhead.com/wotlk/item=",Table3[[#This Row],[ItemID]])</f>
        <v>https://www.wowhead.com/wotlk/item=44707</v>
      </c>
    </row>
    <row r="192" spans="1:16" x14ac:dyDescent="0.35">
      <c r="A192">
        <v>61309</v>
      </c>
      <c r="B192" t="s">
        <v>38</v>
      </c>
      <c r="C192" t="s">
        <v>392</v>
      </c>
      <c r="D192">
        <v>2.8</v>
      </c>
      <c r="E192" s="1">
        <v>2.8</v>
      </c>
      <c r="F192">
        <v>0</v>
      </c>
      <c r="G192">
        <v>1</v>
      </c>
      <c r="H192">
        <v>0</v>
      </c>
      <c r="I192">
        <v>44558</v>
      </c>
      <c r="J192" t="s">
        <v>313</v>
      </c>
      <c r="K192">
        <v>1</v>
      </c>
      <c r="L192">
        <v>1</v>
      </c>
      <c r="M192">
        <v>1</v>
      </c>
      <c r="N192" s="1" t="str">
        <f>CONCATENATE(Table3[[#This Row],[Spell ID]])</f>
        <v>61309</v>
      </c>
      <c r="O192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["61309"] ={"Magnificent Flying Carpet", 61309, 44558, 2.8, 2.8, 0, "Carpet", "Tailoring", 1, 0},</v>
      </c>
      <c r="P192" s="1" t="str">
        <f>CONCATENATE("https://www.wowhead.com/wotlk/item=",Table3[[#This Row],[ItemID]])</f>
        <v>https://www.wowhead.com/wotlk/item=44558</v>
      </c>
    </row>
    <row r="193" spans="1:16" x14ac:dyDescent="0.35">
      <c r="A193">
        <v>61447</v>
      </c>
      <c r="B193" t="s">
        <v>256</v>
      </c>
      <c r="C193" t="s">
        <v>368</v>
      </c>
      <c r="D193">
        <v>1</v>
      </c>
      <c r="E193" s="1">
        <v>1</v>
      </c>
      <c r="F193">
        <v>0</v>
      </c>
      <c r="G193">
        <v>1</v>
      </c>
      <c r="H193">
        <v>0</v>
      </c>
      <c r="I193">
        <v>44235</v>
      </c>
      <c r="J193" t="s">
        <v>285</v>
      </c>
      <c r="K193">
        <v>1</v>
      </c>
      <c r="M193">
        <v>1</v>
      </c>
      <c r="N193" s="1" t="str">
        <f>CONCATENATE(Table3[[#This Row],[Spell ID]])</f>
        <v>61447</v>
      </c>
      <c r="O193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["61447"] ={"Traveler's Tundra Mammoth", 61447, 44235, 1, 1, 0, "Mammoth", "Gold", 1, 0},</v>
      </c>
      <c r="P193" s="1" t="str">
        <f>CONCATENATE("https://www.wowhead.com/wotlk/item=",Table3[[#This Row],[ItemID]])</f>
        <v>https://www.wowhead.com/wotlk/item=44235</v>
      </c>
    </row>
    <row r="194" spans="1:16" x14ac:dyDescent="0.35">
      <c r="A194">
        <v>61451</v>
      </c>
      <c r="B194" t="s">
        <v>26</v>
      </c>
      <c r="C194" t="s">
        <v>392</v>
      </c>
      <c r="D194">
        <v>1.5</v>
      </c>
      <c r="E194" s="1">
        <v>1.5</v>
      </c>
      <c r="F194">
        <v>0</v>
      </c>
      <c r="G194">
        <v>1</v>
      </c>
      <c r="H194">
        <v>0</v>
      </c>
      <c r="I194">
        <v>44554</v>
      </c>
      <c r="J194" t="s">
        <v>313</v>
      </c>
      <c r="K194">
        <v>1</v>
      </c>
      <c r="L194">
        <v>1</v>
      </c>
      <c r="M194">
        <v>1</v>
      </c>
      <c r="N194" s="1" t="str">
        <f>CONCATENATE(Table3[[#This Row],[Spell ID]])</f>
        <v>61451</v>
      </c>
      <c r="O194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["61451"] ={"Flying Carpet", 61451, 44554, 1.5, 1.5, 0, "Carpet", "Tailoring", 1, 0},</v>
      </c>
      <c r="P194" s="1" t="str">
        <f>CONCATENATE("https://www.wowhead.com/wotlk/item=",Table3[[#This Row],[ItemID]])</f>
        <v>https://www.wowhead.com/wotlk/item=44554</v>
      </c>
    </row>
    <row r="195" spans="1:16" x14ac:dyDescent="0.35">
      <c r="A195">
        <v>61467</v>
      </c>
      <c r="B195" t="s">
        <v>145</v>
      </c>
      <c r="C195" t="s">
        <v>368</v>
      </c>
      <c r="D195">
        <v>1</v>
      </c>
      <c r="E195" s="1">
        <v>1</v>
      </c>
      <c r="F195">
        <v>0</v>
      </c>
      <c r="G195">
        <v>1</v>
      </c>
      <c r="H195">
        <v>0</v>
      </c>
      <c r="I195">
        <v>44083</v>
      </c>
      <c r="J195" t="s">
        <v>402</v>
      </c>
      <c r="L195">
        <v>1</v>
      </c>
      <c r="M195">
        <v>1</v>
      </c>
      <c r="N195" s="1" t="str">
        <f>CONCATENATE(Table3[[#This Row],[Spell ID]])</f>
        <v>61467</v>
      </c>
      <c r="O195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["61467"] ={"Grand Black War Mammoth", 61467, 44083, 1, 1, 0, "Mammoth", "Drop Vault", 1, 0},</v>
      </c>
      <c r="P195" s="1" t="str">
        <f>CONCATENATE("https://www.wowhead.com/wotlk/item=",Table3[[#This Row],[ItemID]])</f>
        <v>https://www.wowhead.com/wotlk/item=44083</v>
      </c>
    </row>
    <row r="196" spans="1:16" x14ac:dyDescent="0.35">
      <c r="A196">
        <v>61470</v>
      </c>
      <c r="B196" t="s">
        <v>147</v>
      </c>
      <c r="C196" t="s">
        <v>368</v>
      </c>
      <c r="D196">
        <v>1</v>
      </c>
      <c r="E196" s="1">
        <v>1</v>
      </c>
      <c r="F196">
        <v>0</v>
      </c>
      <c r="G196">
        <v>1</v>
      </c>
      <c r="H196">
        <v>0</v>
      </c>
      <c r="I196">
        <v>44086</v>
      </c>
      <c r="J196" t="s">
        <v>421</v>
      </c>
      <c r="L196">
        <v>1</v>
      </c>
      <c r="M196">
        <v>1</v>
      </c>
      <c r="N196" s="1" t="str">
        <f>CONCATENATE(Table3[[#This Row],[Spell ID]])</f>
        <v>61470</v>
      </c>
      <c r="O196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["61470"] ={"Grand Ice Mammoth", 61470, 44086, 1, 1, 0, "Mammoth", "Exalted Sons of Hodir", 1, 0},</v>
      </c>
      <c r="P196" s="1" t="str">
        <f>CONCATENATE("https://www.wowhead.com/wotlk/item=",Table3[[#This Row],[ItemID]])</f>
        <v>https://www.wowhead.com/wotlk/item=44086</v>
      </c>
    </row>
    <row r="197" spans="1:16" x14ac:dyDescent="0.35">
      <c r="A197">
        <v>61996</v>
      </c>
      <c r="B197" t="s">
        <v>15</v>
      </c>
      <c r="C197" t="s">
        <v>393</v>
      </c>
      <c r="D197">
        <v>2.8</v>
      </c>
      <c r="E197" s="1">
        <v>2.8</v>
      </c>
      <c r="F197">
        <v>0</v>
      </c>
      <c r="G197">
        <v>1</v>
      </c>
      <c r="H197">
        <v>0</v>
      </c>
      <c r="I197">
        <v>44843</v>
      </c>
      <c r="J197" t="s">
        <v>279</v>
      </c>
      <c r="K197">
        <v>1</v>
      </c>
      <c r="M197">
        <v>1</v>
      </c>
      <c r="N197" s="1" t="str">
        <f>CONCATENATE(Table3[[#This Row],[Spell ID]])</f>
        <v>61996</v>
      </c>
      <c r="O197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["61996"] ={"Blue Dragonhawk", 61996, 44843, 2.8, 2.8, 0, "DragonHawk", "Achievment", 1, 0},</v>
      </c>
      <c r="P197" s="1" t="str">
        <f>CONCATENATE("https://www.wowhead.com/wotlk/item=",Table3[[#This Row],[ItemID]])</f>
        <v>https://www.wowhead.com/wotlk/item=44843</v>
      </c>
    </row>
    <row r="198" spans="1:16" x14ac:dyDescent="0.35">
      <c r="A198">
        <v>61997</v>
      </c>
      <c r="B198" t="s">
        <v>48</v>
      </c>
      <c r="C198" t="s">
        <v>393</v>
      </c>
      <c r="D198">
        <v>2.8</v>
      </c>
      <c r="E198" s="1">
        <v>2.8</v>
      </c>
      <c r="F198">
        <v>0</v>
      </c>
      <c r="G198">
        <v>1</v>
      </c>
      <c r="H198">
        <v>0</v>
      </c>
      <c r="I198">
        <v>44842</v>
      </c>
      <c r="J198" t="s">
        <v>279</v>
      </c>
      <c r="L198">
        <v>1</v>
      </c>
      <c r="M198">
        <v>1</v>
      </c>
      <c r="N198" s="1" t="str">
        <f>CONCATENATE(Table3[[#This Row],[Spell ID]])</f>
        <v>61997</v>
      </c>
      <c r="O198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["61997"] ={"Red Dragonhawk", 61997, 44842, 2.8, 2.8, 0, "DragonHawk", "Achievment", 1, 0},</v>
      </c>
      <c r="P198" s="1" t="str">
        <f>CONCATENATE("https://www.wowhead.com/wotlk/item=",Table3[[#This Row],[ItemID]])</f>
        <v>https://www.wowhead.com/wotlk/item=44842</v>
      </c>
    </row>
    <row r="199" spans="1:16" x14ac:dyDescent="0.35">
      <c r="A199">
        <v>62048</v>
      </c>
      <c r="B199" t="s">
        <v>11</v>
      </c>
      <c r="C199" t="s">
        <v>393</v>
      </c>
      <c r="D199">
        <v>2.8</v>
      </c>
      <c r="E199" s="1">
        <v>2.8</v>
      </c>
      <c r="F199">
        <v>0</v>
      </c>
      <c r="G199">
        <v>1</v>
      </c>
      <c r="H199">
        <v>0</v>
      </c>
      <c r="I199">
        <v>44857</v>
      </c>
      <c r="J199" t="s">
        <v>281</v>
      </c>
      <c r="K199">
        <v>1</v>
      </c>
      <c r="L199">
        <v>1</v>
      </c>
      <c r="M199">
        <v>1</v>
      </c>
      <c r="N199" s="1" t="str">
        <f>CONCATENATE(Table3[[#This Row],[Spell ID]])</f>
        <v>62048</v>
      </c>
      <c r="O199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["62048"] ={"Black Dragonhawk Mount", 62048, 44857, 2.8, 2.8, 0, "DragonHawk", "Removed", 1, 0},</v>
      </c>
      <c r="P199" s="1" t="str">
        <f>CONCATENATE("https://www.wowhead.com/wotlk/item=",Table3[[#This Row],[ItemID]])</f>
        <v>https://www.wowhead.com/wotlk/item=44857</v>
      </c>
    </row>
    <row r="200" spans="1:16" x14ac:dyDescent="0.35">
      <c r="A200">
        <v>63232</v>
      </c>
      <c r="B200" t="s">
        <v>205</v>
      </c>
      <c r="C200" t="s">
        <v>369</v>
      </c>
      <c r="D200">
        <v>1</v>
      </c>
      <c r="E200" s="1">
        <v>1</v>
      </c>
      <c r="F200">
        <v>0</v>
      </c>
      <c r="G200">
        <v>1</v>
      </c>
      <c r="H200">
        <v>0</v>
      </c>
      <c r="I200">
        <v>45125</v>
      </c>
      <c r="J200" t="s">
        <v>283</v>
      </c>
      <c r="K200">
        <v>1</v>
      </c>
      <c r="M200">
        <v>1</v>
      </c>
      <c r="N200" s="1" t="str">
        <f>CONCATENATE(Table3[[#This Row],[Spell ID]])</f>
        <v>63232</v>
      </c>
      <c r="O200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["63232"] ={"Stormwind Steed", 63232, 45125, 1, 1, 0, "Horse", "Champion's Seals", 1, 0},</v>
      </c>
      <c r="P200" s="1" t="str">
        <f>CONCATENATE("https://www.wowhead.com/wotlk/item=",Table3[[#This Row],[ItemID]])</f>
        <v>https://www.wowhead.com/wotlk/item=45125</v>
      </c>
    </row>
    <row r="201" spans="1:16" x14ac:dyDescent="0.35">
      <c r="A201">
        <v>63635</v>
      </c>
      <c r="B201" t="s">
        <v>131</v>
      </c>
      <c r="C201" t="s">
        <v>372</v>
      </c>
      <c r="D201">
        <v>1</v>
      </c>
      <c r="E201" s="1">
        <v>1</v>
      </c>
      <c r="F201">
        <v>0</v>
      </c>
      <c r="G201">
        <v>1</v>
      </c>
      <c r="H201">
        <v>0</v>
      </c>
      <c r="I201">
        <v>45593</v>
      </c>
      <c r="J201" t="s">
        <v>281</v>
      </c>
      <c r="L201">
        <v>1</v>
      </c>
      <c r="M201">
        <v>1</v>
      </c>
      <c r="N201" s="1" t="str">
        <f>CONCATENATE(Table3[[#This Row],[Spell ID]])</f>
        <v>63635</v>
      </c>
      <c r="O201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["63635"] ={"Darkspear Raptor", 63635, 45593, 1, 1, 0, "Raptor", "Removed", 1, 0},</v>
      </c>
      <c r="P201" s="1" t="str">
        <f>CONCATENATE("https://www.wowhead.com/wotlk/item=",Table3[[#This Row],[ItemID]])</f>
        <v>https://www.wowhead.com/wotlk/item=45593</v>
      </c>
    </row>
    <row r="202" spans="1:16" x14ac:dyDescent="0.35">
      <c r="A202">
        <v>63636</v>
      </c>
      <c r="B202" t="s">
        <v>168</v>
      </c>
      <c r="C202" t="s">
        <v>371</v>
      </c>
      <c r="D202">
        <v>1</v>
      </c>
      <c r="E202" s="1">
        <v>1</v>
      </c>
      <c r="F202">
        <v>0</v>
      </c>
      <c r="G202">
        <v>1</v>
      </c>
      <c r="H202">
        <v>0</v>
      </c>
      <c r="I202">
        <v>45586</v>
      </c>
      <c r="J202" t="s">
        <v>283</v>
      </c>
      <c r="K202">
        <v>1</v>
      </c>
      <c r="M202">
        <v>1</v>
      </c>
      <c r="N202" s="1" t="str">
        <f>CONCATENATE(Table3[[#This Row],[Spell ID]])</f>
        <v>63636</v>
      </c>
      <c r="O202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["63636"] ={"Ironforge Ram", 63636, 45586, 1, 1, 0, "Ram", "Champion's Seals", 1, 0},</v>
      </c>
      <c r="P202" s="1" t="str">
        <f>CONCATENATE("https://www.wowhead.com/wotlk/item=",Table3[[#This Row],[ItemID]])</f>
        <v>https://www.wowhead.com/wotlk/item=45586</v>
      </c>
    </row>
    <row r="203" spans="1:16" x14ac:dyDescent="0.35">
      <c r="A203">
        <v>63637</v>
      </c>
      <c r="B203" t="s">
        <v>132</v>
      </c>
      <c r="C203" t="s">
        <v>373</v>
      </c>
      <c r="D203">
        <v>1</v>
      </c>
      <c r="E203" s="1">
        <v>1</v>
      </c>
      <c r="F203">
        <v>0</v>
      </c>
      <c r="G203">
        <v>1</v>
      </c>
      <c r="H203">
        <v>0</v>
      </c>
      <c r="I203">
        <v>45591</v>
      </c>
      <c r="J203" t="s">
        <v>283</v>
      </c>
      <c r="K203">
        <v>1</v>
      </c>
      <c r="M203">
        <v>1</v>
      </c>
      <c r="N203" s="1" t="str">
        <f>CONCATENATE(Table3[[#This Row],[Spell ID]])</f>
        <v>63637</v>
      </c>
      <c r="O203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["63637"] ={"Darnassian Nightsaber", 63637, 45591, 1, 1, 0, "Saber", "Champion's Seals", 1, 0},</v>
      </c>
      <c r="P203" s="1" t="str">
        <f>CONCATENATE("https://www.wowhead.com/wotlk/item=",Table3[[#This Row],[ItemID]])</f>
        <v>https://www.wowhead.com/wotlk/item=45591</v>
      </c>
    </row>
    <row r="204" spans="1:16" x14ac:dyDescent="0.35">
      <c r="A204">
        <v>63638</v>
      </c>
      <c r="B204" t="s">
        <v>143</v>
      </c>
      <c r="C204" t="s">
        <v>365</v>
      </c>
      <c r="D204">
        <v>1</v>
      </c>
      <c r="E204" s="1">
        <v>1</v>
      </c>
      <c r="F204">
        <v>0</v>
      </c>
      <c r="G204">
        <v>1</v>
      </c>
      <c r="H204">
        <v>0</v>
      </c>
      <c r="I204">
        <v>45589</v>
      </c>
      <c r="J204" t="s">
        <v>283</v>
      </c>
      <c r="K204">
        <v>1</v>
      </c>
      <c r="M204">
        <v>1</v>
      </c>
      <c r="N204" s="1" t="str">
        <f>CONCATENATE(Table3[[#This Row],[Spell ID]])</f>
        <v>63638</v>
      </c>
      <c r="O204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["63638"] ={"Gnomeregan Mechanostrider", 63638, 45589, 1, 1, 0, "Mechanostrider", "Champion's Seals", 1, 0},</v>
      </c>
      <c r="P204" s="1" t="str">
        <f>CONCATENATE("https://www.wowhead.com/wotlk/item=",Table3[[#This Row],[ItemID]])</f>
        <v>https://www.wowhead.com/wotlk/item=45589</v>
      </c>
    </row>
    <row r="205" spans="1:16" x14ac:dyDescent="0.35">
      <c r="A205">
        <v>63639</v>
      </c>
      <c r="B205" t="s">
        <v>136</v>
      </c>
      <c r="C205" t="s">
        <v>367</v>
      </c>
      <c r="D205">
        <v>1</v>
      </c>
      <c r="E205" s="1">
        <v>1</v>
      </c>
      <c r="F205">
        <v>0</v>
      </c>
      <c r="G205">
        <v>1</v>
      </c>
      <c r="H205">
        <v>0</v>
      </c>
      <c r="I205">
        <v>45590</v>
      </c>
      <c r="J205" t="s">
        <v>283</v>
      </c>
      <c r="K205">
        <v>1</v>
      </c>
      <c r="M205">
        <v>1</v>
      </c>
      <c r="N205" s="1" t="str">
        <f>CONCATENATE(Table3[[#This Row],[Spell ID]])</f>
        <v>63639</v>
      </c>
      <c r="O205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["63639"] ={"Exodar Elekk", 63639, 45590, 1, 1, 0, "Elekk", "Champion's Seals", 1, 0},</v>
      </c>
      <c r="P205" s="1" t="str">
        <f>CONCATENATE("https://www.wowhead.com/wotlk/item=",Table3[[#This Row],[ItemID]])</f>
        <v>https://www.wowhead.com/wotlk/item=45590</v>
      </c>
    </row>
    <row r="206" spans="1:16" x14ac:dyDescent="0.35">
      <c r="A206">
        <v>63640</v>
      </c>
      <c r="B206" t="s">
        <v>177</v>
      </c>
      <c r="C206" t="s">
        <v>370</v>
      </c>
      <c r="D206">
        <v>1</v>
      </c>
      <c r="E206" s="1">
        <v>1</v>
      </c>
      <c r="F206">
        <v>0</v>
      </c>
      <c r="G206">
        <v>1</v>
      </c>
      <c r="H206">
        <v>0</v>
      </c>
      <c r="I206">
        <v>45595</v>
      </c>
      <c r="J206" t="s">
        <v>283</v>
      </c>
      <c r="L206">
        <v>1</v>
      </c>
      <c r="M206">
        <v>1</v>
      </c>
      <c r="N206" s="1" t="str">
        <f>CONCATENATE(Table3[[#This Row],[Spell ID]])</f>
        <v>63640</v>
      </c>
      <c r="O206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["63640"] ={"Orgrimmar Wolf", 63640, 45595, 1, 1, 0, "Wolf", "Champion's Seals", 1, 0},</v>
      </c>
      <c r="P206" s="1" t="str">
        <f>CONCATENATE("https://www.wowhead.com/wotlk/item=",Table3[[#This Row],[ItemID]])</f>
        <v>https://www.wowhead.com/wotlk/item=45595</v>
      </c>
    </row>
    <row r="207" spans="1:16" x14ac:dyDescent="0.35">
      <c r="A207">
        <v>63641</v>
      </c>
      <c r="B207" t="s">
        <v>254</v>
      </c>
      <c r="C207" t="s">
        <v>375</v>
      </c>
      <c r="D207">
        <v>1</v>
      </c>
      <c r="E207" s="1">
        <v>1</v>
      </c>
      <c r="F207">
        <v>0</v>
      </c>
      <c r="G207">
        <v>1</v>
      </c>
      <c r="H207">
        <v>0</v>
      </c>
      <c r="I207">
        <v>45592</v>
      </c>
      <c r="J207" t="s">
        <v>283</v>
      </c>
      <c r="L207">
        <v>1</v>
      </c>
      <c r="M207">
        <v>1</v>
      </c>
      <c r="N207" s="1" t="str">
        <f>CONCATENATE(Table3[[#This Row],[Spell ID]])</f>
        <v>63641</v>
      </c>
      <c r="O207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["63641"] ={"Thunder Bluff Kodo", 63641, 45592, 1, 1, 0, "Kodo", "Champion's Seals", 1, 0},</v>
      </c>
      <c r="P207" s="1" t="str">
        <f>CONCATENATE("https://www.wowhead.com/wotlk/item=",Table3[[#This Row],[ItemID]])</f>
        <v>https://www.wowhead.com/wotlk/item=45592</v>
      </c>
    </row>
    <row r="208" spans="1:16" x14ac:dyDescent="0.35">
      <c r="A208">
        <v>63642</v>
      </c>
      <c r="B208" t="s">
        <v>199</v>
      </c>
      <c r="C208" t="s">
        <v>384</v>
      </c>
      <c r="D208">
        <v>1</v>
      </c>
      <c r="E208" s="1">
        <v>1</v>
      </c>
      <c r="F208">
        <v>0</v>
      </c>
      <c r="G208">
        <v>1</v>
      </c>
      <c r="H208">
        <v>0</v>
      </c>
      <c r="I208">
        <v>45596</v>
      </c>
      <c r="J208" t="s">
        <v>283</v>
      </c>
      <c r="L208">
        <v>1</v>
      </c>
      <c r="M208">
        <v>1</v>
      </c>
      <c r="N208" s="1" t="str">
        <f>CONCATENATE(Table3[[#This Row],[Spell ID]])</f>
        <v>63642</v>
      </c>
      <c r="O208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["63642"] ={"Silvermoon Hawkstrider", 63642, 45596, 1, 1, 0, "Hawkstrider", "Champion's Seals", 1, 0},</v>
      </c>
      <c r="P208" s="1" t="str">
        <f>CONCATENATE("https://www.wowhead.com/wotlk/item=",Table3[[#This Row],[ItemID]])</f>
        <v>https://www.wowhead.com/wotlk/item=45596</v>
      </c>
    </row>
    <row r="209" spans="1:16" x14ac:dyDescent="0.35">
      <c r="A209">
        <v>63643</v>
      </c>
      <c r="B209" t="s">
        <v>140</v>
      </c>
      <c r="C209" t="s">
        <v>369</v>
      </c>
      <c r="D209">
        <v>1</v>
      </c>
      <c r="E209" s="1">
        <v>1</v>
      </c>
      <c r="F209">
        <v>0</v>
      </c>
      <c r="G209">
        <v>1</v>
      </c>
      <c r="H209">
        <v>0</v>
      </c>
      <c r="I209">
        <v>45597</v>
      </c>
      <c r="J209" t="s">
        <v>283</v>
      </c>
      <c r="L209">
        <v>1</v>
      </c>
      <c r="M209">
        <v>1</v>
      </c>
      <c r="N209" s="1" t="str">
        <f>CONCATENATE(Table3[[#This Row],[Spell ID]])</f>
        <v>63643</v>
      </c>
      <c r="O209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["63643"] ={"Forsaken Warhorse", 63643, 45597, 1, 1, 0, "Horse", "Champion's Seals", 1, 0},</v>
      </c>
      <c r="P209" s="1" t="str">
        <f>CONCATENATE("https://www.wowhead.com/wotlk/item=",Table3[[#This Row],[ItemID]])</f>
        <v>https://www.wowhead.com/wotlk/item=45597</v>
      </c>
    </row>
    <row r="210" spans="1:16" x14ac:dyDescent="0.35">
      <c r="A210">
        <v>63796</v>
      </c>
      <c r="B210" t="s">
        <v>40</v>
      </c>
      <c r="C210" t="s">
        <v>389</v>
      </c>
      <c r="D210">
        <v>3.1</v>
      </c>
      <c r="E210" s="1">
        <v>3.1</v>
      </c>
      <c r="F210">
        <v>0</v>
      </c>
      <c r="G210">
        <v>1</v>
      </c>
      <c r="H210">
        <v>0</v>
      </c>
      <c r="I210">
        <v>45693</v>
      </c>
      <c r="J210" t="s">
        <v>328</v>
      </c>
      <c r="K210">
        <v>1</v>
      </c>
      <c r="L210">
        <v>1</v>
      </c>
      <c r="M210">
        <v>1</v>
      </c>
      <c r="N210" s="1" t="str">
        <f>CONCATENATE(Table3[[#This Row],[Spell ID]])</f>
        <v>63796</v>
      </c>
      <c r="O210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["63796"] ={"Mimiron's Head", 63796, 45693, 3.1, 3.1, 0, "Machine", "Drop Ulduar", 1, 0},</v>
      </c>
      <c r="P210" s="1" t="str">
        <f>CONCATENATE("https://www.wowhead.com/wotlk/item=",Table3[[#This Row],[ItemID]])</f>
        <v>https://www.wowhead.com/wotlk/item=45693</v>
      </c>
    </row>
    <row r="211" spans="1:16" x14ac:dyDescent="0.35">
      <c r="A211">
        <v>63844</v>
      </c>
      <c r="B211" t="s">
        <v>5</v>
      </c>
      <c r="C211" t="s">
        <v>388</v>
      </c>
      <c r="D211">
        <v>2.8</v>
      </c>
      <c r="E211" s="1">
        <v>2.8</v>
      </c>
      <c r="F211">
        <v>0</v>
      </c>
      <c r="G211">
        <v>1</v>
      </c>
      <c r="H211">
        <v>0</v>
      </c>
      <c r="I211">
        <v>45725</v>
      </c>
      <c r="J211" t="s">
        <v>283</v>
      </c>
      <c r="K211">
        <v>1</v>
      </c>
      <c r="L211">
        <v>1</v>
      </c>
      <c r="M211">
        <v>1</v>
      </c>
      <c r="N211" s="1" t="str">
        <f>CONCATENATE(Table3[[#This Row],[Spell ID]])</f>
        <v>63844</v>
      </c>
      <c r="O211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["63844"] ={"Argent Hippogryph", 63844, 45725, 2.8, 2.8, 0, "Hippogryph", "Champion's Seals", 1, 0},</v>
      </c>
      <c r="P211" s="1" t="str">
        <f>CONCATENATE("https://www.wowhead.com/wotlk/item=",Table3[[#This Row],[ItemID]])</f>
        <v>https://www.wowhead.com/wotlk/item=45725</v>
      </c>
    </row>
    <row r="212" spans="1:16" x14ac:dyDescent="0.35">
      <c r="A212">
        <v>63956</v>
      </c>
      <c r="B212" t="s">
        <v>37</v>
      </c>
      <c r="C212" t="s">
        <v>378</v>
      </c>
      <c r="D212">
        <v>3.1</v>
      </c>
      <c r="E212" s="1">
        <v>3.1</v>
      </c>
      <c r="F212">
        <v>0</v>
      </c>
      <c r="G212">
        <v>1</v>
      </c>
      <c r="H212">
        <v>0</v>
      </c>
      <c r="I212">
        <v>45801</v>
      </c>
      <c r="J212" t="s">
        <v>279</v>
      </c>
      <c r="K212">
        <v>1</v>
      </c>
      <c r="L212">
        <v>1</v>
      </c>
      <c r="M212">
        <v>1</v>
      </c>
      <c r="N212" s="1" t="str">
        <f>CONCATENATE(Table3[[#This Row],[Spell ID]])</f>
        <v>63956</v>
      </c>
      <c r="O212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["63956"] ={"Ironbound Proto-Drake", 63956, 45801, 3.1, 3.1, 0, "Proto-Drake", "Achievment", 1, 0},</v>
      </c>
      <c r="P212" s="1" t="str">
        <f>CONCATENATE("https://www.wowhead.com/wotlk/item=",Table3[[#This Row],[ItemID]])</f>
        <v>https://www.wowhead.com/wotlk/item=45801</v>
      </c>
    </row>
    <row r="213" spans="1:16" x14ac:dyDescent="0.35">
      <c r="A213">
        <v>63963</v>
      </c>
      <c r="B213" t="s">
        <v>53</v>
      </c>
      <c r="C213" t="s">
        <v>378</v>
      </c>
      <c r="D213">
        <v>3.1</v>
      </c>
      <c r="E213" s="1">
        <v>3.1</v>
      </c>
      <c r="F213">
        <v>0</v>
      </c>
      <c r="G213">
        <v>1</v>
      </c>
      <c r="H213">
        <v>0</v>
      </c>
      <c r="I213">
        <v>45802</v>
      </c>
      <c r="J213" t="s">
        <v>279</v>
      </c>
      <c r="K213">
        <v>1</v>
      </c>
      <c r="L213">
        <v>1</v>
      </c>
      <c r="M213">
        <v>1</v>
      </c>
      <c r="N213" s="1" t="str">
        <f>CONCATENATE(Table3[[#This Row],[Spell ID]])</f>
        <v>63963</v>
      </c>
      <c r="O213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["63963"] ={"Rusted Proto-Drake", 63963, 45802, 3.1, 3.1, 0, "Proto-Drake", "Achievment", 1, 0},</v>
      </c>
      <c r="P213" s="1" t="str">
        <f>CONCATENATE("https://www.wowhead.com/wotlk/item=",Table3[[#This Row],[ItemID]])</f>
        <v>https://www.wowhead.com/wotlk/item=45802</v>
      </c>
    </row>
    <row r="214" spans="1:16" x14ac:dyDescent="0.35">
      <c r="A214">
        <v>64656</v>
      </c>
      <c r="B214" t="s">
        <v>111</v>
      </c>
      <c r="C214" t="s">
        <v>369</v>
      </c>
      <c r="D214">
        <v>1</v>
      </c>
      <c r="E214" s="1">
        <v>1</v>
      </c>
      <c r="F214">
        <v>0</v>
      </c>
      <c r="G214">
        <v>1</v>
      </c>
      <c r="H214">
        <v>0</v>
      </c>
      <c r="I214">
        <v>46101</v>
      </c>
      <c r="J214" t="s">
        <v>281</v>
      </c>
      <c r="L214">
        <v>1</v>
      </c>
      <c r="M214">
        <v>1</v>
      </c>
      <c r="N214" s="1" t="str">
        <f>CONCATENATE(Table3[[#This Row],[Spell ID]])</f>
        <v>64656</v>
      </c>
      <c r="O214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["64656"] ={"Blue Skeletal Warhorse", 64656, 46101, 1, 1, 0, "Horse", "Removed", 1, 0},</v>
      </c>
      <c r="P214" s="1" t="str">
        <f>CONCATENATE("https://www.wowhead.com/wotlk/item=",Table3[[#This Row],[ItemID]])</f>
        <v>https://www.wowhead.com/wotlk/item=46101</v>
      </c>
    </row>
    <row r="215" spans="1:16" x14ac:dyDescent="0.35">
      <c r="A215">
        <v>64657</v>
      </c>
      <c r="B215" t="s">
        <v>263</v>
      </c>
      <c r="C215" t="s">
        <v>375</v>
      </c>
      <c r="D215">
        <v>0.6</v>
      </c>
      <c r="E215" s="1">
        <v>0.6</v>
      </c>
      <c r="F215">
        <v>0</v>
      </c>
      <c r="G215">
        <v>1</v>
      </c>
      <c r="H215">
        <v>0</v>
      </c>
      <c r="I215">
        <v>46100</v>
      </c>
      <c r="J215" t="s">
        <v>285</v>
      </c>
      <c r="L215">
        <v>1</v>
      </c>
      <c r="M215">
        <v>1</v>
      </c>
      <c r="N215" s="1" t="str">
        <f>CONCATENATE(Table3[[#This Row],[Spell ID]])</f>
        <v>64657</v>
      </c>
      <c r="O215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["64657"] ={"White Kodo", 64657, 46100, 0.6, 0.6, 0, "Kodo", "Gold", 1, 0},</v>
      </c>
      <c r="P215" s="1" t="str">
        <f>CONCATENATE("https://www.wowhead.com/wotlk/item=",Table3[[#This Row],[ItemID]])</f>
        <v>https://www.wowhead.com/wotlk/item=46100</v>
      </c>
    </row>
    <row r="216" spans="1:16" x14ac:dyDescent="0.35">
      <c r="A216">
        <v>64658</v>
      </c>
      <c r="B216" t="s">
        <v>105</v>
      </c>
      <c r="C216" t="s">
        <v>370</v>
      </c>
      <c r="D216">
        <v>0.6</v>
      </c>
      <c r="E216" s="1">
        <v>0.6</v>
      </c>
      <c r="F216">
        <v>0</v>
      </c>
      <c r="G216">
        <v>1</v>
      </c>
      <c r="H216">
        <v>0</v>
      </c>
      <c r="I216">
        <v>46099</v>
      </c>
      <c r="J216" t="s">
        <v>285</v>
      </c>
      <c r="L216">
        <v>1</v>
      </c>
      <c r="M216">
        <v>1</v>
      </c>
      <c r="N216" s="1" t="str">
        <f>CONCATENATE(Table3[[#This Row],[Spell ID]])</f>
        <v>64658</v>
      </c>
      <c r="O216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["64658"] ={"Black Wolf", 64658, 46099, 0.6, 0.6, 0, "Wolf", "Gold", 1, 0},</v>
      </c>
      <c r="P216" s="1" t="str">
        <f>CONCATENATE("https://www.wowhead.com/wotlk/item=",Table3[[#This Row],[ItemID]])</f>
        <v>https://www.wowhead.com/wotlk/item=46099</v>
      </c>
    </row>
    <row r="217" spans="1:16" x14ac:dyDescent="0.35">
      <c r="A217">
        <v>64659</v>
      </c>
      <c r="B217" t="s">
        <v>260</v>
      </c>
      <c r="C217" t="s">
        <v>372</v>
      </c>
      <c r="D217">
        <v>1</v>
      </c>
      <c r="E217" s="1">
        <v>1</v>
      </c>
      <c r="F217">
        <v>0</v>
      </c>
      <c r="G217">
        <v>1</v>
      </c>
      <c r="H217">
        <v>0</v>
      </c>
      <c r="I217">
        <v>46102</v>
      </c>
      <c r="J217" t="s">
        <v>401</v>
      </c>
      <c r="L217">
        <v>1</v>
      </c>
      <c r="M217">
        <v>1</v>
      </c>
      <c r="N217" s="1" t="str">
        <f>CONCATENATE(Table3[[#This Row],[Spell ID]])</f>
        <v>64659</v>
      </c>
      <c r="O217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["64659"] ={"Venomhide Ravasaur", 64659, 46102, 1, 1, 0, "Raptor", "Dailies Ungoro Crator", 1, 0},</v>
      </c>
      <c r="P217" s="1" t="str">
        <f>CONCATENATE("https://www.wowhead.com/wotlk/item=",Table3[[#This Row],[ItemID]])</f>
        <v>https://www.wowhead.com/wotlk/item=46102</v>
      </c>
    </row>
    <row r="218" spans="1:16" x14ac:dyDescent="0.35">
      <c r="A218">
        <v>64731</v>
      </c>
      <c r="B218" t="s">
        <v>354</v>
      </c>
      <c r="C218" t="s">
        <v>379</v>
      </c>
      <c r="D218">
        <v>0</v>
      </c>
      <c r="E218" s="1">
        <v>0</v>
      </c>
      <c r="F218">
        <v>1</v>
      </c>
      <c r="G218">
        <v>1</v>
      </c>
      <c r="H218">
        <v>0</v>
      </c>
      <c r="I218">
        <v>46109</v>
      </c>
      <c r="J218" t="s">
        <v>355</v>
      </c>
      <c r="K218">
        <v>1</v>
      </c>
      <c r="L218">
        <v>1</v>
      </c>
      <c r="M218">
        <v>1</v>
      </c>
      <c r="N218" s="1" t="str">
        <f>CONCATENATE(Table3[[#This Row],[Spell ID]])</f>
        <v>64731</v>
      </c>
      <c r="O218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["64731"] ={"Sea Turtle", 64731, 46109, 0, 0, 1, "Turtle", "fishing", 1, 0},</v>
      </c>
      <c r="P218" s="1" t="str">
        <f>CONCATENATE("https://www.wowhead.com/wotlk/item=",Table3[[#This Row],[ItemID]])</f>
        <v>https://www.wowhead.com/wotlk/item=46109</v>
      </c>
    </row>
    <row r="219" spans="1:16" x14ac:dyDescent="0.35">
      <c r="A219">
        <v>64927</v>
      </c>
      <c r="B219" t="s">
        <v>24</v>
      </c>
      <c r="C219" t="s">
        <v>366</v>
      </c>
      <c r="D219">
        <v>3.1</v>
      </c>
      <c r="E219" s="1">
        <v>3.1</v>
      </c>
      <c r="F219">
        <v>0</v>
      </c>
      <c r="G219">
        <v>1</v>
      </c>
      <c r="H219">
        <v>0</v>
      </c>
      <c r="I219">
        <v>46708</v>
      </c>
      <c r="J219" t="s">
        <v>305</v>
      </c>
      <c r="K219">
        <v>1</v>
      </c>
      <c r="L219">
        <v>1</v>
      </c>
      <c r="M219">
        <v>1</v>
      </c>
      <c r="N219" s="1" t="str">
        <f>CONCATENATE(Table3[[#This Row],[Spell ID]])</f>
        <v>64927</v>
      </c>
      <c r="O219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["64927"] ={"Deadly Gladiator's Frost Wyrm", 64927, 46708, 3.1, 3.1, 0, "Wyrm", "Gladiator", 1, 0},</v>
      </c>
      <c r="P219" s="1" t="str">
        <f>CONCATENATE("https://www.wowhead.com/wotlk/item=",Table3[[#This Row],[ItemID]])</f>
        <v>https://www.wowhead.com/wotlk/item=46708</v>
      </c>
    </row>
    <row r="220" spans="1:16" x14ac:dyDescent="0.35">
      <c r="A220">
        <v>64977</v>
      </c>
      <c r="B220" t="s">
        <v>94</v>
      </c>
      <c r="C220" t="s">
        <v>374</v>
      </c>
      <c r="D220">
        <v>0.6</v>
      </c>
      <c r="E220" s="1">
        <v>0.6</v>
      </c>
      <c r="F220">
        <v>0</v>
      </c>
      <c r="G220">
        <v>1</v>
      </c>
      <c r="H220">
        <v>0</v>
      </c>
      <c r="I220">
        <v>46308</v>
      </c>
      <c r="J220" t="s">
        <v>285</v>
      </c>
      <c r="L220">
        <v>1</v>
      </c>
      <c r="M220">
        <v>1</v>
      </c>
      <c r="N220" s="1" t="str">
        <f>CONCATENATE(Table3[[#This Row],[Spell ID]])</f>
        <v>64977</v>
      </c>
      <c r="O220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["64977"] ={"Black Skeletal Horse", 64977, 46308, 0.6, 0.6, 0, "DeadHorse", "Gold", 1, 0},</v>
      </c>
      <c r="P220" s="1" t="str">
        <f>CONCATENATE("https://www.wowhead.com/wotlk/item=",Table3[[#This Row],[ItemID]])</f>
        <v>https://www.wowhead.com/wotlk/item=46308</v>
      </c>
    </row>
    <row r="221" spans="1:16" x14ac:dyDescent="0.35">
      <c r="A221">
        <v>65439</v>
      </c>
      <c r="B221" t="s">
        <v>31</v>
      </c>
      <c r="C221" t="s">
        <v>366</v>
      </c>
      <c r="D221">
        <v>3.1</v>
      </c>
      <c r="E221" s="1">
        <v>3.1</v>
      </c>
      <c r="F221">
        <v>0</v>
      </c>
      <c r="G221">
        <v>1</v>
      </c>
      <c r="H221">
        <v>0</v>
      </c>
      <c r="I221">
        <v>46171</v>
      </c>
      <c r="J221" t="s">
        <v>305</v>
      </c>
      <c r="K221">
        <v>1</v>
      </c>
      <c r="L221">
        <v>1</v>
      </c>
      <c r="M221">
        <v>1</v>
      </c>
      <c r="N221" s="1" t="str">
        <f>CONCATENATE(Table3[[#This Row],[Spell ID]])</f>
        <v>65439</v>
      </c>
      <c r="O221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["65439"] ={"Furious Gladiator's Frost Wyrm", 65439, 46171, 3.1, 3.1, 0, "Wyrm", "Gladiator", 1, 0},</v>
      </c>
      <c r="P221" s="1" t="str">
        <f>CONCATENATE("https://www.wowhead.com/wotlk/item=",Table3[[#This Row],[ItemID]])</f>
        <v>https://www.wowhead.com/wotlk/item=46171</v>
      </c>
    </row>
    <row r="222" spans="1:16" x14ac:dyDescent="0.35">
      <c r="A222">
        <v>65637</v>
      </c>
      <c r="B222" t="s">
        <v>160</v>
      </c>
      <c r="C222" t="s">
        <v>367</v>
      </c>
      <c r="D222">
        <v>1</v>
      </c>
      <c r="E222" s="1">
        <v>1</v>
      </c>
      <c r="F222">
        <v>0</v>
      </c>
      <c r="G222">
        <v>1</v>
      </c>
      <c r="H222">
        <v>0</v>
      </c>
      <c r="I222">
        <v>46756</v>
      </c>
      <c r="J222" t="s">
        <v>283</v>
      </c>
      <c r="K222">
        <v>1</v>
      </c>
      <c r="M222">
        <v>1</v>
      </c>
      <c r="N222" s="1" t="str">
        <f>CONCATENATE(Table3[[#This Row],[Spell ID]])</f>
        <v>65637</v>
      </c>
      <c r="O222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["65637"] ={"Great Red Elekk", 65637, 46756, 1, 1, 0, "Elekk", "Champion's Seals", 1, 0},</v>
      </c>
      <c r="P222" s="1" t="str">
        <f>CONCATENATE("https://www.wowhead.com/wotlk/item=",Table3[[#This Row],[ItemID]])</f>
        <v>https://www.wowhead.com/wotlk/item=46756</v>
      </c>
    </row>
    <row r="223" spans="1:16" x14ac:dyDescent="0.35">
      <c r="A223">
        <v>65638</v>
      </c>
      <c r="B223" t="s">
        <v>228</v>
      </c>
      <c r="C223" t="s">
        <v>373</v>
      </c>
      <c r="D223">
        <v>1</v>
      </c>
      <c r="E223" s="1">
        <v>1</v>
      </c>
      <c r="F223">
        <v>0</v>
      </c>
      <c r="G223">
        <v>1</v>
      </c>
      <c r="H223">
        <v>0</v>
      </c>
      <c r="I223">
        <v>46744</v>
      </c>
      <c r="J223" t="s">
        <v>283</v>
      </c>
      <c r="K223">
        <v>1</v>
      </c>
      <c r="M223">
        <v>1</v>
      </c>
      <c r="N223" s="1" t="str">
        <f>CONCATENATE(Table3[[#This Row],[Spell ID]])</f>
        <v>65638</v>
      </c>
      <c r="O223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["65638"] ={"Swift Moonsaber", 65638, 46744, 1, 1, 0, "Saber", "Champion's Seals", 1, 0},</v>
      </c>
      <c r="P223" s="1" t="str">
        <f>CONCATENATE("https://www.wowhead.com/wotlk/item=",Table3[[#This Row],[ItemID]])</f>
        <v>https://www.wowhead.com/wotlk/item=46744</v>
      </c>
    </row>
    <row r="224" spans="1:16" x14ac:dyDescent="0.35">
      <c r="A224">
        <v>65639</v>
      </c>
      <c r="B224" t="s">
        <v>236</v>
      </c>
      <c r="C224" t="s">
        <v>384</v>
      </c>
      <c r="D224">
        <v>1</v>
      </c>
      <c r="E224" s="1">
        <v>1</v>
      </c>
      <c r="F224">
        <v>0</v>
      </c>
      <c r="G224">
        <v>1</v>
      </c>
      <c r="H224">
        <v>0</v>
      </c>
      <c r="I224">
        <v>46751</v>
      </c>
      <c r="J224" t="s">
        <v>283</v>
      </c>
      <c r="L224">
        <v>1</v>
      </c>
      <c r="M224">
        <v>1</v>
      </c>
      <c r="N224" s="1" t="str">
        <f>CONCATENATE(Table3[[#This Row],[Spell ID]])</f>
        <v>65639</v>
      </c>
      <c r="O224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["65639"] ={"Swift Red Hawkstrider", 65639, 46751, 1, 1, 0, "Hawkstrider", "Champion's Seals", 1, 0},</v>
      </c>
      <c r="P224" s="1" t="str">
        <f>CONCATENATE("https://www.wowhead.com/wotlk/item=",Table3[[#This Row],[ItemID]])</f>
        <v>https://www.wowhead.com/wotlk/item=46751</v>
      </c>
    </row>
    <row r="225" spans="1:16" x14ac:dyDescent="0.35">
      <c r="A225">
        <v>65640</v>
      </c>
      <c r="B225" t="s">
        <v>222</v>
      </c>
      <c r="C225" t="s">
        <v>369</v>
      </c>
      <c r="D225">
        <v>1</v>
      </c>
      <c r="E225" s="1">
        <v>1</v>
      </c>
      <c r="F225">
        <v>0</v>
      </c>
      <c r="G225">
        <v>1</v>
      </c>
      <c r="H225">
        <v>0</v>
      </c>
      <c r="I225">
        <v>46752</v>
      </c>
      <c r="J225" t="s">
        <v>283</v>
      </c>
      <c r="K225">
        <v>1</v>
      </c>
      <c r="M225">
        <v>1</v>
      </c>
      <c r="N225" s="1" t="str">
        <f>CONCATENATE(Table3[[#This Row],[Spell ID]])</f>
        <v>65640</v>
      </c>
      <c r="O225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["65640"] ={"Swift Gray Steed", 65640, 46752, 1, 1, 0, "Horse", "Champion's Seals", 1, 0},</v>
      </c>
      <c r="P225" s="1" t="str">
        <f>CONCATENATE("https://www.wowhead.com/wotlk/item=",Table3[[#This Row],[ItemID]])</f>
        <v>https://www.wowhead.com/wotlk/item=46752</v>
      </c>
    </row>
    <row r="226" spans="1:16" x14ac:dyDescent="0.35">
      <c r="A226">
        <v>65641</v>
      </c>
      <c r="B226" t="s">
        <v>156</v>
      </c>
      <c r="C226" t="s">
        <v>375</v>
      </c>
      <c r="D226">
        <v>1</v>
      </c>
      <c r="E226" s="1">
        <v>1</v>
      </c>
      <c r="F226">
        <v>0</v>
      </c>
      <c r="G226">
        <v>1</v>
      </c>
      <c r="H226">
        <v>0</v>
      </c>
      <c r="I226">
        <v>46755</v>
      </c>
      <c r="J226" t="s">
        <v>283</v>
      </c>
      <c r="L226">
        <v>1</v>
      </c>
      <c r="M226">
        <v>1</v>
      </c>
      <c r="N226" s="1" t="str">
        <f>CONCATENATE(Table3[[#This Row],[Spell ID]])</f>
        <v>65641</v>
      </c>
      <c r="O226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["65641"] ={"Great Golden Kodo", 65641, 46755, 1, 1, 0, "Kodo", "Champion's Seals", 1, 0},</v>
      </c>
      <c r="P226" s="1" t="str">
        <f>CONCATENATE("https://www.wowhead.com/wotlk/item=",Table3[[#This Row],[ItemID]])</f>
        <v>https://www.wowhead.com/wotlk/item=46755</v>
      </c>
    </row>
    <row r="227" spans="1:16" x14ac:dyDescent="0.35">
      <c r="A227">
        <v>65642</v>
      </c>
      <c r="B227" t="s">
        <v>257</v>
      </c>
      <c r="C227" t="s">
        <v>365</v>
      </c>
      <c r="D227">
        <v>1</v>
      </c>
      <c r="E227" s="1">
        <v>1</v>
      </c>
      <c r="F227">
        <v>0</v>
      </c>
      <c r="G227">
        <v>1</v>
      </c>
      <c r="H227">
        <v>0</v>
      </c>
      <c r="I227">
        <v>46747</v>
      </c>
      <c r="J227" t="s">
        <v>283</v>
      </c>
      <c r="K227">
        <v>1</v>
      </c>
      <c r="M227">
        <v>1</v>
      </c>
      <c r="N227" s="1" t="str">
        <f>CONCATENATE(Table3[[#This Row],[Spell ID]])</f>
        <v>65642</v>
      </c>
      <c r="O227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["65642"] ={"Turbostrider", 65642, 46747, 1, 1, 0, "Mechanostrider", "Champion's Seals", 1, 0},</v>
      </c>
      <c r="P227" s="1" t="str">
        <f>CONCATENATE("https://www.wowhead.com/wotlk/item=",Table3[[#This Row],[ItemID]])</f>
        <v>https://www.wowhead.com/wotlk/item=46747</v>
      </c>
    </row>
    <row r="228" spans="1:16" x14ac:dyDescent="0.35">
      <c r="A228">
        <v>65643</v>
      </c>
      <c r="B228" t="s">
        <v>240</v>
      </c>
      <c r="C228" t="s">
        <v>371</v>
      </c>
      <c r="D228">
        <v>1</v>
      </c>
      <c r="E228" s="1">
        <v>1</v>
      </c>
      <c r="F228">
        <v>0</v>
      </c>
      <c r="G228">
        <v>1</v>
      </c>
      <c r="H228">
        <v>0</v>
      </c>
      <c r="I228">
        <v>46748</v>
      </c>
      <c r="J228" t="s">
        <v>283</v>
      </c>
      <c r="K228">
        <v>1</v>
      </c>
      <c r="M228">
        <v>1</v>
      </c>
      <c r="N228" s="1" t="str">
        <f>CONCATENATE(Table3[[#This Row],[Spell ID]])</f>
        <v>65643</v>
      </c>
      <c r="O228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["65643"] ={"Swift Violet Ram", 65643, 46748, 1, 1, 0, "Ram", "Champion's Seals", 1, 0},</v>
      </c>
      <c r="P228" s="1" t="str">
        <f>CONCATENATE("https://www.wowhead.com/wotlk/item=",Table3[[#This Row],[ItemID]])</f>
        <v>https://www.wowhead.com/wotlk/item=46748</v>
      </c>
    </row>
    <row r="229" spans="1:16" x14ac:dyDescent="0.35">
      <c r="A229">
        <v>65644</v>
      </c>
      <c r="B229" t="s">
        <v>234</v>
      </c>
      <c r="C229" t="s">
        <v>372</v>
      </c>
      <c r="D229">
        <v>1</v>
      </c>
      <c r="E229" s="1">
        <v>1</v>
      </c>
      <c r="F229">
        <v>0</v>
      </c>
      <c r="G229">
        <v>1</v>
      </c>
      <c r="H229">
        <v>0</v>
      </c>
      <c r="I229">
        <v>46743</v>
      </c>
      <c r="J229" t="s">
        <v>283</v>
      </c>
      <c r="L229">
        <v>1</v>
      </c>
      <c r="M229">
        <v>1</v>
      </c>
      <c r="N229" s="1" t="str">
        <f>CONCATENATE(Table3[[#This Row],[Spell ID]])</f>
        <v>65644</v>
      </c>
      <c r="O229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["65644"] ={"Swift Purple Raptor", 65644, 46743, 1, 1, 0, "Raptor", "Champion's Seals", 1, 0},</v>
      </c>
      <c r="P229" s="1" t="str">
        <f>CONCATENATE("https://www.wowhead.com/wotlk/item=",Table3[[#This Row],[ItemID]])</f>
        <v>https://www.wowhead.com/wotlk/item=46743</v>
      </c>
    </row>
    <row r="230" spans="1:16" x14ac:dyDescent="0.35">
      <c r="A230">
        <v>65645</v>
      </c>
      <c r="B230" t="s">
        <v>268</v>
      </c>
      <c r="C230" t="s">
        <v>369</v>
      </c>
      <c r="D230">
        <v>1</v>
      </c>
      <c r="E230" s="1">
        <v>1</v>
      </c>
      <c r="F230">
        <v>0</v>
      </c>
      <c r="G230">
        <v>1</v>
      </c>
      <c r="H230">
        <v>0</v>
      </c>
      <c r="I230">
        <v>46764</v>
      </c>
      <c r="J230" t="s">
        <v>283</v>
      </c>
      <c r="L230">
        <v>1</v>
      </c>
      <c r="M230">
        <v>1</v>
      </c>
      <c r="N230" s="1" t="str">
        <f>CONCATENATE(Table3[[#This Row],[Spell ID]])</f>
        <v>65645</v>
      </c>
      <c r="O230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["65645"] ={"White Skeletal Warhorse", 65645, 46764, 1, 1, 0, "Horse", "Champion's Seals", 1, 0},</v>
      </c>
      <c r="P230" s="1" t="str">
        <f>CONCATENATE("https://www.wowhead.com/wotlk/item=",Table3[[#This Row],[ItemID]])</f>
        <v>https://www.wowhead.com/wotlk/item=46764</v>
      </c>
    </row>
    <row r="231" spans="1:16" x14ac:dyDescent="0.35">
      <c r="A231">
        <v>65646</v>
      </c>
      <c r="B231" t="s">
        <v>218</v>
      </c>
      <c r="C231" t="s">
        <v>370</v>
      </c>
      <c r="D231">
        <v>1</v>
      </c>
      <c r="E231" s="1">
        <v>1</v>
      </c>
      <c r="F231">
        <v>0</v>
      </c>
      <c r="G231">
        <v>1</v>
      </c>
      <c r="H231">
        <v>0</v>
      </c>
      <c r="I231">
        <v>46757</v>
      </c>
      <c r="J231" t="s">
        <v>283</v>
      </c>
      <c r="L231">
        <v>1</v>
      </c>
      <c r="M231">
        <v>1</v>
      </c>
      <c r="N231" s="1" t="str">
        <f>CONCATENATE(Table3[[#This Row],[Spell ID]])</f>
        <v>65646</v>
      </c>
      <c r="O231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["65646"] ={"Swift Burgundy Wolf", 65646, 46757, 1, 1, 0, "Wolf", "Champion's Seals", 1, 0},</v>
      </c>
      <c r="P231" s="1" t="str">
        <f>CONCATENATE("https://www.wowhead.com/wotlk/item=",Table3[[#This Row],[ItemID]])</f>
        <v>https://www.wowhead.com/wotlk/item=46757</v>
      </c>
    </row>
    <row r="232" spans="1:16" x14ac:dyDescent="0.35">
      <c r="A232">
        <v>66087</v>
      </c>
      <c r="B232" t="s">
        <v>54</v>
      </c>
      <c r="C232" t="s">
        <v>388</v>
      </c>
      <c r="D232">
        <v>2.8</v>
      </c>
      <c r="E232" s="1">
        <v>2.8</v>
      </c>
      <c r="F232">
        <v>0</v>
      </c>
      <c r="G232">
        <v>1</v>
      </c>
      <c r="H232">
        <v>0</v>
      </c>
      <c r="I232">
        <v>46813</v>
      </c>
      <c r="J232" t="s">
        <v>283</v>
      </c>
      <c r="K232">
        <v>1</v>
      </c>
      <c r="M232">
        <v>1</v>
      </c>
      <c r="N232" s="1" t="str">
        <f>CONCATENATE(Table3[[#This Row],[Spell ID]])</f>
        <v>66087</v>
      </c>
      <c r="O232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["66087"] ={"Silver Covenant Hippogryph", 66087, 46813, 2.8, 2.8, 0, "Hippogryph", "Champion's Seals", 1, 0},</v>
      </c>
      <c r="P232" s="1" t="str">
        <f>CONCATENATE("https://www.wowhead.com/wotlk/item=",Table3[[#This Row],[ItemID]])</f>
        <v>https://www.wowhead.com/wotlk/item=46813</v>
      </c>
    </row>
    <row r="233" spans="1:16" x14ac:dyDescent="0.35">
      <c r="A233">
        <v>66088</v>
      </c>
      <c r="B233" t="s">
        <v>57</v>
      </c>
      <c r="C233" t="s">
        <v>393</v>
      </c>
      <c r="D233">
        <v>2.8</v>
      </c>
      <c r="E233" s="1">
        <v>2.8</v>
      </c>
      <c r="F233">
        <v>0</v>
      </c>
      <c r="G233">
        <v>1</v>
      </c>
      <c r="H233">
        <v>0</v>
      </c>
      <c r="I233">
        <v>46814</v>
      </c>
      <c r="J233" t="s">
        <v>283</v>
      </c>
      <c r="L233">
        <v>1</v>
      </c>
      <c r="M233">
        <v>1</v>
      </c>
      <c r="N233" s="1" t="str">
        <f>CONCATENATE(Table3[[#This Row],[Spell ID]])</f>
        <v>66088</v>
      </c>
      <c r="O233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["66088"] ={"Sunreaver Dragonhawk", 66088, 46814, 2.8, 2.8, 0, "DragonHawk", "Champion's Seals", 1, 0},</v>
      </c>
      <c r="P233" s="1" t="str">
        <f>CONCATENATE("https://www.wowhead.com/wotlk/item=",Table3[[#This Row],[ItemID]])</f>
        <v>https://www.wowhead.com/wotlk/item=46814</v>
      </c>
    </row>
    <row r="234" spans="1:16" x14ac:dyDescent="0.35">
      <c r="A234">
        <v>66090</v>
      </c>
      <c r="B234" t="s">
        <v>186</v>
      </c>
      <c r="C234" t="s">
        <v>369</v>
      </c>
      <c r="D234">
        <v>1</v>
      </c>
      <c r="E234" s="1">
        <v>1</v>
      </c>
      <c r="F234">
        <v>0</v>
      </c>
      <c r="G234">
        <v>1</v>
      </c>
      <c r="H234">
        <v>0</v>
      </c>
      <c r="I234">
        <v>46815</v>
      </c>
      <c r="J234" t="s">
        <v>422</v>
      </c>
      <c r="K234">
        <v>1</v>
      </c>
      <c r="L234">
        <v>1</v>
      </c>
      <c r="M234">
        <v>1</v>
      </c>
      <c r="N234" s="1" t="str">
        <f>CONCATENATE(Table3[[#This Row],[Spell ID]])</f>
        <v>66090</v>
      </c>
      <c r="O234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["66090"] ={"Quel'dorei Steed", 66090, 46815, 1, 1, 0, "Horse", "Exalted Argent Tournament", 1, 0},</v>
      </c>
      <c r="P234" s="1" t="str">
        <f>CONCATENATE("https://www.wowhead.com/wotlk/item=",Table3[[#This Row],[ItemID]])</f>
        <v>https://www.wowhead.com/wotlk/item=46815</v>
      </c>
    </row>
    <row r="235" spans="1:16" x14ac:dyDescent="0.35">
      <c r="A235">
        <v>66091</v>
      </c>
      <c r="B235" t="s">
        <v>211</v>
      </c>
      <c r="C235" t="s">
        <v>384</v>
      </c>
      <c r="D235">
        <v>1</v>
      </c>
      <c r="E235" s="1">
        <v>1</v>
      </c>
      <c r="F235">
        <v>0</v>
      </c>
      <c r="G235">
        <v>1</v>
      </c>
      <c r="H235">
        <v>0</v>
      </c>
      <c r="I235">
        <v>46816</v>
      </c>
      <c r="J235" t="s">
        <v>283</v>
      </c>
      <c r="L235">
        <v>1</v>
      </c>
      <c r="M235">
        <v>1</v>
      </c>
      <c r="N235" s="1" t="str">
        <f>CONCATENATE(Table3[[#This Row],[Spell ID]])</f>
        <v>66091</v>
      </c>
      <c r="O235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["66091"] ={"Sunreaver Hawkstrider", 66091, 46816, 1, 1, 0, "Hawkstrider", "Champion's Seals", 1, 0},</v>
      </c>
      <c r="P235" s="1" t="str">
        <f>CONCATENATE("https://www.wowhead.com/wotlk/item=",Table3[[#This Row],[ItemID]])</f>
        <v>https://www.wowhead.com/wotlk/item=46816</v>
      </c>
    </row>
    <row r="236" spans="1:16" x14ac:dyDescent="0.35">
      <c r="A236">
        <v>66124</v>
      </c>
      <c r="B236" t="s">
        <v>170</v>
      </c>
      <c r="C236" t="s">
        <v>394</v>
      </c>
      <c r="D236">
        <v>1</v>
      </c>
      <c r="E236" s="1">
        <v>1</v>
      </c>
      <c r="F236">
        <v>0</v>
      </c>
      <c r="G236">
        <v>1</v>
      </c>
      <c r="H236">
        <v>0</v>
      </c>
      <c r="I236">
        <v>198631</v>
      </c>
      <c r="J236" t="s">
        <v>325</v>
      </c>
      <c r="K236">
        <v>1</v>
      </c>
      <c r="L236">
        <v>1</v>
      </c>
      <c r="M236">
        <v>1</v>
      </c>
      <c r="N236" s="1" t="str">
        <f>CONCATENATE(Table3[[#This Row],[Spell ID]])</f>
        <v>66124</v>
      </c>
      <c r="O236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["66124"] ={"Magic Rooster", 66124, 198631, 1, 1, 0, "Rooster", "TCG", 1, 0},</v>
      </c>
      <c r="P236" s="1" t="str">
        <f>CONCATENATE("https://www.wowhead.com/wotlk/item=",Table3[[#This Row],[ItemID]])</f>
        <v>https://www.wowhead.com/wotlk/item=198631</v>
      </c>
    </row>
    <row r="237" spans="1:16" x14ac:dyDescent="0.35">
      <c r="A237">
        <v>66846</v>
      </c>
      <c r="B237" t="s">
        <v>176</v>
      </c>
      <c r="C237" t="s">
        <v>374</v>
      </c>
      <c r="D237">
        <v>1</v>
      </c>
      <c r="E237" s="1">
        <v>1</v>
      </c>
      <c r="F237">
        <v>0</v>
      </c>
      <c r="G237">
        <v>1</v>
      </c>
      <c r="H237">
        <v>0</v>
      </c>
      <c r="I237">
        <v>47101</v>
      </c>
      <c r="J237" t="s">
        <v>285</v>
      </c>
      <c r="L237">
        <v>1</v>
      </c>
      <c r="M237">
        <v>1</v>
      </c>
      <c r="N237" s="1" t="str">
        <f>CONCATENATE(Table3[[#This Row],[Spell ID]])</f>
        <v>66846</v>
      </c>
      <c r="O237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["66846"] ={"Ochre Skeletal Warhorse", 66846, 47101, 1, 1, 0, "DeadHorse", "Gold", 1, 0},</v>
      </c>
      <c r="P237" s="1" t="str">
        <f>CONCATENATE("https://www.wowhead.com/wotlk/item=",Table3[[#This Row],[ItemID]])</f>
        <v>https://www.wowhead.com/wotlk/item=47101</v>
      </c>
    </row>
    <row r="238" spans="1:16" x14ac:dyDescent="0.35">
      <c r="A238">
        <v>66847</v>
      </c>
      <c r="B238" t="s">
        <v>206</v>
      </c>
      <c r="C238" t="s">
        <v>373</v>
      </c>
      <c r="D238">
        <v>0.6</v>
      </c>
      <c r="E238" s="1">
        <v>0.6</v>
      </c>
      <c r="F238">
        <v>0</v>
      </c>
      <c r="G238">
        <v>1</v>
      </c>
      <c r="H238">
        <v>0</v>
      </c>
      <c r="I238">
        <v>47100</v>
      </c>
      <c r="J238" t="s">
        <v>410</v>
      </c>
      <c r="K238">
        <v>1</v>
      </c>
      <c r="M238">
        <v>1</v>
      </c>
      <c r="N238" s="1" t="str">
        <f>CONCATENATE(Table3[[#This Row],[Spell ID]])</f>
        <v>66847</v>
      </c>
      <c r="O238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["66847"] ={"Striped Dawnsaber", 66847, 47100, 0.6, 0.6, 0, "Saber", "Exalted Darnasses", 1, 0},</v>
      </c>
      <c r="P238" s="1" t="str">
        <f>CONCATENATE("https://www.wowhead.com/wotlk/item=",Table3[[#This Row],[ItemID]])</f>
        <v>https://www.wowhead.com/wotlk/item=47100</v>
      </c>
    </row>
    <row r="239" spans="1:16" x14ac:dyDescent="0.35">
      <c r="A239">
        <v>66906</v>
      </c>
      <c r="B239" t="s">
        <v>84</v>
      </c>
      <c r="C239" t="s">
        <v>369</v>
      </c>
      <c r="D239">
        <v>1</v>
      </c>
      <c r="E239" s="1">
        <v>1</v>
      </c>
      <c r="F239">
        <v>0</v>
      </c>
      <c r="G239">
        <v>1</v>
      </c>
      <c r="H239">
        <v>0</v>
      </c>
      <c r="I239">
        <v>47179</v>
      </c>
      <c r="J239" t="s">
        <v>282</v>
      </c>
      <c r="K239">
        <v>1</v>
      </c>
      <c r="L239">
        <v>1</v>
      </c>
      <c r="M239">
        <v>1</v>
      </c>
      <c r="N239" s="1" t="str">
        <f>CONCATENATE(Table3[[#This Row],[Spell ID]])</f>
        <v>66906</v>
      </c>
      <c r="O239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["66906"] ={"Argent Charger", 66906, 47179, 1, 1, 0, "Horse", "Daily", 1, 0},</v>
      </c>
      <c r="P239" s="1" t="str">
        <f>CONCATENATE("https://www.wowhead.com/wotlk/item=",Table3[[#This Row],[ItemID]])</f>
        <v>https://www.wowhead.com/wotlk/item=47179</v>
      </c>
    </row>
    <row r="240" spans="1:16" x14ac:dyDescent="0.35">
      <c r="A240">
        <v>67336</v>
      </c>
      <c r="B240" t="s">
        <v>52</v>
      </c>
      <c r="C240" t="s">
        <v>366</v>
      </c>
      <c r="D240">
        <v>3.1</v>
      </c>
      <c r="E240" s="1">
        <v>3.1</v>
      </c>
      <c r="F240">
        <v>0</v>
      </c>
      <c r="G240">
        <v>1</v>
      </c>
      <c r="H240">
        <v>0</v>
      </c>
      <c r="I240">
        <v>47840</v>
      </c>
      <c r="J240" t="s">
        <v>305</v>
      </c>
      <c r="K240">
        <v>1</v>
      </c>
      <c r="L240">
        <v>1</v>
      </c>
      <c r="M240">
        <v>1</v>
      </c>
      <c r="N240" s="1" t="str">
        <f>CONCATENATE(Table3[[#This Row],[Spell ID]])</f>
        <v>67336</v>
      </c>
      <c r="O240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["67336"] ={"Relentless Gladiator's Frost Wyrm", 67336, 47840, 3.1, 3.1, 0, "Wyrm", "Gladiator", 1, 0},</v>
      </c>
      <c r="P240" s="1" t="str">
        <f>CONCATENATE("https://www.wowhead.com/wotlk/item=",Table3[[#This Row],[ItemID]])</f>
        <v>https://www.wowhead.com/wotlk/item=47840</v>
      </c>
    </row>
    <row r="241" spans="1:16" x14ac:dyDescent="0.35">
      <c r="A241">
        <v>67466</v>
      </c>
      <c r="B241" t="s">
        <v>85</v>
      </c>
      <c r="C241" t="s">
        <v>369</v>
      </c>
      <c r="D241">
        <v>1</v>
      </c>
      <c r="E241" s="1">
        <v>1</v>
      </c>
      <c r="F241">
        <v>0</v>
      </c>
      <c r="G241">
        <v>1</v>
      </c>
      <c r="H241">
        <v>0</v>
      </c>
      <c r="I241">
        <v>47180</v>
      </c>
      <c r="J241" t="s">
        <v>411</v>
      </c>
      <c r="K241">
        <v>1</v>
      </c>
      <c r="L241">
        <v>1</v>
      </c>
      <c r="M241">
        <v>1</v>
      </c>
      <c r="N241" s="1" t="str">
        <f>CONCATENATE(Table3[[#This Row],[Spell ID]])</f>
        <v>67466</v>
      </c>
      <c r="O241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["67466"] ={"Argent Warhorse", 67466, 47180, 1, 1, 0, "Horse", "Exalted Argent Champion", 1, 0},</v>
      </c>
      <c r="P241" s="1" t="str">
        <f>CONCATENATE("https://www.wowhead.com/wotlk/item=",Table3[[#This Row],[ItemID]])</f>
        <v>https://www.wowhead.com/wotlk/item=47180</v>
      </c>
    </row>
    <row r="242" spans="1:16" x14ac:dyDescent="0.35">
      <c r="A242">
        <v>68056</v>
      </c>
      <c r="B242" t="s">
        <v>226</v>
      </c>
      <c r="C242" t="s">
        <v>370</v>
      </c>
      <c r="D242">
        <v>1</v>
      </c>
      <c r="E242" s="1">
        <v>1</v>
      </c>
      <c r="F242">
        <v>0</v>
      </c>
      <c r="G242">
        <v>1</v>
      </c>
      <c r="H242">
        <v>0</v>
      </c>
      <c r="I242">
        <v>49046</v>
      </c>
      <c r="J242" t="s">
        <v>334</v>
      </c>
      <c r="L242">
        <v>1</v>
      </c>
      <c r="M242">
        <v>1</v>
      </c>
      <c r="N242" s="1" t="str">
        <f>CONCATENATE(Table3[[#This Row],[Spell ID]])</f>
        <v>68056</v>
      </c>
      <c r="O242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["68056"] ={"Swift Horde Wolf", 68056, 49046, 1, 1, 0, "Wolf", "Drop Trial of the Champion", 1, 0},</v>
      </c>
      <c r="P242" s="1" t="str">
        <f>CONCATENATE("https://www.wowhead.com/wotlk/item=",Table3[[#This Row],[ItemID]])</f>
        <v>https://www.wowhead.com/wotlk/item=49046</v>
      </c>
    </row>
    <row r="243" spans="1:16" x14ac:dyDescent="0.35">
      <c r="A243">
        <v>68057</v>
      </c>
      <c r="B243" t="s">
        <v>212</v>
      </c>
      <c r="C243" t="s">
        <v>369</v>
      </c>
      <c r="D243">
        <v>1</v>
      </c>
      <c r="E243" s="1">
        <v>1</v>
      </c>
      <c r="F243">
        <v>0</v>
      </c>
      <c r="G243">
        <v>1</v>
      </c>
      <c r="H243">
        <v>0</v>
      </c>
      <c r="I243">
        <v>49044</v>
      </c>
      <c r="J243" t="s">
        <v>283</v>
      </c>
      <c r="K243">
        <v>1</v>
      </c>
      <c r="M243">
        <v>1</v>
      </c>
      <c r="N243" s="1" t="str">
        <f>CONCATENATE(Table3[[#This Row],[Spell ID]])</f>
        <v>68057</v>
      </c>
      <c r="O243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["68057"] ={"Swift Alliance Steed", 68057, 49044, 1, 1, 0, "Horse", "Champion's Seals", 1, 0},</v>
      </c>
      <c r="P243" s="1" t="str">
        <f>CONCATENATE("https://www.wowhead.com/wotlk/item=",Table3[[#This Row],[ItemID]])</f>
        <v>https://www.wowhead.com/wotlk/item=49044</v>
      </c>
    </row>
    <row r="244" spans="1:16" x14ac:dyDescent="0.35">
      <c r="A244">
        <v>68187</v>
      </c>
      <c r="B244" t="s">
        <v>128</v>
      </c>
      <c r="C244" t="s">
        <v>369</v>
      </c>
      <c r="D244">
        <v>1</v>
      </c>
      <c r="E244" s="1">
        <v>1</v>
      </c>
      <c r="F244">
        <v>0</v>
      </c>
      <c r="G244">
        <v>1</v>
      </c>
      <c r="H244">
        <v>0</v>
      </c>
      <c r="I244">
        <v>49096</v>
      </c>
      <c r="J244" t="s">
        <v>279</v>
      </c>
      <c r="K244">
        <v>1</v>
      </c>
      <c r="M244">
        <v>1</v>
      </c>
      <c r="N244" s="1" t="str">
        <f>CONCATENATE(Table3[[#This Row],[Spell ID]])</f>
        <v>68187</v>
      </c>
      <c r="O244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["68187"] ={"Crusader's White Warhorse", 68187, 49096, 1, 1, 0, "Horse", "Achievment", 1, 0},</v>
      </c>
      <c r="P244" s="1" t="str">
        <f>CONCATENATE("https://www.wowhead.com/wotlk/item=",Table3[[#This Row],[ItemID]])</f>
        <v>https://www.wowhead.com/wotlk/item=49096</v>
      </c>
    </row>
    <row r="245" spans="1:16" x14ac:dyDescent="0.35">
      <c r="A245">
        <v>68188</v>
      </c>
      <c r="B245" t="s">
        <v>127</v>
      </c>
      <c r="C245" t="s">
        <v>369</v>
      </c>
      <c r="D245">
        <v>1</v>
      </c>
      <c r="E245" s="1">
        <v>1</v>
      </c>
      <c r="F245">
        <v>0</v>
      </c>
      <c r="G245">
        <v>1</v>
      </c>
      <c r="H245">
        <v>0</v>
      </c>
      <c r="I245">
        <v>49098</v>
      </c>
      <c r="J245" t="s">
        <v>279</v>
      </c>
      <c r="L245">
        <v>1</v>
      </c>
      <c r="M245">
        <v>1</v>
      </c>
      <c r="N245" s="1" t="str">
        <f>CONCATENATE(Table3[[#This Row],[Spell ID]])</f>
        <v>68188</v>
      </c>
      <c r="O245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["68188"] ={"Crusader's Black Warhorse", 68188, 49098, 1, 1, 0, "Horse", "Achievment", 1, 0},</v>
      </c>
      <c r="P245" s="1" t="str">
        <f>CONCATENATE("https://www.wowhead.com/wotlk/item=",Table3[[#This Row],[ItemID]])</f>
        <v>https://www.wowhead.com/wotlk/item=49098</v>
      </c>
    </row>
    <row r="246" spans="1:16" x14ac:dyDescent="0.35">
      <c r="A246">
        <v>69395</v>
      </c>
      <c r="B246" t="s">
        <v>43</v>
      </c>
      <c r="C246" t="s">
        <v>376</v>
      </c>
      <c r="D246">
        <v>3.1</v>
      </c>
      <c r="E246" s="1">
        <v>3.1</v>
      </c>
      <c r="F246">
        <v>0</v>
      </c>
      <c r="G246">
        <v>1</v>
      </c>
      <c r="H246">
        <v>0</v>
      </c>
      <c r="I246">
        <v>49636</v>
      </c>
      <c r="J246" t="s">
        <v>329</v>
      </c>
      <c r="K246">
        <v>1</v>
      </c>
      <c r="L246">
        <v>1</v>
      </c>
      <c r="M246">
        <v>1</v>
      </c>
      <c r="N246" s="1" t="str">
        <f>CONCATENATE(Table3[[#This Row],[Spell ID]])</f>
        <v>69395</v>
      </c>
      <c r="O246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["69395"] ={"Onyxian Drake", 69395, 49636, 3.1, 3.1, 0, "Drake", "Drop Onyxia'a Lair", 1, 0},</v>
      </c>
      <c r="P246" s="1" t="str">
        <f>CONCATENATE("https://www.wowhead.com/wotlk/item=",Table3[[#This Row],[ItemID]])</f>
        <v>https://www.wowhead.com/wotlk/item=49636</v>
      </c>
    </row>
    <row r="247" spans="1:16" x14ac:dyDescent="0.35">
      <c r="A247">
        <v>71342</v>
      </c>
      <c r="B247" t="s">
        <v>356</v>
      </c>
      <c r="C247" t="s">
        <v>390</v>
      </c>
      <c r="D247">
        <v>3.1</v>
      </c>
      <c r="E247" s="1">
        <v>0.6</v>
      </c>
      <c r="F247">
        <v>0</v>
      </c>
      <c r="G247">
        <v>1</v>
      </c>
      <c r="H247">
        <v>0</v>
      </c>
      <c r="I247">
        <v>50250</v>
      </c>
      <c r="J247" t="s">
        <v>357</v>
      </c>
      <c r="K247">
        <v>1</v>
      </c>
      <c r="L247">
        <v>1</v>
      </c>
      <c r="M247">
        <v>1</v>
      </c>
      <c r="N247" s="1" t="str">
        <f>CONCATENATE(Table3[[#This Row],[Spell ID]])</f>
        <v>71342</v>
      </c>
      <c r="O247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["71342"] ={"X-45 Heartbreaker", 71342, 50250, 3.1, 0.6, 0, "Rocket", "Drop Valentines", 1, 0},</v>
      </c>
      <c r="P247" s="1" t="str">
        <f>CONCATENATE("https://www.wowhead.com/wotlk/item=",Table3[[#This Row],[ItemID]])</f>
        <v>https://www.wowhead.com/wotlk/item=50250</v>
      </c>
    </row>
    <row r="248" spans="1:16" x14ac:dyDescent="0.35">
      <c r="A248">
        <v>71810</v>
      </c>
      <c r="B248" t="s">
        <v>75</v>
      </c>
      <c r="C248" t="s">
        <v>366</v>
      </c>
      <c r="D248">
        <v>3.1</v>
      </c>
      <c r="E248" s="1">
        <v>3.1</v>
      </c>
      <c r="F248">
        <v>0</v>
      </c>
      <c r="G248">
        <v>1</v>
      </c>
      <c r="H248">
        <v>0</v>
      </c>
      <c r="I248">
        <v>50435</v>
      </c>
      <c r="J248" t="s">
        <v>305</v>
      </c>
      <c r="K248">
        <v>1</v>
      </c>
      <c r="L248">
        <v>1</v>
      </c>
      <c r="M248">
        <v>1</v>
      </c>
      <c r="N248" s="1" t="str">
        <f>CONCATENATE(Table3[[#This Row],[Spell ID]])</f>
        <v>71810</v>
      </c>
      <c r="O248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["71810"] ={"Wrathful Gladiator's Frost Wyrm", 71810, 50435, 3.1, 3.1, 0, "Wyrm", "Gladiator", 1, 0},</v>
      </c>
      <c r="P248" s="1" t="str">
        <f>CONCATENATE("https://www.wowhead.com/wotlk/item=",Table3[[#This Row],[ItemID]])</f>
        <v>https://www.wowhead.com/wotlk/item=50435</v>
      </c>
    </row>
    <row r="249" spans="1:16" x14ac:dyDescent="0.35">
      <c r="A249">
        <v>72286</v>
      </c>
      <c r="B249" t="s">
        <v>358</v>
      </c>
      <c r="C249" t="s">
        <v>366</v>
      </c>
      <c r="D249">
        <v>2.8</v>
      </c>
      <c r="E249" s="1">
        <v>2.8</v>
      </c>
      <c r="F249">
        <v>0</v>
      </c>
      <c r="G249">
        <v>1</v>
      </c>
      <c r="H249">
        <v>0</v>
      </c>
      <c r="I249">
        <v>50818</v>
      </c>
      <c r="J249" t="s">
        <v>359</v>
      </c>
      <c r="K249">
        <v>1</v>
      </c>
      <c r="L249">
        <v>1</v>
      </c>
      <c r="M249">
        <v>1</v>
      </c>
      <c r="N249" s="1" t="str">
        <f>CONCATENATE(Table3[[#This Row],[Spell ID]])</f>
        <v>72286</v>
      </c>
      <c r="O249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["72286"] ={"Invincible", 72286, 50818, 2.8, 2.8, 0, "Wyrm", "Drop Icecrown", 1, 0},</v>
      </c>
      <c r="P249" s="1" t="str">
        <f>CONCATENATE("https://www.wowhead.com/wotlk/item=",Table3[[#This Row],[ItemID]])</f>
        <v>https://www.wowhead.com/wotlk/item=50818</v>
      </c>
    </row>
    <row r="250" spans="1:16" x14ac:dyDescent="0.35">
      <c r="A250">
        <v>72807</v>
      </c>
      <c r="B250" t="s">
        <v>36</v>
      </c>
      <c r="C250" t="s">
        <v>366</v>
      </c>
      <c r="D250">
        <v>3.1</v>
      </c>
      <c r="E250" s="1">
        <v>3.1</v>
      </c>
      <c r="F250">
        <v>0</v>
      </c>
      <c r="G250">
        <v>1</v>
      </c>
      <c r="H250">
        <v>0</v>
      </c>
      <c r="I250">
        <v>51955</v>
      </c>
      <c r="J250" t="s">
        <v>279</v>
      </c>
      <c r="K250">
        <v>1</v>
      </c>
      <c r="L250">
        <v>1</v>
      </c>
      <c r="M250">
        <v>1</v>
      </c>
      <c r="N250" s="1" t="str">
        <f>CONCATENATE(Table3[[#This Row],[Spell ID]])</f>
        <v>72807</v>
      </c>
      <c r="O250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["72807"] ={"Icebound Frostbrood Vanquisher", 72807, 51955, 3.1, 3.1, 0, "Wyrm", "Achievment", 1, 0},</v>
      </c>
      <c r="P250" s="1" t="str">
        <f>CONCATENATE("https://www.wowhead.com/wotlk/item=",Table3[[#This Row],[ItemID]])</f>
        <v>https://www.wowhead.com/wotlk/item=51955</v>
      </c>
    </row>
    <row r="251" spans="1:16" x14ac:dyDescent="0.35">
      <c r="A251">
        <v>72808</v>
      </c>
      <c r="B251" t="s">
        <v>14</v>
      </c>
      <c r="C251" t="s">
        <v>366</v>
      </c>
      <c r="D251">
        <v>3.1</v>
      </c>
      <c r="E251" s="1">
        <v>3.1</v>
      </c>
      <c r="F251">
        <v>0</v>
      </c>
      <c r="G251">
        <v>1</v>
      </c>
      <c r="H251">
        <v>0</v>
      </c>
      <c r="I251">
        <v>51954</v>
      </c>
      <c r="J251" t="s">
        <v>279</v>
      </c>
      <c r="K251">
        <v>1</v>
      </c>
      <c r="L251">
        <v>1</v>
      </c>
      <c r="M251">
        <v>1</v>
      </c>
      <c r="N251" s="1" t="str">
        <f>CONCATENATE(Table3[[#This Row],[Spell ID]])</f>
        <v>72808</v>
      </c>
      <c r="O251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["72808"] ={"Bloodbathed Frostbrood Vanquisher", 72808, 51954, 3.1, 3.1, 0, "Wyrm", "Achievment", 1, 0},</v>
      </c>
      <c r="P251" s="1" t="str">
        <f>CONCATENATE("https://www.wowhead.com/wotlk/item=",Table3[[#This Row],[ItemID]])</f>
        <v>https://www.wowhead.com/wotlk/item=51954</v>
      </c>
    </row>
    <row r="252" spans="1:16" x14ac:dyDescent="0.35">
      <c r="A252">
        <v>73313</v>
      </c>
      <c r="B252" t="s">
        <v>126</v>
      </c>
      <c r="C252" t="s">
        <v>374</v>
      </c>
      <c r="D252">
        <v>1</v>
      </c>
      <c r="E252" s="1">
        <v>1</v>
      </c>
      <c r="F252">
        <v>0</v>
      </c>
      <c r="G252">
        <v>1</v>
      </c>
      <c r="H252">
        <v>0</v>
      </c>
      <c r="I252">
        <v>52200</v>
      </c>
      <c r="J252" t="s">
        <v>309</v>
      </c>
      <c r="K252">
        <v>1</v>
      </c>
      <c r="L252">
        <v>1</v>
      </c>
      <c r="M252">
        <v>1</v>
      </c>
      <c r="N252" s="1" t="str">
        <f>CONCATENATE(Table3[[#This Row],[Spell ID]])</f>
        <v>73313</v>
      </c>
      <c r="O252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["73313"] ={"Crimson Deathcharger", 73313, 52200, 1, 1, 0, "DeadHorse", "Shadowmourn Quest", 1, 0},</v>
      </c>
      <c r="P252" s="1" t="str">
        <f>CONCATENATE("https://www.wowhead.com/wotlk/item=",Table3[[#This Row],[ItemID]])</f>
        <v>https://www.wowhead.com/wotlk/item=52200</v>
      </c>
    </row>
    <row r="253" spans="1:16" x14ac:dyDescent="0.35">
      <c r="A253">
        <v>74856</v>
      </c>
      <c r="B253" t="s">
        <v>360</v>
      </c>
      <c r="C253" t="s">
        <v>388</v>
      </c>
      <c r="D253">
        <v>2.8</v>
      </c>
      <c r="E253" s="1">
        <v>2.8</v>
      </c>
      <c r="F253">
        <v>0</v>
      </c>
      <c r="G253">
        <v>1</v>
      </c>
      <c r="H253">
        <v>0</v>
      </c>
      <c r="I253">
        <v>54069</v>
      </c>
      <c r="J253" t="s">
        <v>325</v>
      </c>
      <c r="K253">
        <v>1</v>
      </c>
      <c r="L253">
        <v>1</v>
      </c>
      <c r="M253">
        <v>1</v>
      </c>
      <c r="N253" s="1" t="str">
        <f>CONCATENATE(Table3[[#This Row],[Spell ID]])</f>
        <v>74856</v>
      </c>
      <c r="O253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["74856"] ={"Blazing Hippogryph", 74856, 54069, 2.8, 2.8, 0, "Hippogryph", "TCG", 1, 0},</v>
      </c>
      <c r="P253" s="1" t="str">
        <f>CONCATENATE("https://www.wowhead.com/wotlk/item=",Table3[[#This Row],[ItemID]])</f>
        <v>https://www.wowhead.com/wotlk/item=54069</v>
      </c>
    </row>
    <row r="254" spans="1:16" x14ac:dyDescent="0.35">
      <c r="A254">
        <v>75596</v>
      </c>
      <c r="B254" t="s">
        <v>30</v>
      </c>
      <c r="C254" t="s">
        <v>392</v>
      </c>
      <c r="D254">
        <v>2.8</v>
      </c>
      <c r="E254" s="1">
        <v>2.8</v>
      </c>
      <c r="F254">
        <v>0</v>
      </c>
      <c r="G254">
        <v>1</v>
      </c>
      <c r="H254">
        <v>0</v>
      </c>
      <c r="I254">
        <v>54797</v>
      </c>
      <c r="J254" t="s">
        <v>313</v>
      </c>
      <c r="K254">
        <v>1</v>
      </c>
      <c r="L254">
        <v>1</v>
      </c>
      <c r="M254">
        <v>1</v>
      </c>
      <c r="N254" s="1" t="str">
        <f>CONCATENATE(Table3[[#This Row],[Spell ID]])</f>
        <v>75596</v>
      </c>
      <c r="O254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["75596"] ={"Frosty Flying Carpet", 75596, 54797, 2.8, 2.8, 0, "Carpet", "Tailoring", 1, 0},</v>
      </c>
      <c r="P254" s="1" t="str">
        <f>CONCATENATE("https://www.wowhead.com/wotlk/item=",Table3[[#This Row],[ItemID]])</f>
        <v>https://www.wowhead.com/wotlk/item=54797</v>
      </c>
    </row>
    <row r="255" spans="1:16" x14ac:dyDescent="0.35">
      <c r="A255">
        <v>348459</v>
      </c>
      <c r="B255" t="s">
        <v>362</v>
      </c>
      <c r="C255" t="s">
        <v>391</v>
      </c>
      <c r="D255">
        <v>1</v>
      </c>
      <c r="E255" s="1">
        <v>1</v>
      </c>
      <c r="F255">
        <v>0</v>
      </c>
      <c r="G255">
        <v>1</v>
      </c>
      <c r="H255">
        <v>0</v>
      </c>
      <c r="I255">
        <v>184865</v>
      </c>
      <c r="J255" t="s">
        <v>361</v>
      </c>
      <c r="K255">
        <v>1</v>
      </c>
      <c r="L255">
        <v>1</v>
      </c>
      <c r="M255">
        <v>1</v>
      </c>
      <c r="N255" s="1" t="str">
        <f>CONCATENATE(Table3[[#This Row],[Spell ID]])</f>
        <v>348459</v>
      </c>
      <c r="O255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["348459"] ={"Reawakened Phase-Hunter", 348459, 184865, 1, 1, 0, "Warp Stalker", "Store", 1, 0},</v>
      </c>
      <c r="P255" s="1" t="str">
        <f>CONCATENATE("https://www.wowhead.com/wotlk/item=",Table3[[#This Row],[ItemID]])</f>
        <v>https://www.wowhead.com/wotlk/item=184865</v>
      </c>
    </row>
    <row r="256" spans="1:16" x14ac:dyDescent="0.35">
      <c r="A256">
        <v>372677</v>
      </c>
      <c r="B256" t="s">
        <v>406</v>
      </c>
      <c r="C256" t="s">
        <v>407</v>
      </c>
      <c r="D256">
        <v>2.8</v>
      </c>
      <c r="E256" s="1">
        <v>0.6</v>
      </c>
      <c r="F256">
        <v>0</v>
      </c>
      <c r="G256">
        <v>1</v>
      </c>
      <c r="H256">
        <v>0</v>
      </c>
      <c r="I256">
        <v>192455</v>
      </c>
      <c r="J256" t="s">
        <v>361</v>
      </c>
      <c r="K256">
        <v>1</v>
      </c>
      <c r="L256">
        <v>1</v>
      </c>
      <c r="M256">
        <v>1</v>
      </c>
      <c r="N256" s="1" t="str">
        <f>CONCATENATE(Table3[[#This Row],[Spell ID]])</f>
        <v>372677</v>
      </c>
      <c r="O256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["372677"] ={"Kalu'ak Whalebone Glider", 372677, 192455, 2.8, 0.6, 0, "Glider", "Store", 1, 0},</v>
      </c>
      <c r="P256" s="1" t="str">
        <f>CONCATENATE("https://www.wowhead.com/wotlk/item=",Table3[[#This Row],[ItemID]])</f>
        <v>https://www.wowhead.com/wotlk/item=192455</v>
      </c>
    </row>
    <row r="257" spans="1:16" x14ac:dyDescent="0.35">
      <c r="A257">
        <v>387311</v>
      </c>
      <c r="B257" t="s">
        <v>77</v>
      </c>
      <c r="C257" t="s">
        <v>390</v>
      </c>
      <c r="D257">
        <v>2.8</v>
      </c>
      <c r="E257" s="1">
        <v>0.6</v>
      </c>
      <c r="F257">
        <v>0</v>
      </c>
      <c r="G257">
        <v>1</v>
      </c>
      <c r="H257">
        <v>0</v>
      </c>
      <c r="I257">
        <v>0</v>
      </c>
      <c r="J257" t="s">
        <v>434</v>
      </c>
      <c r="K257">
        <v>1</v>
      </c>
      <c r="L257">
        <v>1</v>
      </c>
      <c r="M257">
        <v>1</v>
      </c>
      <c r="N257" s="1" t="str">
        <f>CONCATENATE(Table3[[#This Row],[Spell ID]])</f>
        <v>387311</v>
      </c>
      <c r="O257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["387311"] ={"X-51 Nether-Rocket X-TREME", 387311, 0, 2.8, 0.6, 0, "Rocket", "Event Valantines", 1, 0},</v>
      </c>
      <c r="P257" s="1" t="str">
        <f>CONCATENATE("https://www.wowhead.com/wotlk/item=",Table3[[#This Row],[ItemID]])</f>
        <v>https://www.wowhead.com/wotlk/item=0</v>
      </c>
    </row>
    <row r="258" spans="1:16" x14ac:dyDescent="0.35">
      <c r="A258">
        <v>387319</v>
      </c>
      <c r="B258" t="s">
        <v>87</v>
      </c>
      <c r="C258" t="s">
        <v>387</v>
      </c>
      <c r="D258">
        <v>1</v>
      </c>
      <c r="E258" s="1">
        <v>1</v>
      </c>
      <c r="F258">
        <v>0</v>
      </c>
      <c r="G258">
        <v>1</v>
      </c>
      <c r="H258">
        <v>0</v>
      </c>
      <c r="I258">
        <v>0</v>
      </c>
      <c r="J258" t="s">
        <v>435</v>
      </c>
      <c r="K258">
        <v>1</v>
      </c>
      <c r="L258">
        <v>1</v>
      </c>
      <c r="M258">
        <v>1</v>
      </c>
      <c r="N258" s="1" t="str">
        <f>CONCATENATE(Table3[[#This Row],[Spell ID]])</f>
        <v>387319</v>
      </c>
      <c r="O258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["387319"] ={"Big Battle Bear", 387319, 0, 1, 1, 0, "Bear", "Event Blizcon", 1, 0},</v>
      </c>
      <c r="P258" s="1" t="str">
        <f>CONCATENATE("https://www.wowhead.com/wotlk/item=",Table3[[#This Row],[ItemID]])</f>
        <v>https://www.wowhead.com/wotlk/item=0</v>
      </c>
    </row>
    <row r="259" spans="1:16" x14ac:dyDescent="0.35">
      <c r="A259">
        <v>387321</v>
      </c>
      <c r="B259" t="s">
        <v>274</v>
      </c>
      <c r="C259" t="s">
        <v>395</v>
      </c>
      <c r="D259">
        <v>1</v>
      </c>
      <c r="E259" s="1">
        <v>1</v>
      </c>
      <c r="F259">
        <v>0</v>
      </c>
      <c r="G259">
        <v>1</v>
      </c>
      <c r="H259">
        <v>0</v>
      </c>
      <c r="I259">
        <v>198633</v>
      </c>
      <c r="J259" t="s">
        <v>325</v>
      </c>
      <c r="K259">
        <v>1</v>
      </c>
      <c r="L259">
        <v>1</v>
      </c>
      <c r="M259">
        <v>1</v>
      </c>
      <c r="N259" s="1" t="str">
        <f>CONCATENATE(Table3[[#This Row],[Spell ID]])</f>
        <v>387321</v>
      </c>
      <c r="O259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["387321"] ={"Wooly White Rhino", 387321, 198633, 1, 1, 0, "Rhino", "TCG", 1, 0},</v>
      </c>
      <c r="P259" s="1" t="str">
        <f>CONCATENATE("https://www.wowhead.com/wotlk/item=",Table3[[#This Row],[ItemID]])</f>
        <v>https://www.wowhead.com/wotlk/item=198633</v>
      </c>
    </row>
    <row r="260" spans="1:16" x14ac:dyDescent="0.35">
      <c r="A260">
        <v>387323</v>
      </c>
      <c r="B260" t="s">
        <v>76</v>
      </c>
      <c r="C260" t="s">
        <v>390</v>
      </c>
      <c r="D260">
        <v>2.8</v>
      </c>
      <c r="E260" s="1">
        <v>0.6</v>
      </c>
      <c r="F260">
        <v>0</v>
      </c>
      <c r="G260">
        <v>1</v>
      </c>
      <c r="H260">
        <v>0</v>
      </c>
      <c r="I260">
        <v>0</v>
      </c>
      <c r="J260" t="s">
        <v>433</v>
      </c>
      <c r="K260">
        <v>1</v>
      </c>
      <c r="L260">
        <v>1</v>
      </c>
      <c r="M260">
        <v>1</v>
      </c>
      <c r="N260" s="1" t="str">
        <f>CONCATENATE(Table3[[#This Row],[Spell ID]])</f>
        <v>387323</v>
      </c>
      <c r="O260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["387323"] ={"X-51 Nether-Rocket", 387323, 0, 2.8, 0.6, 0, "Rocket", "?", 1, 0},</v>
      </c>
      <c r="P260" s="1" t="str">
        <f>CONCATENATE("https://www.wowhead.com/wotlk/item=",Table3[[#This Row],[ItemID]])</f>
        <v>https://www.wowhead.com/wotlk/item=0</v>
      </c>
    </row>
    <row r="261" spans="1:16" x14ac:dyDescent="0.35">
      <c r="A261">
        <v>388516</v>
      </c>
      <c r="B261" t="s">
        <v>428</v>
      </c>
      <c r="C261" t="s">
        <v>436</v>
      </c>
      <c r="D261">
        <v>1</v>
      </c>
      <c r="E261" s="1">
        <v>0.6</v>
      </c>
      <c r="F261">
        <v>0</v>
      </c>
      <c r="G261">
        <v>1</v>
      </c>
      <c r="H261">
        <v>0</v>
      </c>
      <c r="I261">
        <v>0</v>
      </c>
      <c r="J261" t="s">
        <v>433</v>
      </c>
      <c r="K261">
        <v>1</v>
      </c>
      <c r="L261">
        <v>1</v>
      </c>
      <c r="M261">
        <v>1</v>
      </c>
      <c r="N261" s="1" t="str">
        <f>CONCATENATE(Table3[[#This Row],[Spell ID]])</f>
        <v>388516</v>
      </c>
      <c r="O261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["388516"] ={"Hao-Yue, River Foreseer", 388516, 0, 1, 0.6, 0, "Rabit", "?", 1, 0},</v>
      </c>
      <c r="P261" s="1" t="str">
        <f>CONCATENATE("https://www.wowhead.com/wotlk/item=",Table3[[#This Row],[ItemID]])</f>
        <v>https://www.wowhead.com/wotlk/item=0</v>
      </c>
    </row>
    <row r="262" spans="1:16" x14ac:dyDescent="0.35">
      <c r="A262">
        <v>394209</v>
      </c>
      <c r="B262" t="s">
        <v>426</v>
      </c>
      <c r="C262" t="s">
        <v>376</v>
      </c>
      <c r="D262">
        <v>2.8</v>
      </c>
      <c r="E262" s="1">
        <v>0.6</v>
      </c>
      <c r="F262">
        <v>0</v>
      </c>
      <c r="G262">
        <v>1</v>
      </c>
      <c r="H262">
        <v>0</v>
      </c>
      <c r="I262">
        <v>0</v>
      </c>
      <c r="J262" t="s">
        <v>437</v>
      </c>
      <c r="K262">
        <v>1</v>
      </c>
      <c r="L262">
        <v>1</v>
      </c>
      <c r="M262">
        <v>1</v>
      </c>
      <c r="N262" s="1" t="str">
        <f>CONCATENATE(Table3[[#This Row],[Spell ID]])</f>
        <v>394209</v>
      </c>
      <c r="O262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["394209"] ={"Festering Emerald Drake", 394209, 0, 2.8, 0.6, 0, "Drake", "Sub", 1, 0},</v>
      </c>
      <c r="P262" s="1" t="str">
        <f>CONCATENATE("https://www.wowhead.com/wotlk/item=",Table3[[#This Row],[ItemID]])</f>
        <v>https://www.wowhead.com/wotlk/item=0</v>
      </c>
    </row>
    <row r="263" spans="1:16" x14ac:dyDescent="0.35">
      <c r="A263">
        <v>416158</v>
      </c>
      <c r="B263" t="s">
        <v>429</v>
      </c>
      <c r="C263" t="s">
        <v>376</v>
      </c>
      <c r="D263">
        <v>2.8</v>
      </c>
      <c r="E263" s="1">
        <v>1.5</v>
      </c>
      <c r="F263">
        <v>0</v>
      </c>
      <c r="G263">
        <v>1</v>
      </c>
      <c r="H263">
        <v>0</v>
      </c>
      <c r="I263">
        <v>0</v>
      </c>
      <c r="J263" t="s">
        <v>433</v>
      </c>
      <c r="K263">
        <v>1</v>
      </c>
      <c r="L263">
        <v>1</v>
      </c>
      <c r="M263">
        <v>1</v>
      </c>
      <c r="N263" s="1" t="str">
        <f>CONCATENATE(Table3[[#This Row],[Spell ID]])</f>
        <v>416158</v>
      </c>
      <c r="O263" s="1" t="str">
        <f>CONCATENATE("[""",Table3[[#This Row],[MountKey]],"""] ={""",Table3[[#This Row],[Name]],""", ",Table3[[#This Row],[Spell ID]],", ",Table3[[#This Row],[ItemID]],", ",Table3[[#This Row],[Speed]],", ",Table3[[#This Row],[MinSpeed]],", ",Table3[[#This Row],[SwimSpeed]],", """,Table3[[#This Row],[Category]],""", """,Table3[[#This Row],[Source]],""", ",Table3[[#This Row],[NormalMount]],", ",Table3[[#This Row],[AQMounts]],"},")</f>
        <v>["416158"] ={"Nightmarish Emerald Drake", 416158, 0, 2.8, 1.5, 0, "Drake", "?", 1, 0},</v>
      </c>
      <c r="P263" s="1" t="str">
        <f>CONCATENATE("https://www.wowhead.com/wotlk/item=",Table3[[#This Row],[ItemID]])</f>
        <v>https://www.wowhead.com/wotlk/item=0</v>
      </c>
    </row>
  </sheetData>
  <conditionalFormatting sqref="A1:A1048576">
    <cfRule type="duplicateValues" dxfId="4" priority="3"/>
  </conditionalFormatting>
  <conditionalFormatting sqref="E264:E1048576 I1:I263">
    <cfRule type="duplicateValues" dxfId="3" priority="275"/>
  </conditionalFormatting>
  <conditionalFormatting sqref="N2:N263">
    <cfRule type="duplicateValues" dxfId="2" priority="278"/>
  </conditionalFormatting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4"/>
  <sheetViews>
    <sheetView workbookViewId="0">
      <selection activeCell="G20" sqref="G20"/>
    </sheetView>
  </sheetViews>
  <sheetFormatPr defaultRowHeight="14.5" x14ac:dyDescent="0.35"/>
  <cols>
    <col min="1" max="1" width="11.54296875" bestFit="1" customWidth="1"/>
    <col min="4" max="4" width="9.26953125" bestFit="1" customWidth="1"/>
    <col min="10" max="10" width="36.453125" bestFit="1" customWidth="1"/>
  </cols>
  <sheetData>
    <row r="1" spans="1:10" x14ac:dyDescent="0.35">
      <c r="A1" t="s">
        <v>78</v>
      </c>
      <c r="B1" t="s">
        <v>78</v>
      </c>
      <c r="J1" t="s">
        <v>278</v>
      </c>
    </row>
    <row r="2" spans="1:10" x14ac:dyDescent="0.35">
      <c r="A2">
        <v>458</v>
      </c>
      <c r="B2">
        <v>458</v>
      </c>
      <c r="C2">
        <f>A2-B2</f>
        <v>0</v>
      </c>
      <c r="J2" t="s">
        <v>325</v>
      </c>
    </row>
    <row r="3" spans="1:10" x14ac:dyDescent="0.35">
      <c r="A3">
        <v>459</v>
      </c>
      <c r="B3">
        <v>459</v>
      </c>
      <c r="C3">
        <f t="shared" ref="C3:C66" si="0">A3-B3</f>
        <v>0</v>
      </c>
      <c r="J3" t="s">
        <v>355</v>
      </c>
    </row>
    <row r="4" spans="1:10" x14ac:dyDescent="0.35">
      <c r="A4">
        <v>468</v>
      </c>
      <c r="B4">
        <v>468</v>
      </c>
      <c r="C4">
        <f t="shared" si="0"/>
        <v>0</v>
      </c>
      <c r="J4" t="s">
        <v>311</v>
      </c>
    </row>
    <row r="5" spans="1:10" x14ac:dyDescent="0.35">
      <c r="A5">
        <v>470</v>
      </c>
      <c r="B5">
        <v>470</v>
      </c>
      <c r="C5">
        <f t="shared" si="0"/>
        <v>0</v>
      </c>
      <c r="J5" t="s">
        <v>307</v>
      </c>
    </row>
    <row r="6" spans="1:10" x14ac:dyDescent="0.35">
      <c r="A6">
        <v>471</v>
      </c>
      <c r="B6">
        <v>471</v>
      </c>
      <c r="C6">
        <f t="shared" si="0"/>
        <v>0</v>
      </c>
      <c r="J6" t="s">
        <v>281</v>
      </c>
    </row>
    <row r="7" spans="1:10" x14ac:dyDescent="0.35">
      <c r="A7">
        <v>472</v>
      </c>
      <c r="B7">
        <v>472</v>
      </c>
      <c r="C7">
        <f t="shared" si="0"/>
        <v>0</v>
      </c>
      <c r="J7" t="s">
        <v>286</v>
      </c>
    </row>
    <row r="8" spans="1:10" x14ac:dyDescent="0.35">
      <c r="A8">
        <v>578</v>
      </c>
      <c r="B8">
        <v>578</v>
      </c>
      <c r="C8">
        <f t="shared" si="0"/>
        <v>0</v>
      </c>
      <c r="J8" t="s">
        <v>287</v>
      </c>
    </row>
    <row r="9" spans="1:10" x14ac:dyDescent="0.35">
      <c r="A9">
        <v>579</v>
      </c>
      <c r="B9">
        <v>579</v>
      </c>
      <c r="C9">
        <f t="shared" si="0"/>
        <v>0</v>
      </c>
      <c r="J9" t="s">
        <v>291</v>
      </c>
    </row>
    <row r="10" spans="1:10" x14ac:dyDescent="0.35">
      <c r="A10">
        <v>580</v>
      </c>
      <c r="B10">
        <v>580</v>
      </c>
      <c r="C10">
        <f t="shared" si="0"/>
        <v>0</v>
      </c>
      <c r="J10" t="s">
        <v>363</v>
      </c>
    </row>
    <row r="11" spans="1:10" x14ac:dyDescent="0.35">
      <c r="A11">
        <v>581</v>
      </c>
      <c r="B11">
        <v>581</v>
      </c>
      <c r="C11">
        <f t="shared" si="0"/>
        <v>0</v>
      </c>
      <c r="J11" t="s">
        <v>347</v>
      </c>
    </row>
    <row r="12" spans="1:10" x14ac:dyDescent="0.35">
      <c r="A12">
        <v>3363</v>
      </c>
      <c r="B12">
        <v>3363</v>
      </c>
      <c r="C12">
        <f t="shared" si="0"/>
        <v>0</v>
      </c>
      <c r="J12" t="s">
        <v>297</v>
      </c>
    </row>
    <row r="13" spans="1:10" x14ac:dyDescent="0.35">
      <c r="A13">
        <v>5784</v>
      </c>
      <c r="B13">
        <v>5784</v>
      </c>
      <c r="C13">
        <f t="shared" si="0"/>
        <v>0</v>
      </c>
    </row>
    <row r="14" spans="1:10" x14ac:dyDescent="0.35">
      <c r="A14">
        <v>6648</v>
      </c>
      <c r="B14">
        <v>6648</v>
      </c>
      <c r="C14">
        <f t="shared" si="0"/>
        <v>0</v>
      </c>
      <c r="J14" t="s">
        <v>341</v>
      </c>
    </row>
    <row r="15" spans="1:10" x14ac:dyDescent="0.35">
      <c r="A15">
        <v>6653</v>
      </c>
      <c r="B15">
        <v>6653</v>
      </c>
      <c r="C15">
        <f t="shared" si="0"/>
        <v>0</v>
      </c>
      <c r="J15" t="s">
        <v>333</v>
      </c>
    </row>
    <row r="16" spans="1:10" x14ac:dyDescent="0.35">
      <c r="A16">
        <v>6654</v>
      </c>
      <c r="B16">
        <v>6654</v>
      </c>
      <c r="C16">
        <f t="shared" si="0"/>
        <v>0</v>
      </c>
      <c r="J16" t="s">
        <v>298</v>
      </c>
    </row>
    <row r="17" spans="1:10" x14ac:dyDescent="0.35">
      <c r="A17">
        <v>6777</v>
      </c>
      <c r="B17">
        <v>6777</v>
      </c>
      <c r="C17">
        <f t="shared" si="0"/>
        <v>0</v>
      </c>
      <c r="J17" t="s">
        <v>335</v>
      </c>
    </row>
    <row r="18" spans="1:10" x14ac:dyDescent="0.35">
      <c r="A18">
        <v>6896</v>
      </c>
      <c r="B18">
        <v>6896</v>
      </c>
      <c r="C18">
        <f t="shared" si="0"/>
        <v>0</v>
      </c>
      <c r="J18" t="s">
        <v>301</v>
      </c>
    </row>
    <row r="19" spans="1:10" x14ac:dyDescent="0.35">
      <c r="A19">
        <v>6897</v>
      </c>
      <c r="B19">
        <v>6897</v>
      </c>
      <c r="C19">
        <f t="shared" si="0"/>
        <v>0</v>
      </c>
      <c r="J19" t="s">
        <v>322</v>
      </c>
    </row>
    <row r="20" spans="1:10" x14ac:dyDescent="0.35">
      <c r="A20">
        <v>6898</v>
      </c>
      <c r="B20">
        <v>6898</v>
      </c>
      <c r="C20">
        <f t="shared" si="0"/>
        <v>0</v>
      </c>
      <c r="J20" t="s">
        <v>364</v>
      </c>
    </row>
    <row r="21" spans="1:10" x14ac:dyDescent="0.35">
      <c r="A21">
        <v>6899</v>
      </c>
      <c r="B21">
        <v>6899</v>
      </c>
      <c r="C21">
        <f t="shared" si="0"/>
        <v>0</v>
      </c>
      <c r="J21" t="s">
        <v>346</v>
      </c>
    </row>
    <row r="22" spans="1:10" x14ac:dyDescent="0.35">
      <c r="A22">
        <v>8394</v>
      </c>
      <c r="B22">
        <v>8394</v>
      </c>
      <c r="C22">
        <f t="shared" si="0"/>
        <v>0</v>
      </c>
      <c r="J22" t="s">
        <v>308</v>
      </c>
    </row>
    <row r="23" spans="1:10" x14ac:dyDescent="0.35">
      <c r="A23">
        <v>8395</v>
      </c>
      <c r="B23">
        <v>8395</v>
      </c>
      <c r="C23">
        <f t="shared" si="0"/>
        <v>0</v>
      </c>
      <c r="J23" t="s">
        <v>312</v>
      </c>
    </row>
    <row r="24" spans="1:10" x14ac:dyDescent="0.35">
      <c r="B24">
        <v>8595</v>
      </c>
      <c r="C24">
        <f t="shared" si="0"/>
        <v>-8595</v>
      </c>
      <c r="J24" t="s">
        <v>331</v>
      </c>
    </row>
    <row r="25" spans="1:10" x14ac:dyDescent="0.35">
      <c r="A25">
        <v>8980</v>
      </c>
      <c r="B25">
        <v>8980</v>
      </c>
      <c r="C25">
        <f t="shared" si="0"/>
        <v>0</v>
      </c>
      <c r="J25" t="s">
        <v>280</v>
      </c>
    </row>
    <row r="26" spans="1:10" x14ac:dyDescent="0.35">
      <c r="A26">
        <v>10789</v>
      </c>
      <c r="B26">
        <v>10789</v>
      </c>
      <c r="C26">
        <f t="shared" si="0"/>
        <v>0</v>
      </c>
      <c r="J26" t="s">
        <v>303</v>
      </c>
    </row>
    <row r="27" spans="1:10" x14ac:dyDescent="0.35">
      <c r="A27">
        <v>10793</v>
      </c>
      <c r="B27">
        <v>10793</v>
      </c>
      <c r="C27">
        <f t="shared" si="0"/>
        <v>0</v>
      </c>
      <c r="J27" t="s">
        <v>336</v>
      </c>
    </row>
    <row r="28" spans="1:10" x14ac:dyDescent="0.35">
      <c r="A28">
        <v>10795</v>
      </c>
      <c r="B28">
        <v>10795</v>
      </c>
      <c r="C28">
        <f t="shared" si="0"/>
        <v>0</v>
      </c>
      <c r="J28" t="s">
        <v>337</v>
      </c>
    </row>
    <row r="29" spans="1:10" x14ac:dyDescent="0.35">
      <c r="A29">
        <v>10796</v>
      </c>
      <c r="B29">
        <v>10796</v>
      </c>
      <c r="C29">
        <f t="shared" si="0"/>
        <v>0</v>
      </c>
      <c r="J29" t="s">
        <v>326</v>
      </c>
    </row>
    <row r="30" spans="1:10" x14ac:dyDescent="0.35">
      <c r="A30">
        <v>10798</v>
      </c>
      <c r="B30">
        <v>10798</v>
      </c>
      <c r="C30">
        <f t="shared" si="0"/>
        <v>0</v>
      </c>
      <c r="J30" t="s">
        <v>296</v>
      </c>
    </row>
    <row r="31" spans="1:10" x14ac:dyDescent="0.35">
      <c r="A31">
        <v>10799</v>
      </c>
      <c r="B31">
        <v>10799</v>
      </c>
      <c r="C31">
        <f t="shared" si="0"/>
        <v>0</v>
      </c>
      <c r="J31" t="s">
        <v>323</v>
      </c>
    </row>
    <row r="32" spans="1:10" x14ac:dyDescent="0.35">
      <c r="A32">
        <v>10873</v>
      </c>
      <c r="B32">
        <v>10873</v>
      </c>
      <c r="C32">
        <f t="shared" si="0"/>
        <v>0</v>
      </c>
      <c r="J32" t="s">
        <v>316</v>
      </c>
    </row>
    <row r="33" spans="1:10" x14ac:dyDescent="0.35">
      <c r="A33">
        <v>10969</v>
      </c>
      <c r="B33">
        <v>10969</v>
      </c>
      <c r="C33">
        <f t="shared" si="0"/>
        <v>0</v>
      </c>
      <c r="J33" t="s">
        <v>319</v>
      </c>
    </row>
    <row r="34" spans="1:10" x14ac:dyDescent="0.35">
      <c r="A34">
        <v>13819</v>
      </c>
      <c r="B34">
        <v>13819</v>
      </c>
      <c r="C34">
        <f t="shared" si="0"/>
        <v>0</v>
      </c>
      <c r="J34" t="s">
        <v>340</v>
      </c>
    </row>
    <row r="35" spans="1:10" x14ac:dyDescent="0.35">
      <c r="A35">
        <v>15779</v>
      </c>
      <c r="B35">
        <v>15779</v>
      </c>
      <c r="C35">
        <f t="shared" si="0"/>
        <v>0</v>
      </c>
      <c r="J35" t="s">
        <v>295</v>
      </c>
    </row>
    <row r="36" spans="1:10" x14ac:dyDescent="0.35">
      <c r="A36">
        <v>15780</v>
      </c>
      <c r="B36">
        <v>15780</v>
      </c>
      <c r="C36">
        <f t="shared" si="0"/>
        <v>0</v>
      </c>
      <c r="J36" t="s">
        <v>324</v>
      </c>
    </row>
    <row r="37" spans="1:10" x14ac:dyDescent="0.35">
      <c r="A37">
        <v>15787</v>
      </c>
      <c r="B37">
        <v>15787</v>
      </c>
      <c r="C37">
        <f t="shared" si="0"/>
        <v>0</v>
      </c>
      <c r="J37" t="s">
        <v>317</v>
      </c>
    </row>
    <row r="38" spans="1:10" x14ac:dyDescent="0.35">
      <c r="A38">
        <v>16055</v>
      </c>
      <c r="B38">
        <v>16055</v>
      </c>
      <c r="C38">
        <f t="shared" si="0"/>
        <v>0</v>
      </c>
      <c r="J38" t="s">
        <v>320</v>
      </c>
    </row>
    <row r="39" spans="1:10" x14ac:dyDescent="0.35">
      <c r="A39">
        <v>16056</v>
      </c>
      <c r="B39">
        <v>16056</v>
      </c>
      <c r="C39">
        <f t="shared" si="0"/>
        <v>0</v>
      </c>
      <c r="J39" t="s">
        <v>293</v>
      </c>
    </row>
    <row r="40" spans="1:10" x14ac:dyDescent="0.35">
      <c r="A40">
        <v>16058</v>
      </c>
      <c r="B40">
        <v>16058</v>
      </c>
      <c r="C40">
        <f t="shared" si="0"/>
        <v>0</v>
      </c>
      <c r="J40" t="s">
        <v>294</v>
      </c>
    </row>
    <row r="41" spans="1:10" x14ac:dyDescent="0.35">
      <c r="A41">
        <v>16059</v>
      </c>
      <c r="B41">
        <v>16059</v>
      </c>
      <c r="C41">
        <f t="shared" si="0"/>
        <v>0</v>
      </c>
      <c r="J41" t="s">
        <v>342</v>
      </c>
    </row>
    <row r="42" spans="1:10" x14ac:dyDescent="0.35">
      <c r="A42">
        <v>16060</v>
      </c>
      <c r="B42">
        <v>16060</v>
      </c>
      <c r="C42">
        <f t="shared" si="0"/>
        <v>0</v>
      </c>
      <c r="J42" t="s">
        <v>343</v>
      </c>
    </row>
    <row r="43" spans="1:10" x14ac:dyDescent="0.35">
      <c r="A43">
        <v>16080</v>
      </c>
      <c r="B43">
        <v>16080</v>
      </c>
      <c r="C43">
        <f t="shared" si="0"/>
        <v>0</v>
      </c>
      <c r="J43" t="s">
        <v>327</v>
      </c>
    </row>
    <row r="44" spans="1:10" x14ac:dyDescent="0.35">
      <c r="A44">
        <v>16081</v>
      </c>
      <c r="B44">
        <v>16081</v>
      </c>
      <c r="C44">
        <f t="shared" si="0"/>
        <v>0</v>
      </c>
      <c r="J44" t="s">
        <v>310</v>
      </c>
    </row>
    <row r="45" spans="1:10" x14ac:dyDescent="0.35">
      <c r="A45">
        <v>16082</v>
      </c>
      <c r="B45">
        <v>16082</v>
      </c>
      <c r="C45">
        <f t="shared" si="0"/>
        <v>0</v>
      </c>
      <c r="J45" t="s">
        <v>315</v>
      </c>
    </row>
    <row r="46" spans="1:10" x14ac:dyDescent="0.35">
      <c r="A46">
        <v>16083</v>
      </c>
      <c r="B46">
        <v>16083</v>
      </c>
      <c r="C46">
        <f t="shared" si="0"/>
        <v>0</v>
      </c>
      <c r="J46" t="s">
        <v>339</v>
      </c>
    </row>
    <row r="47" spans="1:10" x14ac:dyDescent="0.35">
      <c r="A47">
        <v>16084</v>
      </c>
      <c r="B47">
        <v>16084</v>
      </c>
      <c r="C47">
        <f t="shared" si="0"/>
        <v>0</v>
      </c>
      <c r="J47" t="s">
        <v>330</v>
      </c>
    </row>
    <row r="48" spans="1:10" x14ac:dyDescent="0.35">
      <c r="A48">
        <v>17229</v>
      </c>
      <c r="B48">
        <v>17229</v>
      </c>
      <c r="C48">
        <f t="shared" si="0"/>
        <v>0</v>
      </c>
      <c r="J48" t="s">
        <v>282</v>
      </c>
    </row>
    <row r="49" spans="1:10" x14ac:dyDescent="0.35">
      <c r="A49">
        <v>17450</v>
      </c>
      <c r="B49">
        <v>17450</v>
      </c>
      <c r="C49">
        <f t="shared" si="0"/>
        <v>0</v>
      </c>
      <c r="J49" t="s">
        <v>284</v>
      </c>
    </row>
    <row r="50" spans="1:10" x14ac:dyDescent="0.35">
      <c r="A50">
        <v>17453</v>
      </c>
      <c r="B50">
        <v>17453</v>
      </c>
      <c r="C50">
        <f t="shared" si="0"/>
        <v>0</v>
      </c>
      <c r="J50" t="s">
        <v>334</v>
      </c>
    </row>
    <row r="51" spans="1:10" x14ac:dyDescent="0.35">
      <c r="A51">
        <v>17454</v>
      </c>
      <c r="B51">
        <v>17454</v>
      </c>
      <c r="C51">
        <f t="shared" si="0"/>
        <v>0</v>
      </c>
      <c r="J51" t="s">
        <v>309</v>
      </c>
    </row>
    <row r="52" spans="1:10" x14ac:dyDescent="0.35">
      <c r="A52">
        <v>17455</v>
      </c>
      <c r="B52">
        <v>17455</v>
      </c>
      <c r="C52">
        <f t="shared" si="0"/>
        <v>0</v>
      </c>
      <c r="J52" t="s">
        <v>361</v>
      </c>
    </row>
    <row r="53" spans="1:10" x14ac:dyDescent="0.35">
      <c r="A53">
        <v>17456</v>
      </c>
      <c r="B53">
        <v>17456</v>
      </c>
      <c r="C53">
        <f t="shared" si="0"/>
        <v>0</v>
      </c>
      <c r="J53" t="s">
        <v>314</v>
      </c>
    </row>
    <row r="54" spans="1:10" x14ac:dyDescent="0.35">
      <c r="A54">
        <v>17458</v>
      </c>
      <c r="B54">
        <v>17458</v>
      </c>
      <c r="C54">
        <f t="shared" si="0"/>
        <v>0</v>
      </c>
      <c r="J54" t="s">
        <v>353</v>
      </c>
    </row>
    <row r="55" spans="1:10" x14ac:dyDescent="0.35">
      <c r="A55">
        <v>17459</v>
      </c>
      <c r="B55">
        <v>17459</v>
      </c>
      <c r="C55">
        <f t="shared" si="0"/>
        <v>0</v>
      </c>
      <c r="J55" t="s">
        <v>313</v>
      </c>
    </row>
    <row r="56" spans="1:10" x14ac:dyDescent="0.35">
      <c r="A56">
        <v>17460</v>
      </c>
      <c r="B56">
        <v>17460</v>
      </c>
      <c r="C56">
        <f t="shared" si="0"/>
        <v>0</v>
      </c>
      <c r="J56" t="s">
        <v>302</v>
      </c>
    </row>
    <row r="57" spans="1:10" x14ac:dyDescent="0.35">
      <c r="A57">
        <v>17461</v>
      </c>
      <c r="B57">
        <v>17461</v>
      </c>
      <c r="C57">
        <f t="shared" si="0"/>
        <v>0</v>
      </c>
      <c r="J57" t="s">
        <v>290</v>
      </c>
    </row>
    <row r="58" spans="1:10" x14ac:dyDescent="0.35">
      <c r="A58">
        <v>17462</v>
      </c>
      <c r="B58">
        <v>17462</v>
      </c>
      <c r="C58">
        <f t="shared" si="0"/>
        <v>0</v>
      </c>
      <c r="J58" t="s">
        <v>306</v>
      </c>
    </row>
    <row r="59" spans="1:10" x14ac:dyDescent="0.35">
      <c r="A59">
        <v>17463</v>
      </c>
      <c r="B59">
        <v>17463</v>
      </c>
      <c r="C59">
        <f t="shared" si="0"/>
        <v>0</v>
      </c>
      <c r="J59" t="s">
        <v>349</v>
      </c>
    </row>
    <row r="60" spans="1:10" x14ac:dyDescent="0.35">
      <c r="A60">
        <v>17464</v>
      </c>
      <c r="B60">
        <v>17464</v>
      </c>
      <c r="C60">
        <f t="shared" si="0"/>
        <v>0</v>
      </c>
      <c r="J60" t="s">
        <v>351</v>
      </c>
    </row>
    <row r="61" spans="1:10" x14ac:dyDescent="0.35">
      <c r="A61">
        <v>17465</v>
      </c>
      <c r="B61">
        <v>17465</v>
      </c>
      <c r="C61">
        <f t="shared" si="0"/>
        <v>0</v>
      </c>
      <c r="J61" t="s">
        <v>304</v>
      </c>
    </row>
    <row r="62" spans="1:10" x14ac:dyDescent="0.35">
      <c r="A62">
        <v>17481</v>
      </c>
      <c r="B62">
        <v>17481</v>
      </c>
      <c r="C62">
        <f t="shared" si="0"/>
        <v>0</v>
      </c>
      <c r="J62" t="s">
        <v>289</v>
      </c>
    </row>
    <row r="63" spans="1:10" x14ac:dyDescent="0.35">
      <c r="A63">
        <v>18363</v>
      </c>
      <c r="B63">
        <v>18363</v>
      </c>
      <c r="C63">
        <f t="shared" si="0"/>
        <v>0</v>
      </c>
      <c r="J63" t="s">
        <v>299</v>
      </c>
    </row>
    <row r="64" spans="1:10" x14ac:dyDescent="0.35">
      <c r="A64">
        <v>18989</v>
      </c>
      <c r="B64">
        <v>18989</v>
      </c>
      <c r="C64">
        <f t="shared" si="0"/>
        <v>0</v>
      </c>
      <c r="J64" t="s">
        <v>292</v>
      </c>
    </row>
    <row r="65" spans="1:10" x14ac:dyDescent="0.35">
      <c r="A65">
        <v>18990</v>
      </c>
      <c r="B65">
        <v>18990</v>
      </c>
      <c r="C65">
        <f t="shared" si="0"/>
        <v>0</v>
      </c>
      <c r="J65" t="s">
        <v>332</v>
      </c>
    </row>
    <row r="66" spans="1:10" x14ac:dyDescent="0.35">
      <c r="A66">
        <v>18991</v>
      </c>
      <c r="B66">
        <v>18991</v>
      </c>
      <c r="C66">
        <f t="shared" si="0"/>
        <v>0</v>
      </c>
      <c r="J66" t="s">
        <v>300</v>
      </c>
    </row>
    <row r="67" spans="1:10" x14ac:dyDescent="0.35">
      <c r="A67">
        <v>18992</v>
      </c>
      <c r="B67">
        <v>18992</v>
      </c>
      <c r="C67">
        <f t="shared" ref="C67:C130" si="1">A67-B67</f>
        <v>0</v>
      </c>
      <c r="J67" t="s">
        <v>279</v>
      </c>
    </row>
    <row r="68" spans="1:10" x14ac:dyDescent="0.35">
      <c r="A68">
        <v>22717</v>
      </c>
      <c r="B68">
        <v>22717</v>
      </c>
      <c r="C68">
        <f t="shared" si="1"/>
        <v>0</v>
      </c>
      <c r="J68" t="s">
        <v>338</v>
      </c>
    </row>
    <row r="69" spans="1:10" x14ac:dyDescent="0.35">
      <c r="A69">
        <v>22718</v>
      </c>
      <c r="B69">
        <v>22718</v>
      </c>
      <c r="C69">
        <f t="shared" si="1"/>
        <v>0</v>
      </c>
      <c r="J69" t="s">
        <v>321</v>
      </c>
    </row>
    <row r="70" spans="1:10" x14ac:dyDescent="0.35">
      <c r="A70">
        <v>22719</v>
      </c>
      <c r="B70">
        <v>22719</v>
      </c>
      <c r="C70">
        <f t="shared" si="1"/>
        <v>0</v>
      </c>
      <c r="J70" t="s">
        <v>283</v>
      </c>
    </row>
    <row r="71" spans="1:10" x14ac:dyDescent="0.35">
      <c r="A71">
        <v>22720</v>
      </c>
      <c r="B71">
        <v>22720</v>
      </c>
      <c r="C71">
        <f t="shared" si="1"/>
        <v>0</v>
      </c>
      <c r="J71" t="s">
        <v>285</v>
      </c>
    </row>
    <row r="72" spans="1:10" x14ac:dyDescent="0.35">
      <c r="A72">
        <v>22721</v>
      </c>
      <c r="B72">
        <v>22721</v>
      </c>
      <c r="C72">
        <f t="shared" si="1"/>
        <v>0</v>
      </c>
      <c r="J72" t="s">
        <v>357</v>
      </c>
    </row>
    <row r="73" spans="1:10" x14ac:dyDescent="0.35">
      <c r="A73">
        <v>22722</v>
      </c>
      <c r="B73">
        <v>22722</v>
      </c>
      <c r="C73">
        <f t="shared" si="1"/>
        <v>0</v>
      </c>
      <c r="J73" t="s">
        <v>359</v>
      </c>
    </row>
    <row r="74" spans="1:10" x14ac:dyDescent="0.35">
      <c r="A74">
        <v>22723</v>
      </c>
      <c r="B74">
        <v>22723</v>
      </c>
      <c r="C74">
        <f t="shared" si="1"/>
        <v>0</v>
      </c>
      <c r="J74" t="s">
        <v>305</v>
      </c>
    </row>
    <row r="75" spans="1:10" x14ac:dyDescent="0.35">
      <c r="A75">
        <v>22724</v>
      </c>
      <c r="B75">
        <v>22724</v>
      </c>
      <c r="C75">
        <f t="shared" si="1"/>
        <v>0</v>
      </c>
      <c r="J75" t="s">
        <v>288</v>
      </c>
    </row>
    <row r="76" spans="1:10" x14ac:dyDescent="0.35">
      <c r="A76">
        <v>23161</v>
      </c>
      <c r="B76">
        <v>23161</v>
      </c>
      <c r="C76">
        <f t="shared" si="1"/>
        <v>0</v>
      </c>
      <c r="J76" t="s">
        <v>328</v>
      </c>
    </row>
    <row r="77" spans="1:10" x14ac:dyDescent="0.35">
      <c r="A77">
        <v>23214</v>
      </c>
      <c r="B77">
        <v>23214</v>
      </c>
      <c r="C77">
        <f t="shared" si="1"/>
        <v>0</v>
      </c>
      <c r="J77" t="s">
        <v>329</v>
      </c>
    </row>
    <row r="78" spans="1:10" x14ac:dyDescent="0.35">
      <c r="A78">
        <v>23219</v>
      </c>
      <c r="B78">
        <v>23219</v>
      </c>
      <c r="C78">
        <f t="shared" si="1"/>
        <v>0</v>
      </c>
    </row>
    <row r="79" spans="1:10" x14ac:dyDescent="0.35">
      <c r="A79">
        <v>23220</v>
      </c>
      <c r="B79">
        <v>23220</v>
      </c>
      <c r="C79">
        <f t="shared" si="1"/>
        <v>0</v>
      </c>
    </row>
    <row r="80" spans="1:10" x14ac:dyDescent="0.35">
      <c r="A80">
        <v>23221</v>
      </c>
      <c r="B80">
        <v>23221</v>
      </c>
      <c r="C80">
        <f t="shared" si="1"/>
        <v>0</v>
      </c>
    </row>
    <row r="81" spans="1:3" x14ac:dyDescent="0.35">
      <c r="A81">
        <v>23222</v>
      </c>
      <c r="B81">
        <v>23222</v>
      </c>
      <c r="C81">
        <f t="shared" si="1"/>
        <v>0</v>
      </c>
    </row>
    <row r="82" spans="1:3" x14ac:dyDescent="0.35">
      <c r="A82">
        <v>23223</v>
      </c>
      <c r="B82">
        <v>23223</v>
      </c>
      <c r="C82">
        <f t="shared" si="1"/>
        <v>0</v>
      </c>
    </row>
    <row r="83" spans="1:3" x14ac:dyDescent="0.35">
      <c r="A83">
        <v>23225</v>
      </c>
      <c r="B83">
        <v>23225</v>
      </c>
      <c r="C83">
        <f t="shared" si="1"/>
        <v>0</v>
      </c>
    </row>
    <row r="84" spans="1:3" x14ac:dyDescent="0.35">
      <c r="A84">
        <v>23227</v>
      </c>
      <c r="B84">
        <v>23227</v>
      </c>
      <c r="C84">
        <f t="shared" si="1"/>
        <v>0</v>
      </c>
    </row>
    <row r="85" spans="1:3" x14ac:dyDescent="0.35">
      <c r="A85">
        <v>23228</v>
      </c>
      <c r="B85">
        <v>23228</v>
      </c>
      <c r="C85">
        <f t="shared" si="1"/>
        <v>0</v>
      </c>
    </row>
    <row r="86" spans="1:3" x14ac:dyDescent="0.35">
      <c r="A86">
        <v>23229</v>
      </c>
      <c r="B86">
        <v>23229</v>
      </c>
      <c r="C86">
        <f t="shared" si="1"/>
        <v>0</v>
      </c>
    </row>
    <row r="87" spans="1:3" x14ac:dyDescent="0.35">
      <c r="A87">
        <v>23238</v>
      </c>
      <c r="B87">
        <v>23238</v>
      </c>
      <c r="C87">
        <f t="shared" si="1"/>
        <v>0</v>
      </c>
    </row>
    <row r="88" spans="1:3" x14ac:dyDescent="0.35">
      <c r="A88">
        <v>23239</v>
      </c>
      <c r="B88">
        <v>23239</v>
      </c>
      <c r="C88">
        <f t="shared" si="1"/>
        <v>0</v>
      </c>
    </row>
    <row r="89" spans="1:3" x14ac:dyDescent="0.35">
      <c r="A89">
        <v>23240</v>
      </c>
      <c r="B89">
        <v>23240</v>
      </c>
      <c r="C89">
        <f t="shared" si="1"/>
        <v>0</v>
      </c>
    </row>
    <row r="90" spans="1:3" x14ac:dyDescent="0.35">
      <c r="A90">
        <v>23241</v>
      </c>
      <c r="B90">
        <v>23241</v>
      </c>
      <c r="C90">
        <f t="shared" si="1"/>
        <v>0</v>
      </c>
    </row>
    <row r="91" spans="1:3" x14ac:dyDescent="0.35">
      <c r="A91">
        <v>23242</v>
      </c>
      <c r="B91">
        <v>23242</v>
      </c>
      <c r="C91">
        <f t="shared" si="1"/>
        <v>0</v>
      </c>
    </row>
    <row r="92" spans="1:3" x14ac:dyDescent="0.35">
      <c r="A92">
        <v>23243</v>
      </c>
      <c r="B92">
        <v>23243</v>
      </c>
      <c r="C92">
        <f t="shared" si="1"/>
        <v>0</v>
      </c>
    </row>
    <row r="93" spans="1:3" x14ac:dyDescent="0.35">
      <c r="A93">
        <v>23246</v>
      </c>
      <c r="B93">
        <v>23246</v>
      </c>
      <c r="C93">
        <f t="shared" si="1"/>
        <v>0</v>
      </c>
    </row>
    <row r="94" spans="1:3" x14ac:dyDescent="0.35">
      <c r="A94">
        <v>23247</v>
      </c>
      <c r="B94">
        <v>23247</v>
      </c>
      <c r="C94">
        <f t="shared" si="1"/>
        <v>0</v>
      </c>
    </row>
    <row r="95" spans="1:3" x14ac:dyDescent="0.35">
      <c r="A95">
        <v>23248</v>
      </c>
      <c r="B95">
        <v>23248</v>
      </c>
      <c r="C95">
        <f t="shared" si="1"/>
        <v>0</v>
      </c>
    </row>
    <row r="96" spans="1:3" x14ac:dyDescent="0.35">
      <c r="A96">
        <v>23249</v>
      </c>
      <c r="B96">
        <v>23249</v>
      </c>
      <c r="C96">
        <f t="shared" si="1"/>
        <v>0</v>
      </c>
    </row>
    <row r="97" spans="1:3" x14ac:dyDescent="0.35">
      <c r="A97">
        <v>23250</v>
      </c>
      <c r="B97">
        <v>23250</v>
      </c>
      <c r="C97">
        <f t="shared" si="1"/>
        <v>0</v>
      </c>
    </row>
    <row r="98" spans="1:3" x14ac:dyDescent="0.35">
      <c r="A98">
        <v>23251</v>
      </c>
      <c r="B98">
        <v>23251</v>
      </c>
      <c r="C98">
        <f t="shared" si="1"/>
        <v>0</v>
      </c>
    </row>
    <row r="99" spans="1:3" x14ac:dyDescent="0.35">
      <c r="A99">
        <v>23252</v>
      </c>
      <c r="B99">
        <v>23252</v>
      </c>
      <c r="C99">
        <f t="shared" si="1"/>
        <v>0</v>
      </c>
    </row>
    <row r="100" spans="1:3" x14ac:dyDescent="0.35">
      <c r="A100">
        <v>23338</v>
      </c>
      <c r="B100">
        <v>23338</v>
      </c>
      <c r="C100">
        <f t="shared" si="1"/>
        <v>0</v>
      </c>
    </row>
    <row r="101" spans="1:3" x14ac:dyDescent="0.35">
      <c r="A101">
        <v>23509</v>
      </c>
      <c r="B101">
        <v>23509</v>
      </c>
      <c r="C101">
        <f t="shared" si="1"/>
        <v>0</v>
      </c>
    </row>
    <row r="102" spans="1:3" x14ac:dyDescent="0.35">
      <c r="A102">
        <v>23510</v>
      </c>
      <c r="B102">
        <v>23510</v>
      </c>
      <c r="C102">
        <f t="shared" si="1"/>
        <v>0</v>
      </c>
    </row>
    <row r="103" spans="1:3" x14ac:dyDescent="0.35">
      <c r="A103">
        <v>24242</v>
      </c>
      <c r="B103">
        <v>24242</v>
      </c>
      <c r="C103">
        <f t="shared" si="1"/>
        <v>0</v>
      </c>
    </row>
    <row r="104" spans="1:3" x14ac:dyDescent="0.35">
      <c r="A104">
        <v>24252</v>
      </c>
      <c r="B104">
        <v>24252</v>
      </c>
      <c r="C104">
        <f t="shared" si="1"/>
        <v>0</v>
      </c>
    </row>
    <row r="105" spans="1:3" x14ac:dyDescent="0.35">
      <c r="A105">
        <v>25953</v>
      </c>
      <c r="B105">
        <v>25953</v>
      </c>
      <c r="C105">
        <f t="shared" si="1"/>
        <v>0</v>
      </c>
    </row>
    <row r="106" spans="1:3" x14ac:dyDescent="0.35">
      <c r="A106">
        <v>26054</v>
      </c>
      <c r="B106">
        <v>26054</v>
      </c>
      <c r="C106">
        <f t="shared" si="1"/>
        <v>0</v>
      </c>
    </row>
    <row r="107" spans="1:3" x14ac:dyDescent="0.35">
      <c r="A107">
        <v>26055</v>
      </c>
      <c r="B107">
        <v>26055</v>
      </c>
      <c r="C107">
        <f t="shared" si="1"/>
        <v>0</v>
      </c>
    </row>
    <row r="108" spans="1:3" x14ac:dyDescent="0.35">
      <c r="A108">
        <v>26056</v>
      </c>
      <c r="B108">
        <v>26056</v>
      </c>
      <c r="C108">
        <f t="shared" si="1"/>
        <v>0</v>
      </c>
    </row>
    <row r="109" spans="1:3" x14ac:dyDescent="0.35">
      <c r="A109">
        <v>26656</v>
      </c>
      <c r="B109">
        <v>26656</v>
      </c>
      <c r="C109">
        <f t="shared" si="1"/>
        <v>0</v>
      </c>
    </row>
    <row r="110" spans="1:3" x14ac:dyDescent="0.35">
      <c r="A110">
        <v>28825</v>
      </c>
      <c r="B110">
        <v>28825</v>
      </c>
      <c r="C110">
        <f t="shared" si="1"/>
        <v>0</v>
      </c>
    </row>
    <row r="111" spans="1:3" x14ac:dyDescent="0.35">
      <c r="A111">
        <v>29059</v>
      </c>
      <c r="B111">
        <v>29059</v>
      </c>
      <c r="C111">
        <f t="shared" si="1"/>
        <v>0</v>
      </c>
    </row>
    <row r="112" spans="1:3" x14ac:dyDescent="0.35">
      <c r="B112">
        <v>30174</v>
      </c>
      <c r="C112">
        <f t="shared" si="1"/>
        <v>-30174</v>
      </c>
    </row>
    <row r="113" spans="1:3" x14ac:dyDescent="0.35">
      <c r="A113">
        <v>32235</v>
      </c>
      <c r="B113">
        <v>32235</v>
      </c>
      <c r="C113">
        <f t="shared" si="1"/>
        <v>0</v>
      </c>
    </row>
    <row r="114" spans="1:3" x14ac:dyDescent="0.35">
      <c r="A114">
        <v>32239</v>
      </c>
      <c r="B114">
        <v>32239</v>
      </c>
      <c r="C114">
        <f t="shared" si="1"/>
        <v>0</v>
      </c>
    </row>
    <row r="115" spans="1:3" x14ac:dyDescent="0.35">
      <c r="A115">
        <v>32240</v>
      </c>
      <c r="B115">
        <v>32240</v>
      </c>
      <c r="C115">
        <f t="shared" si="1"/>
        <v>0</v>
      </c>
    </row>
    <row r="116" spans="1:3" x14ac:dyDescent="0.35">
      <c r="A116">
        <v>32242</v>
      </c>
      <c r="B116">
        <v>32242</v>
      </c>
      <c r="C116">
        <f t="shared" si="1"/>
        <v>0</v>
      </c>
    </row>
    <row r="117" spans="1:3" x14ac:dyDescent="0.35">
      <c r="A117">
        <v>32243</v>
      </c>
      <c r="B117">
        <v>32243</v>
      </c>
      <c r="C117">
        <f t="shared" si="1"/>
        <v>0</v>
      </c>
    </row>
    <row r="118" spans="1:3" x14ac:dyDescent="0.35">
      <c r="A118">
        <v>32244</v>
      </c>
      <c r="B118">
        <v>32244</v>
      </c>
      <c r="C118">
        <f t="shared" si="1"/>
        <v>0</v>
      </c>
    </row>
    <row r="119" spans="1:3" x14ac:dyDescent="0.35">
      <c r="A119">
        <v>32245</v>
      </c>
      <c r="B119">
        <v>32245</v>
      </c>
      <c r="C119">
        <f t="shared" si="1"/>
        <v>0</v>
      </c>
    </row>
    <row r="120" spans="1:3" x14ac:dyDescent="0.35">
      <c r="A120">
        <v>32246</v>
      </c>
      <c r="B120">
        <v>32246</v>
      </c>
      <c r="C120">
        <f t="shared" si="1"/>
        <v>0</v>
      </c>
    </row>
    <row r="121" spans="1:3" x14ac:dyDescent="0.35">
      <c r="A121">
        <v>32289</v>
      </c>
      <c r="B121">
        <v>32289</v>
      </c>
      <c r="C121">
        <f t="shared" si="1"/>
        <v>0</v>
      </c>
    </row>
    <row r="122" spans="1:3" x14ac:dyDescent="0.35">
      <c r="A122">
        <v>32290</v>
      </c>
      <c r="B122">
        <v>32290</v>
      </c>
      <c r="C122">
        <f t="shared" si="1"/>
        <v>0</v>
      </c>
    </row>
    <row r="123" spans="1:3" x14ac:dyDescent="0.35">
      <c r="A123">
        <v>32292</v>
      </c>
      <c r="B123">
        <v>32292</v>
      </c>
      <c r="C123">
        <f t="shared" si="1"/>
        <v>0</v>
      </c>
    </row>
    <row r="124" spans="1:3" x14ac:dyDescent="0.35">
      <c r="A124">
        <v>32295</v>
      </c>
      <c r="B124">
        <v>32295</v>
      </c>
      <c r="C124">
        <f t="shared" si="1"/>
        <v>0</v>
      </c>
    </row>
    <row r="125" spans="1:3" x14ac:dyDescent="0.35">
      <c r="A125">
        <v>32296</v>
      </c>
      <c r="B125">
        <v>32296</v>
      </c>
      <c r="C125">
        <f t="shared" si="1"/>
        <v>0</v>
      </c>
    </row>
    <row r="126" spans="1:3" x14ac:dyDescent="0.35">
      <c r="A126">
        <v>32297</v>
      </c>
      <c r="B126">
        <v>32297</v>
      </c>
      <c r="C126">
        <f t="shared" si="1"/>
        <v>0</v>
      </c>
    </row>
    <row r="127" spans="1:3" x14ac:dyDescent="0.35">
      <c r="A127">
        <v>32345</v>
      </c>
      <c r="B127">
        <v>32345</v>
      </c>
      <c r="C127">
        <f t="shared" si="1"/>
        <v>0</v>
      </c>
    </row>
    <row r="128" spans="1:3" x14ac:dyDescent="0.35">
      <c r="B128">
        <v>32420</v>
      </c>
      <c r="C128">
        <f t="shared" si="1"/>
        <v>-32420</v>
      </c>
    </row>
    <row r="129" spans="1:3" x14ac:dyDescent="0.35">
      <c r="A129">
        <v>33630</v>
      </c>
      <c r="B129">
        <v>33630</v>
      </c>
      <c r="C129">
        <f t="shared" si="1"/>
        <v>0</v>
      </c>
    </row>
    <row r="130" spans="1:3" x14ac:dyDescent="0.35">
      <c r="A130">
        <v>33660</v>
      </c>
      <c r="B130">
        <v>33660</v>
      </c>
      <c r="C130">
        <f t="shared" si="1"/>
        <v>0</v>
      </c>
    </row>
    <row r="131" spans="1:3" x14ac:dyDescent="0.35">
      <c r="A131">
        <v>34406</v>
      </c>
      <c r="B131">
        <v>34406</v>
      </c>
      <c r="C131">
        <f t="shared" ref="C131:C194" si="2">A131-B131</f>
        <v>0</v>
      </c>
    </row>
    <row r="132" spans="1:3" x14ac:dyDescent="0.35">
      <c r="A132">
        <v>34407</v>
      </c>
      <c r="B132">
        <v>34407</v>
      </c>
      <c r="C132">
        <f t="shared" si="2"/>
        <v>0</v>
      </c>
    </row>
    <row r="133" spans="1:3" x14ac:dyDescent="0.35">
      <c r="A133">
        <v>34767</v>
      </c>
      <c r="B133">
        <v>34767</v>
      </c>
      <c r="C133">
        <f t="shared" si="2"/>
        <v>0</v>
      </c>
    </row>
    <row r="134" spans="1:3" x14ac:dyDescent="0.35">
      <c r="A134">
        <v>34769</v>
      </c>
      <c r="B134">
        <v>34769</v>
      </c>
      <c r="C134">
        <f t="shared" si="2"/>
        <v>0</v>
      </c>
    </row>
    <row r="135" spans="1:3" x14ac:dyDescent="0.35">
      <c r="A135">
        <v>34790</v>
      </c>
      <c r="B135">
        <v>34790</v>
      </c>
      <c r="C135">
        <f t="shared" si="2"/>
        <v>0</v>
      </c>
    </row>
    <row r="136" spans="1:3" x14ac:dyDescent="0.35">
      <c r="A136">
        <v>34795</v>
      </c>
      <c r="B136">
        <v>34795</v>
      </c>
      <c r="C136">
        <f t="shared" si="2"/>
        <v>0</v>
      </c>
    </row>
    <row r="137" spans="1:3" x14ac:dyDescent="0.35">
      <c r="A137">
        <v>34896</v>
      </c>
      <c r="B137">
        <v>34896</v>
      </c>
      <c r="C137">
        <f t="shared" si="2"/>
        <v>0</v>
      </c>
    </row>
    <row r="138" spans="1:3" x14ac:dyDescent="0.35">
      <c r="A138">
        <v>34897</v>
      </c>
      <c r="B138">
        <v>34897</v>
      </c>
      <c r="C138">
        <f t="shared" si="2"/>
        <v>0</v>
      </c>
    </row>
    <row r="139" spans="1:3" x14ac:dyDescent="0.35">
      <c r="A139">
        <v>34898</v>
      </c>
      <c r="B139">
        <v>34898</v>
      </c>
      <c r="C139">
        <f t="shared" si="2"/>
        <v>0</v>
      </c>
    </row>
    <row r="140" spans="1:3" x14ac:dyDescent="0.35">
      <c r="A140">
        <v>34899</v>
      </c>
      <c r="B140">
        <v>34899</v>
      </c>
      <c r="C140">
        <f t="shared" si="2"/>
        <v>0</v>
      </c>
    </row>
    <row r="141" spans="1:3" x14ac:dyDescent="0.35">
      <c r="A141">
        <v>35018</v>
      </c>
      <c r="B141">
        <v>35018</v>
      </c>
      <c r="C141">
        <f t="shared" si="2"/>
        <v>0</v>
      </c>
    </row>
    <row r="142" spans="1:3" x14ac:dyDescent="0.35">
      <c r="A142">
        <v>35020</v>
      </c>
      <c r="B142">
        <v>35020</v>
      </c>
      <c r="C142">
        <f t="shared" si="2"/>
        <v>0</v>
      </c>
    </row>
    <row r="143" spans="1:3" x14ac:dyDescent="0.35">
      <c r="A143">
        <v>35022</v>
      </c>
      <c r="B143">
        <v>35022</v>
      </c>
      <c r="C143">
        <f t="shared" si="2"/>
        <v>0</v>
      </c>
    </row>
    <row r="144" spans="1:3" x14ac:dyDescent="0.35">
      <c r="A144">
        <v>35025</v>
      </c>
      <c r="B144">
        <v>35025</v>
      </c>
      <c r="C144">
        <f t="shared" si="2"/>
        <v>0</v>
      </c>
    </row>
    <row r="145" spans="1:3" x14ac:dyDescent="0.35">
      <c r="A145">
        <v>35027</v>
      </c>
      <c r="B145">
        <v>35027</v>
      </c>
      <c r="C145">
        <f t="shared" si="2"/>
        <v>0</v>
      </c>
    </row>
    <row r="146" spans="1:3" x14ac:dyDescent="0.35">
      <c r="A146">
        <v>35028</v>
      </c>
      <c r="B146">
        <v>35028</v>
      </c>
      <c r="C146">
        <f t="shared" si="2"/>
        <v>0</v>
      </c>
    </row>
    <row r="147" spans="1:3" x14ac:dyDescent="0.35">
      <c r="A147">
        <v>35710</v>
      </c>
      <c r="B147">
        <v>35710</v>
      </c>
      <c r="C147">
        <f t="shared" si="2"/>
        <v>0</v>
      </c>
    </row>
    <row r="148" spans="1:3" x14ac:dyDescent="0.35">
      <c r="A148">
        <v>35711</v>
      </c>
      <c r="B148">
        <v>35711</v>
      </c>
      <c r="C148">
        <f t="shared" si="2"/>
        <v>0</v>
      </c>
    </row>
    <row r="149" spans="1:3" x14ac:dyDescent="0.35">
      <c r="A149">
        <v>35712</v>
      </c>
      <c r="B149">
        <v>35712</v>
      </c>
      <c r="C149">
        <f t="shared" si="2"/>
        <v>0</v>
      </c>
    </row>
    <row r="150" spans="1:3" x14ac:dyDescent="0.35">
      <c r="A150">
        <v>35713</v>
      </c>
      <c r="B150">
        <v>35713</v>
      </c>
      <c r="C150">
        <f t="shared" si="2"/>
        <v>0</v>
      </c>
    </row>
    <row r="151" spans="1:3" x14ac:dyDescent="0.35">
      <c r="A151">
        <v>35714</v>
      </c>
      <c r="B151">
        <v>35714</v>
      </c>
      <c r="C151">
        <f t="shared" si="2"/>
        <v>0</v>
      </c>
    </row>
    <row r="152" spans="1:3" x14ac:dyDescent="0.35">
      <c r="A152">
        <v>36702</v>
      </c>
      <c r="B152">
        <v>36702</v>
      </c>
      <c r="C152">
        <f t="shared" si="2"/>
        <v>0</v>
      </c>
    </row>
    <row r="153" spans="1:3" x14ac:dyDescent="0.35">
      <c r="A153">
        <v>37015</v>
      </c>
      <c r="B153">
        <v>37015</v>
      </c>
      <c r="C153">
        <f t="shared" si="2"/>
        <v>0</v>
      </c>
    </row>
    <row r="154" spans="1:3" x14ac:dyDescent="0.35">
      <c r="A154">
        <v>39315</v>
      </c>
      <c r="B154">
        <v>39315</v>
      </c>
      <c r="C154">
        <f t="shared" si="2"/>
        <v>0</v>
      </c>
    </row>
    <row r="155" spans="1:3" x14ac:dyDescent="0.35">
      <c r="A155">
        <v>39316</v>
      </c>
      <c r="B155">
        <v>39316</v>
      </c>
      <c r="C155">
        <f t="shared" si="2"/>
        <v>0</v>
      </c>
    </row>
    <row r="156" spans="1:3" x14ac:dyDescent="0.35">
      <c r="A156">
        <v>39317</v>
      </c>
      <c r="B156">
        <v>39317</v>
      </c>
      <c r="C156">
        <f t="shared" si="2"/>
        <v>0</v>
      </c>
    </row>
    <row r="157" spans="1:3" x14ac:dyDescent="0.35">
      <c r="A157">
        <v>39318</v>
      </c>
      <c r="B157">
        <v>39318</v>
      </c>
      <c r="C157">
        <f t="shared" si="2"/>
        <v>0</v>
      </c>
    </row>
    <row r="158" spans="1:3" x14ac:dyDescent="0.35">
      <c r="A158">
        <v>39319</v>
      </c>
      <c r="B158">
        <v>39319</v>
      </c>
      <c r="C158">
        <f t="shared" si="2"/>
        <v>0</v>
      </c>
    </row>
    <row r="159" spans="1:3" x14ac:dyDescent="0.35">
      <c r="A159">
        <v>39798</v>
      </c>
      <c r="B159">
        <v>39798</v>
      </c>
      <c r="C159">
        <f t="shared" si="2"/>
        <v>0</v>
      </c>
    </row>
    <row r="160" spans="1:3" x14ac:dyDescent="0.35">
      <c r="A160">
        <v>39800</v>
      </c>
      <c r="B160">
        <v>39800</v>
      </c>
      <c r="C160">
        <f t="shared" si="2"/>
        <v>0</v>
      </c>
    </row>
    <row r="161" spans="1:3" x14ac:dyDescent="0.35">
      <c r="A161">
        <v>39801</v>
      </c>
      <c r="B161">
        <v>39801</v>
      </c>
      <c r="C161">
        <f t="shared" si="2"/>
        <v>0</v>
      </c>
    </row>
    <row r="162" spans="1:3" x14ac:dyDescent="0.35">
      <c r="A162">
        <v>39802</v>
      </c>
      <c r="B162">
        <v>39802</v>
      </c>
      <c r="C162">
        <f t="shared" si="2"/>
        <v>0</v>
      </c>
    </row>
    <row r="163" spans="1:3" x14ac:dyDescent="0.35">
      <c r="A163">
        <v>39803</v>
      </c>
      <c r="B163">
        <v>39803</v>
      </c>
      <c r="C163">
        <f t="shared" si="2"/>
        <v>0</v>
      </c>
    </row>
    <row r="164" spans="1:3" x14ac:dyDescent="0.35">
      <c r="A164">
        <v>40192</v>
      </c>
      <c r="B164">
        <v>40192</v>
      </c>
      <c r="C164">
        <f t="shared" si="2"/>
        <v>0</v>
      </c>
    </row>
    <row r="165" spans="1:3" x14ac:dyDescent="0.35">
      <c r="A165">
        <v>41252</v>
      </c>
      <c r="B165">
        <v>41252</v>
      </c>
      <c r="C165">
        <f t="shared" si="2"/>
        <v>0</v>
      </c>
    </row>
    <row r="166" spans="1:3" x14ac:dyDescent="0.35">
      <c r="A166">
        <v>41513</v>
      </c>
      <c r="B166">
        <v>41513</v>
      </c>
      <c r="C166">
        <f t="shared" si="2"/>
        <v>0</v>
      </c>
    </row>
    <row r="167" spans="1:3" x14ac:dyDescent="0.35">
      <c r="A167">
        <v>41514</v>
      </c>
      <c r="B167">
        <v>41514</v>
      </c>
      <c r="C167">
        <f t="shared" si="2"/>
        <v>0</v>
      </c>
    </row>
    <row r="168" spans="1:3" x14ac:dyDescent="0.35">
      <c r="A168">
        <v>41515</v>
      </c>
      <c r="B168">
        <v>41515</v>
      </c>
      <c r="C168">
        <f t="shared" si="2"/>
        <v>0</v>
      </c>
    </row>
    <row r="169" spans="1:3" x14ac:dyDescent="0.35">
      <c r="A169">
        <v>41516</v>
      </c>
      <c r="B169">
        <v>41516</v>
      </c>
      <c r="C169">
        <f t="shared" si="2"/>
        <v>0</v>
      </c>
    </row>
    <row r="170" spans="1:3" x14ac:dyDescent="0.35">
      <c r="A170">
        <v>41517</v>
      </c>
      <c r="B170">
        <v>41517</v>
      </c>
      <c r="C170">
        <f t="shared" si="2"/>
        <v>0</v>
      </c>
    </row>
    <row r="171" spans="1:3" x14ac:dyDescent="0.35">
      <c r="A171">
        <v>41518</v>
      </c>
      <c r="B171">
        <v>41518</v>
      </c>
      <c r="C171">
        <f t="shared" si="2"/>
        <v>0</v>
      </c>
    </row>
    <row r="172" spans="1:3" x14ac:dyDescent="0.35">
      <c r="A172">
        <v>42776</v>
      </c>
      <c r="B172">
        <v>42776</v>
      </c>
      <c r="C172">
        <f t="shared" si="2"/>
        <v>0</v>
      </c>
    </row>
    <row r="173" spans="1:3" x14ac:dyDescent="0.35">
      <c r="A173">
        <v>42777</v>
      </c>
      <c r="B173">
        <v>42777</v>
      </c>
      <c r="C173">
        <f t="shared" si="2"/>
        <v>0</v>
      </c>
    </row>
    <row r="174" spans="1:3" x14ac:dyDescent="0.35">
      <c r="A174">
        <v>43688</v>
      </c>
      <c r="B174">
        <v>43688</v>
      </c>
      <c r="C174">
        <f t="shared" si="2"/>
        <v>0</v>
      </c>
    </row>
    <row r="175" spans="1:3" x14ac:dyDescent="0.35">
      <c r="A175">
        <v>43810</v>
      </c>
      <c r="B175">
        <v>43810</v>
      </c>
      <c r="C175">
        <f t="shared" si="2"/>
        <v>0</v>
      </c>
    </row>
    <row r="176" spans="1:3" x14ac:dyDescent="0.35">
      <c r="A176">
        <v>43899</v>
      </c>
      <c r="B176">
        <v>43899</v>
      </c>
      <c r="C176">
        <f t="shared" si="2"/>
        <v>0</v>
      </c>
    </row>
    <row r="177" spans="1:3" x14ac:dyDescent="0.35">
      <c r="A177">
        <v>43900</v>
      </c>
      <c r="B177">
        <v>43900</v>
      </c>
      <c r="C177">
        <f t="shared" si="2"/>
        <v>0</v>
      </c>
    </row>
    <row r="178" spans="1:3" x14ac:dyDescent="0.35">
      <c r="A178">
        <v>43927</v>
      </c>
      <c r="B178">
        <v>43927</v>
      </c>
      <c r="C178">
        <f t="shared" si="2"/>
        <v>0</v>
      </c>
    </row>
    <row r="179" spans="1:3" x14ac:dyDescent="0.35">
      <c r="A179">
        <v>44151</v>
      </c>
      <c r="B179">
        <v>44151</v>
      </c>
      <c r="C179">
        <f t="shared" si="2"/>
        <v>0</v>
      </c>
    </row>
    <row r="180" spans="1:3" x14ac:dyDescent="0.35">
      <c r="A180">
        <v>44153</v>
      </c>
      <c r="B180">
        <v>44153</v>
      </c>
      <c r="C180">
        <f t="shared" si="2"/>
        <v>0</v>
      </c>
    </row>
    <row r="181" spans="1:3" x14ac:dyDescent="0.35">
      <c r="A181">
        <v>44317</v>
      </c>
      <c r="B181">
        <v>44317</v>
      </c>
      <c r="C181">
        <f t="shared" si="2"/>
        <v>0</v>
      </c>
    </row>
    <row r="182" spans="1:3" x14ac:dyDescent="0.35">
      <c r="A182">
        <v>44744</v>
      </c>
      <c r="B182">
        <v>44744</v>
      </c>
      <c r="C182">
        <f t="shared" si="2"/>
        <v>0</v>
      </c>
    </row>
    <row r="183" spans="1:3" x14ac:dyDescent="0.35">
      <c r="A183">
        <v>46197</v>
      </c>
      <c r="B183">
        <v>46197</v>
      </c>
      <c r="C183">
        <f t="shared" si="2"/>
        <v>0</v>
      </c>
    </row>
    <row r="184" spans="1:3" x14ac:dyDescent="0.35">
      <c r="A184">
        <v>46199</v>
      </c>
      <c r="B184">
        <v>46199</v>
      </c>
      <c r="C184">
        <f t="shared" si="2"/>
        <v>0</v>
      </c>
    </row>
    <row r="185" spans="1:3" x14ac:dyDescent="0.35">
      <c r="A185">
        <v>46628</v>
      </c>
      <c r="B185">
        <v>46628</v>
      </c>
      <c r="C185">
        <f t="shared" si="2"/>
        <v>0</v>
      </c>
    </row>
    <row r="186" spans="1:3" x14ac:dyDescent="0.35">
      <c r="A186">
        <v>47037</v>
      </c>
      <c r="B186">
        <v>47037</v>
      </c>
      <c r="C186">
        <f t="shared" si="2"/>
        <v>0</v>
      </c>
    </row>
    <row r="187" spans="1:3" x14ac:dyDescent="0.35">
      <c r="B187">
        <v>48025</v>
      </c>
      <c r="C187">
        <f t="shared" si="2"/>
        <v>-48025</v>
      </c>
    </row>
    <row r="188" spans="1:3" x14ac:dyDescent="0.35">
      <c r="A188">
        <v>48027</v>
      </c>
      <c r="B188">
        <v>48027</v>
      </c>
      <c r="C188">
        <f t="shared" si="2"/>
        <v>0</v>
      </c>
    </row>
    <row r="189" spans="1:3" x14ac:dyDescent="0.35">
      <c r="A189">
        <v>48778</v>
      </c>
      <c r="B189">
        <v>48778</v>
      </c>
      <c r="C189">
        <f t="shared" si="2"/>
        <v>0</v>
      </c>
    </row>
    <row r="190" spans="1:3" x14ac:dyDescent="0.35">
      <c r="A190">
        <v>48954</v>
      </c>
      <c r="B190">
        <v>48954</v>
      </c>
      <c r="C190">
        <f t="shared" si="2"/>
        <v>0</v>
      </c>
    </row>
    <row r="191" spans="1:3" x14ac:dyDescent="0.35">
      <c r="A191">
        <v>49193</v>
      </c>
      <c r="B191">
        <v>49193</v>
      </c>
      <c r="C191">
        <f t="shared" si="2"/>
        <v>0</v>
      </c>
    </row>
    <row r="192" spans="1:3" x14ac:dyDescent="0.35">
      <c r="A192">
        <v>49322</v>
      </c>
      <c r="B192">
        <v>49322</v>
      </c>
      <c r="C192">
        <f t="shared" si="2"/>
        <v>0</v>
      </c>
    </row>
    <row r="193" spans="1:3" x14ac:dyDescent="0.35">
      <c r="A193">
        <v>49378</v>
      </c>
      <c r="B193">
        <v>49378</v>
      </c>
      <c r="C193">
        <f t="shared" si="2"/>
        <v>0</v>
      </c>
    </row>
    <row r="194" spans="1:3" x14ac:dyDescent="0.35">
      <c r="A194">
        <v>49379</v>
      </c>
      <c r="B194">
        <v>49379</v>
      </c>
      <c r="C194">
        <f t="shared" si="2"/>
        <v>0</v>
      </c>
    </row>
    <row r="195" spans="1:3" x14ac:dyDescent="0.35">
      <c r="A195">
        <v>50869</v>
      </c>
      <c r="B195">
        <v>50869</v>
      </c>
      <c r="C195">
        <f t="shared" ref="C195:C258" si="3">A195-B195</f>
        <v>0</v>
      </c>
    </row>
    <row r="196" spans="1:3" x14ac:dyDescent="0.35">
      <c r="A196">
        <v>50870</v>
      </c>
      <c r="B196">
        <v>50870</v>
      </c>
      <c r="C196">
        <f t="shared" si="3"/>
        <v>0</v>
      </c>
    </row>
    <row r="197" spans="1:3" x14ac:dyDescent="0.35">
      <c r="A197">
        <v>51412</v>
      </c>
      <c r="B197">
        <v>51412</v>
      </c>
      <c r="C197">
        <f t="shared" si="3"/>
        <v>0</v>
      </c>
    </row>
    <row r="198" spans="1:3" x14ac:dyDescent="0.35">
      <c r="A198">
        <v>51960</v>
      </c>
      <c r="B198">
        <v>51960</v>
      </c>
      <c r="C198">
        <f t="shared" si="3"/>
        <v>0</v>
      </c>
    </row>
    <row r="199" spans="1:3" x14ac:dyDescent="0.35">
      <c r="B199">
        <v>54729</v>
      </c>
      <c r="C199">
        <f t="shared" si="3"/>
        <v>-54729</v>
      </c>
    </row>
    <row r="200" spans="1:3" x14ac:dyDescent="0.35">
      <c r="A200">
        <v>54753</v>
      </c>
      <c r="B200">
        <v>54753</v>
      </c>
      <c r="C200">
        <f t="shared" si="3"/>
        <v>0</v>
      </c>
    </row>
    <row r="201" spans="1:3" x14ac:dyDescent="0.35">
      <c r="A201">
        <v>55531</v>
      </c>
      <c r="B201">
        <v>55531</v>
      </c>
      <c r="C201">
        <f t="shared" si="3"/>
        <v>0</v>
      </c>
    </row>
    <row r="202" spans="1:3" x14ac:dyDescent="0.35">
      <c r="A202">
        <v>58615</v>
      </c>
      <c r="B202">
        <v>58615</v>
      </c>
      <c r="C202">
        <f t="shared" si="3"/>
        <v>0</v>
      </c>
    </row>
    <row r="203" spans="1:3" x14ac:dyDescent="0.35">
      <c r="B203">
        <v>58983</v>
      </c>
      <c r="C203">
        <f t="shared" si="3"/>
        <v>-58983</v>
      </c>
    </row>
    <row r="204" spans="1:3" x14ac:dyDescent="0.35">
      <c r="A204">
        <v>59567</v>
      </c>
      <c r="B204">
        <v>59567</v>
      </c>
      <c r="C204">
        <f t="shared" si="3"/>
        <v>0</v>
      </c>
    </row>
    <row r="205" spans="1:3" x14ac:dyDescent="0.35">
      <c r="A205">
        <v>59568</v>
      </c>
      <c r="B205">
        <v>59568</v>
      </c>
      <c r="C205">
        <f t="shared" si="3"/>
        <v>0</v>
      </c>
    </row>
    <row r="206" spans="1:3" x14ac:dyDescent="0.35">
      <c r="A206">
        <v>59569</v>
      </c>
      <c r="B206">
        <v>59569</v>
      </c>
      <c r="C206">
        <f t="shared" si="3"/>
        <v>0</v>
      </c>
    </row>
    <row r="207" spans="1:3" x14ac:dyDescent="0.35">
      <c r="A207">
        <v>59570</v>
      </c>
      <c r="B207">
        <v>59570</v>
      </c>
      <c r="C207">
        <f t="shared" si="3"/>
        <v>0</v>
      </c>
    </row>
    <row r="208" spans="1:3" x14ac:dyDescent="0.35">
      <c r="A208">
        <v>59571</v>
      </c>
      <c r="B208">
        <v>59571</v>
      </c>
      <c r="C208">
        <f t="shared" si="3"/>
        <v>0</v>
      </c>
    </row>
    <row r="209" spans="1:3" x14ac:dyDescent="0.35">
      <c r="A209">
        <v>59572</v>
      </c>
      <c r="B209">
        <v>59572</v>
      </c>
      <c r="C209">
        <f t="shared" si="3"/>
        <v>0</v>
      </c>
    </row>
    <row r="210" spans="1:3" x14ac:dyDescent="0.35">
      <c r="A210">
        <v>59573</v>
      </c>
      <c r="B210">
        <v>59573</v>
      </c>
      <c r="C210">
        <f t="shared" si="3"/>
        <v>0</v>
      </c>
    </row>
    <row r="211" spans="1:3" x14ac:dyDescent="0.35">
      <c r="A211">
        <v>59650</v>
      </c>
      <c r="B211">
        <v>59650</v>
      </c>
      <c r="C211">
        <f t="shared" si="3"/>
        <v>0</v>
      </c>
    </row>
    <row r="212" spans="1:3" x14ac:dyDescent="0.35">
      <c r="A212">
        <v>59785</v>
      </c>
      <c r="B212">
        <v>59785</v>
      </c>
      <c r="C212">
        <f t="shared" si="3"/>
        <v>0</v>
      </c>
    </row>
    <row r="213" spans="1:3" x14ac:dyDescent="0.35">
      <c r="A213">
        <v>59788</v>
      </c>
      <c r="B213">
        <v>59788</v>
      </c>
      <c r="C213">
        <f t="shared" si="3"/>
        <v>0</v>
      </c>
    </row>
    <row r="214" spans="1:3" x14ac:dyDescent="0.35">
      <c r="A214">
        <v>59791</v>
      </c>
      <c r="B214">
        <v>59791</v>
      </c>
      <c r="C214">
        <f t="shared" si="3"/>
        <v>0</v>
      </c>
    </row>
    <row r="215" spans="1:3" x14ac:dyDescent="0.35">
      <c r="A215">
        <v>59793</v>
      </c>
      <c r="B215">
        <v>59793</v>
      </c>
      <c r="C215">
        <f t="shared" si="3"/>
        <v>0</v>
      </c>
    </row>
    <row r="216" spans="1:3" x14ac:dyDescent="0.35">
      <c r="A216">
        <v>59797</v>
      </c>
      <c r="B216">
        <v>59797</v>
      </c>
      <c r="C216">
        <f t="shared" si="3"/>
        <v>0</v>
      </c>
    </row>
    <row r="217" spans="1:3" x14ac:dyDescent="0.35">
      <c r="A217">
        <v>59799</v>
      </c>
      <c r="B217">
        <v>59799</v>
      </c>
      <c r="C217">
        <f t="shared" si="3"/>
        <v>0</v>
      </c>
    </row>
    <row r="218" spans="1:3" x14ac:dyDescent="0.35">
      <c r="A218">
        <v>59802</v>
      </c>
      <c r="B218">
        <v>59802</v>
      </c>
      <c r="C218">
        <f t="shared" si="3"/>
        <v>0</v>
      </c>
    </row>
    <row r="219" spans="1:3" x14ac:dyDescent="0.35">
      <c r="A219">
        <v>59804</v>
      </c>
      <c r="B219">
        <v>59804</v>
      </c>
      <c r="C219">
        <f t="shared" si="3"/>
        <v>0</v>
      </c>
    </row>
    <row r="220" spans="1:3" x14ac:dyDescent="0.35">
      <c r="A220">
        <v>59961</v>
      </c>
      <c r="B220">
        <v>59961</v>
      </c>
      <c r="C220">
        <f t="shared" si="3"/>
        <v>0</v>
      </c>
    </row>
    <row r="221" spans="1:3" x14ac:dyDescent="0.35">
      <c r="A221">
        <v>59976</v>
      </c>
      <c r="B221">
        <v>59976</v>
      </c>
      <c r="C221">
        <f t="shared" si="3"/>
        <v>0</v>
      </c>
    </row>
    <row r="222" spans="1:3" x14ac:dyDescent="0.35">
      <c r="A222">
        <v>59996</v>
      </c>
      <c r="B222">
        <v>59996</v>
      </c>
      <c r="C222">
        <f t="shared" si="3"/>
        <v>0</v>
      </c>
    </row>
    <row r="223" spans="1:3" x14ac:dyDescent="0.35">
      <c r="A223">
        <v>60002</v>
      </c>
      <c r="B223">
        <v>60002</v>
      </c>
      <c r="C223">
        <f t="shared" si="3"/>
        <v>0</v>
      </c>
    </row>
    <row r="224" spans="1:3" x14ac:dyDescent="0.35">
      <c r="A224">
        <v>60021</v>
      </c>
      <c r="B224">
        <v>60021</v>
      </c>
      <c r="C224">
        <f t="shared" si="3"/>
        <v>0</v>
      </c>
    </row>
    <row r="225" spans="1:3" x14ac:dyDescent="0.35">
      <c r="A225">
        <v>60024</v>
      </c>
      <c r="B225">
        <v>60024</v>
      </c>
      <c r="C225">
        <f t="shared" si="3"/>
        <v>0</v>
      </c>
    </row>
    <row r="226" spans="1:3" x14ac:dyDescent="0.35">
      <c r="A226">
        <v>60025</v>
      </c>
      <c r="B226">
        <v>60025</v>
      </c>
      <c r="C226">
        <f t="shared" si="3"/>
        <v>0</v>
      </c>
    </row>
    <row r="227" spans="1:3" x14ac:dyDescent="0.35">
      <c r="A227">
        <v>60114</v>
      </c>
      <c r="B227">
        <v>60114</v>
      </c>
      <c r="C227">
        <f t="shared" si="3"/>
        <v>0</v>
      </c>
    </row>
    <row r="228" spans="1:3" x14ac:dyDescent="0.35">
      <c r="A228">
        <v>60116</v>
      </c>
      <c r="B228">
        <v>60116</v>
      </c>
      <c r="C228">
        <f t="shared" si="3"/>
        <v>0</v>
      </c>
    </row>
    <row r="229" spans="1:3" x14ac:dyDescent="0.35">
      <c r="A229">
        <v>60118</v>
      </c>
      <c r="B229">
        <v>60118</v>
      </c>
      <c r="C229">
        <f t="shared" si="3"/>
        <v>0</v>
      </c>
    </row>
    <row r="230" spans="1:3" x14ac:dyDescent="0.35">
      <c r="A230">
        <v>60119</v>
      </c>
      <c r="B230">
        <v>60119</v>
      </c>
      <c r="C230">
        <f t="shared" si="3"/>
        <v>0</v>
      </c>
    </row>
    <row r="231" spans="1:3" x14ac:dyDescent="0.35">
      <c r="A231">
        <v>60136</v>
      </c>
      <c r="B231">
        <v>60136</v>
      </c>
      <c r="C231">
        <f t="shared" si="3"/>
        <v>0</v>
      </c>
    </row>
    <row r="232" spans="1:3" x14ac:dyDescent="0.35">
      <c r="A232">
        <v>60140</v>
      </c>
      <c r="B232">
        <v>60140</v>
      </c>
      <c r="C232">
        <f t="shared" si="3"/>
        <v>0</v>
      </c>
    </row>
    <row r="233" spans="1:3" x14ac:dyDescent="0.35">
      <c r="A233">
        <v>60424</v>
      </c>
      <c r="B233">
        <v>60424</v>
      </c>
      <c r="C233">
        <f t="shared" si="3"/>
        <v>0</v>
      </c>
    </row>
    <row r="234" spans="1:3" x14ac:dyDescent="0.35">
      <c r="A234">
        <v>61229</v>
      </c>
      <c r="B234">
        <v>61229</v>
      </c>
      <c r="C234">
        <f t="shared" si="3"/>
        <v>0</v>
      </c>
    </row>
    <row r="235" spans="1:3" x14ac:dyDescent="0.35">
      <c r="A235">
        <v>61230</v>
      </c>
      <c r="B235">
        <v>61230</v>
      </c>
      <c r="C235">
        <f t="shared" si="3"/>
        <v>0</v>
      </c>
    </row>
    <row r="236" spans="1:3" x14ac:dyDescent="0.35">
      <c r="A236">
        <v>61294</v>
      </c>
      <c r="B236">
        <v>61294</v>
      </c>
      <c r="C236">
        <f t="shared" si="3"/>
        <v>0</v>
      </c>
    </row>
    <row r="237" spans="1:3" x14ac:dyDescent="0.35">
      <c r="A237">
        <v>61309</v>
      </c>
      <c r="B237">
        <v>61309</v>
      </c>
      <c r="C237">
        <f t="shared" si="3"/>
        <v>0</v>
      </c>
    </row>
    <row r="238" spans="1:3" x14ac:dyDescent="0.35">
      <c r="A238">
        <v>61425</v>
      </c>
      <c r="B238">
        <v>61425</v>
      </c>
      <c r="C238">
        <f t="shared" si="3"/>
        <v>0</v>
      </c>
    </row>
    <row r="239" spans="1:3" x14ac:dyDescent="0.35">
      <c r="B239">
        <v>61442</v>
      </c>
      <c r="C239">
        <f t="shared" si="3"/>
        <v>-61442</v>
      </c>
    </row>
    <row r="240" spans="1:3" x14ac:dyDescent="0.35">
      <c r="B240">
        <v>61444</v>
      </c>
      <c r="C240">
        <f t="shared" si="3"/>
        <v>-61444</v>
      </c>
    </row>
    <row r="241" spans="1:3" x14ac:dyDescent="0.35">
      <c r="B241">
        <v>61446</v>
      </c>
      <c r="C241">
        <f t="shared" si="3"/>
        <v>-61446</v>
      </c>
    </row>
    <row r="242" spans="1:3" x14ac:dyDescent="0.35">
      <c r="A242">
        <v>61447</v>
      </c>
      <c r="B242">
        <v>61447</v>
      </c>
      <c r="C242">
        <f t="shared" si="3"/>
        <v>0</v>
      </c>
    </row>
    <row r="243" spans="1:3" x14ac:dyDescent="0.35">
      <c r="A243">
        <v>61451</v>
      </c>
      <c r="B243">
        <v>61451</v>
      </c>
      <c r="C243">
        <f t="shared" si="3"/>
        <v>0</v>
      </c>
    </row>
    <row r="244" spans="1:3" x14ac:dyDescent="0.35">
      <c r="A244">
        <v>61465</v>
      </c>
      <c r="B244">
        <v>61465</v>
      </c>
      <c r="C244">
        <f t="shared" si="3"/>
        <v>0</v>
      </c>
    </row>
    <row r="245" spans="1:3" x14ac:dyDescent="0.35">
      <c r="A245">
        <v>61467</v>
      </c>
      <c r="B245">
        <v>61467</v>
      </c>
      <c r="C245">
        <f t="shared" si="3"/>
        <v>0</v>
      </c>
    </row>
    <row r="246" spans="1:3" x14ac:dyDescent="0.35">
      <c r="A246">
        <v>61469</v>
      </c>
      <c r="B246">
        <v>61469</v>
      </c>
      <c r="C246">
        <f t="shared" si="3"/>
        <v>0</v>
      </c>
    </row>
    <row r="247" spans="1:3" x14ac:dyDescent="0.35">
      <c r="A247">
        <v>61470</v>
      </c>
      <c r="B247">
        <v>61470</v>
      </c>
      <c r="C247">
        <f t="shared" si="3"/>
        <v>0</v>
      </c>
    </row>
    <row r="248" spans="1:3" x14ac:dyDescent="0.35">
      <c r="A248">
        <v>61996</v>
      </c>
      <c r="B248">
        <v>61996</v>
      </c>
      <c r="C248">
        <f t="shared" si="3"/>
        <v>0</v>
      </c>
    </row>
    <row r="249" spans="1:3" x14ac:dyDescent="0.35">
      <c r="A249">
        <v>61997</v>
      </c>
      <c r="B249">
        <v>61997</v>
      </c>
      <c r="C249">
        <f t="shared" si="3"/>
        <v>0</v>
      </c>
    </row>
    <row r="250" spans="1:3" x14ac:dyDescent="0.35">
      <c r="A250">
        <v>62048</v>
      </c>
      <c r="B250">
        <v>62048</v>
      </c>
      <c r="C250">
        <f t="shared" si="3"/>
        <v>0</v>
      </c>
    </row>
    <row r="251" spans="1:3" x14ac:dyDescent="0.35">
      <c r="A251">
        <v>63232</v>
      </c>
      <c r="B251">
        <v>63232</v>
      </c>
      <c r="C251">
        <f t="shared" si="3"/>
        <v>0</v>
      </c>
    </row>
    <row r="252" spans="1:3" x14ac:dyDescent="0.35">
      <c r="A252">
        <v>63635</v>
      </c>
      <c r="B252">
        <v>63635</v>
      </c>
      <c r="C252">
        <f t="shared" si="3"/>
        <v>0</v>
      </c>
    </row>
    <row r="253" spans="1:3" x14ac:dyDescent="0.35">
      <c r="A253">
        <v>63636</v>
      </c>
      <c r="B253">
        <v>63636</v>
      </c>
      <c r="C253">
        <f t="shared" si="3"/>
        <v>0</v>
      </c>
    </row>
    <row r="254" spans="1:3" x14ac:dyDescent="0.35">
      <c r="A254">
        <v>63637</v>
      </c>
      <c r="B254">
        <v>63637</v>
      </c>
      <c r="C254">
        <f t="shared" si="3"/>
        <v>0</v>
      </c>
    </row>
    <row r="255" spans="1:3" x14ac:dyDescent="0.35">
      <c r="A255">
        <v>63638</v>
      </c>
      <c r="B255">
        <v>63638</v>
      </c>
      <c r="C255">
        <f t="shared" si="3"/>
        <v>0</v>
      </c>
    </row>
    <row r="256" spans="1:3" x14ac:dyDescent="0.35">
      <c r="A256">
        <v>63639</v>
      </c>
      <c r="B256">
        <v>63639</v>
      </c>
      <c r="C256">
        <f t="shared" si="3"/>
        <v>0</v>
      </c>
    </row>
    <row r="257" spans="1:3" x14ac:dyDescent="0.35">
      <c r="A257">
        <v>63640</v>
      </c>
      <c r="B257">
        <v>63640</v>
      </c>
      <c r="C257">
        <f t="shared" si="3"/>
        <v>0</v>
      </c>
    </row>
    <row r="258" spans="1:3" x14ac:dyDescent="0.35">
      <c r="A258">
        <v>63641</v>
      </c>
      <c r="B258">
        <v>63641</v>
      </c>
      <c r="C258">
        <f t="shared" si="3"/>
        <v>0</v>
      </c>
    </row>
    <row r="259" spans="1:3" x14ac:dyDescent="0.35">
      <c r="A259">
        <v>63642</v>
      </c>
      <c r="B259">
        <v>63642</v>
      </c>
      <c r="C259">
        <f t="shared" ref="C259:C314" si="4">A259-B259</f>
        <v>0</v>
      </c>
    </row>
    <row r="260" spans="1:3" x14ac:dyDescent="0.35">
      <c r="A260">
        <v>63643</v>
      </c>
      <c r="B260">
        <v>63643</v>
      </c>
      <c r="C260">
        <f t="shared" si="4"/>
        <v>0</v>
      </c>
    </row>
    <row r="261" spans="1:3" x14ac:dyDescent="0.35">
      <c r="A261">
        <v>63796</v>
      </c>
      <c r="B261">
        <v>63796</v>
      </c>
      <c r="C261">
        <f t="shared" si="4"/>
        <v>0</v>
      </c>
    </row>
    <row r="262" spans="1:3" x14ac:dyDescent="0.35">
      <c r="A262">
        <v>63844</v>
      </c>
      <c r="B262">
        <v>63844</v>
      </c>
      <c r="C262">
        <f t="shared" si="4"/>
        <v>0</v>
      </c>
    </row>
    <row r="263" spans="1:3" x14ac:dyDescent="0.35">
      <c r="A263">
        <v>63956</v>
      </c>
      <c r="B263">
        <v>63956</v>
      </c>
      <c r="C263">
        <f t="shared" si="4"/>
        <v>0</v>
      </c>
    </row>
    <row r="264" spans="1:3" x14ac:dyDescent="0.35">
      <c r="A264">
        <v>63963</v>
      </c>
      <c r="B264">
        <v>63963</v>
      </c>
      <c r="C264">
        <f t="shared" si="4"/>
        <v>0</v>
      </c>
    </row>
    <row r="265" spans="1:3" x14ac:dyDescent="0.35">
      <c r="A265">
        <v>64656</v>
      </c>
      <c r="B265">
        <v>64656</v>
      </c>
      <c r="C265">
        <f t="shared" si="4"/>
        <v>0</v>
      </c>
    </row>
    <row r="266" spans="1:3" x14ac:dyDescent="0.35">
      <c r="A266">
        <v>64657</v>
      </c>
      <c r="B266">
        <v>64657</v>
      </c>
      <c r="C266">
        <f t="shared" si="4"/>
        <v>0</v>
      </c>
    </row>
    <row r="267" spans="1:3" x14ac:dyDescent="0.35">
      <c r="A267">
        <v>64658</v>
      </c>
      <c r="B267">
        <v>64658</v>
      </c>
      <c r="C267">
        <f t="shared" si="4"/>
        <v>0</v>
      </c>
    </row>
    <row r="268" spans="1:3" x14ac:dyDescent="0.35">
      <c r="A268">
        <v>64659</v>
      </c>
      <c r="B268">
        <v>64659</v>
      </c>
      <c r="C268">
        <f t="shared" si="4"/>
        <v>0</v>
      </c>
    </row>
    <row r="269" spans="1:3" x14ac:dyDescent="0.35">
      <c r="B269">
        <v>64731</v>
      </c>
      <c r="C269">
        <f t="shared" si="4"/>
        <v>-64731</v>
      </c>
    </row>
    <row r="270" spans="1:3" x14ac:dyDescent="0.35">
      <c r="A270">
        <v>64927</v>
      </c>
      <c r="B270">
        <v>64927</v>
      </c>
      <c r="C270">
        <f t="shared" si="4"/>
        <v>0</v>
      </c>
    </row>
    <row r="271" spans="1:3" x14ac:dyDescent="0.35">
      <c r="A271">
        <v>64977</v>
      </c>
      <c r="B271">
        <v>64977</v>
      </c>
      <c r="C271">
        <f t="shared" si="4"/>
        <v>0</v>
      </c>
    </row>
    <row r="272" spans="1:3" x14ac:dyDescent="0.35">
      <c r="A272">
        <v>65439</v>
      </c>
      <c r="B272">
        <v>65439</v>
      </c>
      <c r="C272">
        <f t="shared" si="4"/>
        <v>0</v>
      </c>
    </row>
    <row r="273" spans="1:3" x14ac:dyDescent="0.35">
      <c r="A273">
        <v>65637</v>
      </c>
      <c r="B273">
        <v>65637</v>
      </c>
      <c r="C273">
        <f t="shared" si="4"/>
        <v>0</v>
      </c>
    </row>
    <row r="274" spans="1:3" x14ac:dyDescent="0.35">
      <c r="A274">
        <v>65638</v>
      </c>
      <c r="B274">
        <v>65638</v>
      </c>
      <c r="C274">
        <f t="shared" si="4"/>
        <v>0</v>
      </c>
    </row>
    <row r="275" spans="1:3" x14ac:dyDescent="0.35">
      <c r="A275">
        <v>65639</v>
      </c>
      <c r="B275">
        <v>65639</v>
      </c>
      <c r="C275">
        <f t="shared" si="4"/>
        <v>0</v>
      </c>
    </row>
    <row r="276" spans="1:3" x14ac:dyDescent="0.35">
      <c r="A276">
        <v>65640</v>
      </c>
      <c r="B276">
        <v>65640</v>
      </c>
      <c r="C276">
        <f t="shared" si="4"/>
        <v>0</v>
      </c>
    </row>
    <row r="277" spans="1:3" x14ac:dyDescent="0.35">
      <c r="A277">
        <v>65641</v>
      </c>
      <c r="B277">
        <v>65641</v>
      </c>
      <c r="C277">
        <f t="shared" si="4"/>
        <v>0</v>
      </c>
    </row>
    <row r="278" spans="1:3" x14ac:dyDescent="0.35">
      <c r="A278">
        <v>65642</v>
      </c>
      <c r="B278">
        <v>65642</v>
      </c>
      <c r="C278">
        <f t="shared" si="4"/>
        <v>0</v>
      </c>
    </row>
    <row r="279" spans="1:3" x14ac:dyDescent="0.35">
      <c r="A279">
        <v>65643</v>
      </c>
      <c r="B279">
        <v>65643</v>
      </c>
      <c r="C279">
        <f t="shared" si="4"/>
        <v>0</v>
      </c>
    </row>
    <row r="280" spans="1:3" x14ac:dyDescent="0.35">
      <c r="A280">
        <v>65644</v>
      </c>
      <c r="B280">
        <v>65644</v>
      </c>
      <c r="C280">
        <f t="shared" si="4"/>
        <v>0</v>
      </c>
    </row>
    <row r="281" spans="1:3" x14ac:dyDescent="0.35">
      <c r="A281">
        <v>65645</v>
      </c>
      <c r="B281">
        <v>65645</v>
      </c>
      <c r="C281">
        <f t="shared" si="4"/>
        <v>0</v>
      </c>
    </row>
    <row r="282" spans="1:3" x14ac:dyDescent="0.35">
      <c r="A282">
        <v>65646</v>
      </c>
      <c r="B282">
        <v>65646</v>
      </c>
      <c r="C282">
        <f t="shared" si="4"/>
        <v>0</v>
      </c>
    </row>
    <row r="283" spans="1:3" x14ac:dyDescent="0.35">
      <c r="A283">
        <v>66087</v>
      </c>
      <c r="B283">
        <v>66087</v>
      </c>
      <c r="C283">
        <f t="shared" si="4"/>
        <v>0</v>
      </c>
    </row>
    <row r="284" spans="1:3" x14ac:dyDescent="0.35">
      <c r="A284">
        <v>66088</v>
      </c>
      <c r="B284">
        <v>66088</v>
      </c>
      <c r="C284">
        <f t="shared" si="4"/>
        <v>0</v>
      </c>
    </row>
    <row r="285" spans="1:3" x14ac:dyDescent="0.35">
      <c r="A285">
        <v>66090</v>
      </c>
      <c r="B285">
        <v>66090</v>
      </c>
      <c r="C285">
        <f t="shared" si="4"/>
        <v>0</v>
      </c>
    </row>
    <row r="286" spans="1:3" x14ac:dyDescent="0.35">
      <c r="A286">
        <v>66091</v>
      </c>
      <c r="B286">
        <v>66091</v>
      </c>
      <c r="C286">
        <f t="shared" si="4"/>
        <v>0</v>
      </c>
    </row>
    <row r="287" spans="1:3" x14ac:dyDescent="0.35">
      <c r="A287">
        <v>66122</v>
      </c>
      <c r="B287">
        <v>66122</v>
      </c>
      <c r="C287">
        <f t="shared" si="4"/>
        <v>0</v>
      </c>
    </row>
    <row r="288" spans="1:3" x14ac:dyDescent="0.35">
      <c r="A288">
        <v>66123</v>
      </c>
      <c r="B288">
        <v>66123</v>
      </c>
      <c r="C288">
        <f t="shared" si="4"/>
        <v>0</v>
      </c>
    </row>
    <row r="289" spans="1:3" x14ac:dyDescent="0.35">
      <c r="A289">
        <v>66124</v>
      </c>
      <c r="B289">
        <v>66124</v>
      </c>
      <c r="C289">
        <f t="shared" si="4"/>
        <v>0</v>
      </c>
    </row>
    <row r="290" spans="1:3" x14ac:dyDescent="0.35">
      <c r="A290">
        <v>66846</v>
      </c>
      <c r="B290">
        <v>66846</v>
      </c>
      <c r="C290">
        <f t="shared" si="4"/>
        <v>0</v>
      </c>
    </row>
    <row r="291" spans="1:3" x14ac:dyDescent="0.35">
      <c r="A291">
        <v>66847</v>
      </c>
      <c r="B291">
        <v>66847</v>
      </c>
      <c r="C291">
        <f t="shared" si="4"/>
        <v>0</v>
      </c>
    </row>
    <row r="292" spans="1:3" x14ac:dyDescent="0.35">
      <c r="A292">
        <v>66906</v>
      </c>
      <c r="B292">
        <v>66906</v>
      </c>
      <c r="C292">
        <f t="shared" si="4"/>
        <v>0</v>
      </c>
    </row>
    <row r="293" spans="1:3" x14ac:dyDescent="0.35">
      <c r="A293">
        <v>66907</v>
      </c>
      <c r="B293">
        <v>66907</v>
      </c>
      <c r="C293">
        <f t="shared" si="4"/>
        <v>0</v>
      </c>
    </row>
    <row r="294" spans="1:3" x14ac:dyDescent="0.35">
      <c r="A294">
        <v>67336</v>
      </c>
      <c r="B294">
        <v>67336</v>
      </c>
      <c r="C294">
        <f t="shared" si="4"/>
        <v>0</v>
      </c>
    </row>
    <row r="295" spans="1:3" x14ac:dyDescent="0.35">
      <c r="A295">
        <v>67466</v>
      </c>
      <c r="B295">
        <v>67466</v>
      </c>
      <c r="C295">
        <f t="shared" si="4"/>
        <v>0</v>
      </c>
    </row>
    <row r="296" spans="1:3" x14ac:dyDescent="0.35">
      <c r="A296">
        <v>68056</v>
      </c>
      <c r="B296">
        <v>68056</v>
      </c>
      <c r="C296">
        <f t="shared" si="4"/>
        <v>0</v>
      </c>
    </row>
    <row r="297" spans="1:3" x14ac:dyDescent="0.35">
      <c r="A297">
        <v>68057</v>
      </c>
      <c r="B297">
        <v>68057</v>
      </c>
      <c r="C297">
        <f t="shared" si="4"/>
        <v>0</v>
      </c>
    </row>
    <row r="298" spans="1:3" x14ac:dyDescent="0.35">
      <c r="A298">
        <v>68187</v>
      </c>
      <c r="B298">
        <v>68187</v>
      </c>
      <c r="C298">
        <f t="shared" si="4"/>
        <v>0</v>
      </c>
    </row>
    <row r="299" spans="1:3" x14ac:dyDescent="0.35">
      <c r="A299">
        <v>68188</v>
      </c>
      <c r="B299">
        <v>68188</v>
      </c>
      <c r="C299">
        <f t="shared" si="4"/>
        <v>0</v>
      </c>
    </row>
    <row r="300" spans="1:3" x14ac:dyDescent="0.35">
      <c r="A300">
        <v>69395</v>
      </c>
      <c r="B300">
        <v>69395</v>
      </c>
      <c r="C300">
        <f t="shared" si="4"/>
        <v>0</v>
      </c>
    </row>
    <row r="301" spans="1:3" x14ac:dyDescent="0.35">
      <c r="B301">
        <v>71342</v>
      </c>
      <c r="C301">
        <f t="shared" si="4"/>
        <v>-71342</v>
      </c>
    </row>
    <row r="302" spans="1:3" x14ac:dyDescent="0.35">
      <c r="A302">
        <v>71810</v>
      </c>
      <c r="B302">
        <v>71810</v>
      </c>
      <c r="C302">
        <f t="shared" si="4"/>
        <v>0</v>
      </c>
    </row>
    <row r="303" spans="1:3" x14ac:dyDescent="0.35">
      <c r="B303">
        <v>72286</v>
      </c>
      <c r="C303">
        <f t="shared" si="4"/>
        <v>-72286</v>
      </c>
    </row>
    <row r="304" spans="1:3" x14ac:dyDescent="0.35">
      <c r="A304">
        <v>72807</v>
      </c>
      <c r="B304">
        <v>72807</v>
      </c>
      <c r="C304">
        <f t="shared" si="4"/>
        <v>0</v>
      </c>
    </row>
    <row r="305" spans="1:3" x14ac:dyDescent="0.35">
      <c r="A305">
        <v>72808</v>
      </c>
      <c r="B305">
        <v>72808</v>
      </c>
      <c r="C305">
        <f t="shared" si="4"/>
        <v>0</v>
      </c>
    </row>
    <row r="306" spans="1:3" x14ac:dyDescent="0.35">
      <c r="A306">
        <v>73313</v>
      </c>
      <c r="B306">
        <v>73313</v>
      </c>
      <c r="C306">
        <f t="shared" si="4"/>
        <v>0</v>
      </c>
    </row>
    <row r="307" spans="1:3" x14ac:dyDescent="0.35">
      <c r="B307">
        <v>74856</v>
      </c>
      <c r="C307">
        <f t="shared" si="4"/>
        <v>-74856</v>
      </c>
    </row>
    <row r="308" spans="1:3" x14ac:dyDescent="0.35">
      <c r="A308">
        <v>74918</v>
      </c>
      <c r="B308">
        <v>74918</v>
      </c>
      <c r="C308">
        <f t="shared" si="4"/>
        <v>0</v>
      </c>
    </row>
    <row r="309" spans="1:3" x14ac:dyDescent="0.35">
      <c r="A309">
        <v>75596</v>
      </c>
      <c r="B309">
        <v>75596</v>
      </c>
      <c r="C309">
        <f t="shared" si="4"/>
        <v>0</v>
      </c>
    </row>
    <row r="310" spans="1:3" x14ac:dyDescent="0.35">
      <c r="B310">
        <v>75614</v>
      </c>
      <c r="C310">
        <f t="shared" si="4"/>
        <v>-75614</v>
      </c>
    </row>
    <row r="311" spans="1:3" x14ac:dyDescent="0.35">
      <c r="B311">
        <v>75973</v>
      </c>
      <c r="C311">
        <f t="shared" si="4"/>
        <v>-75973</v>
      </c>
    </row>
    <row r="312" spans="1:3" x14ac:dyDescent="0.35">
      <c r="B312">
        <v>348459</v>
      </c>
      <c r="C312">
        <f t="shared" si="4"/>
        <v>-348459</v>
      </c>
    </row>
    <row r="313" spans="1:3" x14ac:dyDescent="0.35">
      <c r="B313">
        <v>387320</v>
      </c>
      <c r="C313">
        <f t="shared" si="4"/>
        <v>-387320</v>
      </c>
    </row>
    <row r="314" spans="1:3" x14ac:dyDescent="0.35">
      <c r="B314">
        <v>387321</v>
      </c>
      <c r="C314">
        <f t="shared" si="4"/>
        <v>-387321</v>
      </c>
    </row>
  </sheetData>
  <sortState ref="D2:D380">
    <sortCondition ref="D2:D38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3"/>
  <sheetViews>
    <sheetView workbookViewId="0">
      <selection activeCell="J247" sqref="J247"/>
    </sheetView>
  </sheetViews>
  <sheetFormatPr defaultRowHeight="14.5" x14ac:dyDescent="0.35"/>
  <cols>
    <col min="1" max="1" width="31.6328125" bestFit="1" customWidth="1"/>
    <col min="2" max="2" width="10.26953125" style="16" customWidth="1"/>
    <col min="3" max="3" width="8.54296875" customWidth="1"/>
    <col min="4" max="4" width="14.26953125" customWidth="1"/>
    <col min="7" max="7" width="9" customWidth="1"/>
    <col min="8" max="8" width="31.6328125" bestFit="1" customWidth="1"/>
    <col min="9" max="9" width="10.26953125" customWidth="1"/>
    <col min="11" max="11" width="11.1796875" customWidth="1"/>
    <col min="12" max="12" width="12.36328125" customWidth="1"/>
    <col min="13" max="13" width="14.7265625" customWidth="1"/>
    <col min="14" max="14" width="11.90625" customWidth="1"/>
    <col min="17" max="17" width="9.26953125" customWidth="1"/>
    <col min="19" max="19" width="15.1796875" customWidth="1"/>
  </cols>
  <sheetData>
    <row r="1" spans="1:19" ht="15" thickBot="1" x14ac:dyDescent="0.4">
      <c r="A1" t="s">
        <v>79</v>
      </c>
      <c r="B1" s="16" t="s">
        <v>423</v>
      </c>
      <c r="C1" t="s">
        <v>2</v>
      </c>
      <c r="D1" t="s">
        <v>424</v>
      </c>
      <c r="E1" t="s">
        <v>432</v>
      </c>
      <c r="G1" s="3" t="s">
        <v>78</v>
      </c>
      <c r="H1" s="4" t="s">
        <v>79</v>
      </c>
      <c r="I1" s="4" t="s">
        <v>80</v>
      </c>
      <c r="J1" s="4" t="s">
        <v>3</v>
      </c>
      <c r="K1" s="4" t="s">
        <v>396</v>
      </c>
      <c r="L1" s="4" t="s">
        <v>397</v>
      </c>
      <c r="M1" s="4" t="s">
        <v>408</v>
      </c>
      <c r="N1" s="4" t="s">
        <v>409</v>
      </c>
      <c r="O1" s="4" t="s">
        <v>1</v>
      </c>
      <c r="P1" s="4" t="s">
        <v>278</v>
      </c>
      <c r="Q1" s="4" t="s">
        <v>344</v>
      </c>
      <c r="R1" s="4" t="s">
        <v>345</v>
      </c>
      <c r="S1" s="10" t="s">
        <v>405</v>
      </c>
    </row>
    <row r="2" spans="1:19" ht="15" thickTop="1" x14ac:dyDescent="0.35">
      <c r="A2" t="s">
        <v>116</v>
      </c>
      <c r="B2" s="1">
        <v>6</v>
      </c>
      <c r="C2" s="1">
        <v>458</v>
      </c>
      <c r="D2" s="1">
        <v>230</v>
      </c>
      <c r="E2">
        <f>Table4[[#This Row],[SpellID]]-Table5[[#This Row],[Spell ID]]</f>
        <v>0</v>
      </c>
      <c r="G2" s="6">
        <v>458</v>
      </c>
      <c r="H2" s="7" t="s">
        <v>116</v>
      </c>
      <c r="I2" s="7" t="s">
        <v>369</v>
      </c>
      <c r="J2" s="7">
        <v>0.6</v>
      </c>
      <c r="K2" s="7">
        <v>0.6</v>
      </c>
      <c r="L2" s="7">
        <v>0</v>
      </c>
      <c r="M2" s="7">
        <v>1</v>
      </c>
      <c r="N2" s="7">
        <v>0</v>
      </c>
      <c r="O2" s="7">
        <v>5656</v>
      </c>
      <c r="P2" s="7" t="s">
        <v>412</v>
      </c>
      <c r="Q2" s="7">
        <v>1</v>
      </c>
      <c r="R2" s="7"/>
      <c r="S2" s="13">
        <v>1</v>
      </c>
    </row>
    <row r="3" spans="1:19" x14ac:dyDescent="0.35">
      <c r="A3" t="s">
        <v>151</v>
      </c>
      <c r="B3" s="1">
        <v>7</v>
      </c>
      <c r="C3" s="1">
        <v>459</v>
      </c>
      <c r="D3" s="1">
        <v>230</v>
      </c>
      <c r="E3">
        <f>Table4[[#This Row],[SpellID]]-Table5[[#This Row],[Spell ID]]</f>
        <v>0</v>
      </c>
      <c r="G3" s="8">
        <v>459</v>
      </c>
      <c r="H3" s="5" t="s">
        <v>151</v>
      </c>
      <c r="I3" s="5" t="s">
        <v>370</v>
      </c>
      <c r="J3" s="5">
        <v>0.6</v>
      </c>
      <c r="K3" s="5">
        <v>0.6</v>
      </c>
      <c r="L3" s="5">
        <v>0</v>
      </c>
      <c r="M3" s="5">
        <v>1</v>
      </c>
      <c r="N3" s="5">
        <v>0</v>
      </c>
      <c r="O3" s="5">
        <v>1134</v>
      </c>
      <c r="P3" s="5" t="s">
        <v>281</v>
      </c>
      <c r="Q3" s="5"/>
      <c r="R3" s="5">
        <v>1</v>
      </c>
      <c r="S3" s="14">
        <v>1</v>
      </c>
    </row>
    <row r="4" spans="1:19" x14ac:dyDescent="0.35">
      <c r="A4" t="s">
        <v>95</v>
      </c>
      <c r="B4" s="1">
        <v>9</v>
      </c>
      <c r="C4" s="1">
        <v>470</v>
      </c>
      <c r="D4" s="1">
        <v>230</v>
      </c>
      <c r="E4">
        <f>Table4[[#This Row],[SpellID]]-Table5[[#This Row],[Spell ID]]</f>
        <v>0</v>
      </c>
      <c r="G4" s="8">
        <v>470</v>
      </c>
      <c r="H4" s="5" t="s">
        <v>95</v>
      </c>
      <c r="I4" s="5" t="s">
        <v>369</v>
      </c>
      <c r="J4" s="5">
        <v>0.6</v>
      </c>
      <c r="K4" s="5">
        <v>0.6</v>
      </c>
      <c r="L4" s="5">
        <v>0</v>
      </c>
      <c r="M4" s="5">
        <v>1</v>
      </c>
      <c r="N4" s="5">
        <v>0</v>
      </c>
      <c r="O4" s="5">
        <v>2411</v>
      </c>
      <c r="P4" s="5" t="s">
        <v>412</v>
      </c>
      <c r="Q4" s="5">
        <v>1</v>
      </c>
      <c r="R4" s="5"/>
      <c r="S4" s="14">
        <v>1</v>
      </c>
    </row>
    <row r="5" spans="1:19" x14ac:dyDescent="0.35">
      <c r="A5" t="s">
        <v>180</v>
      </c>
      <c r="B5" s="1">
        <v>11</v>
      </c>
      <c r="C5" s="1">
        <v>472</v>
      </c>
      <c r="D5" s="1">
        <v>230</v>
      </c>
      <c r="E5">
        <f>Table4[[#This Row],[SpellID]]-Table5[[#This Row],[Spell ID]]</f>
        <v>0</v>
      </c>
      <c r="G5" s="8">
        <v>472</v>
      </c>
      <c r="H5" s="5" t="s">
        <v>180</v>
      </c>
      <c r="I5" s="5" t="s">
        <v>369</v>
      </c>
      <c r="J5" s="5">
        <v>0.6</v>
      </c>
      <c r="K5" s="5">
        <v>0.6</v>
      </c>
      <c r="L5" s="5">
        <v>0</v>
      </c>
      <c r="M5" s="5">
        <v>1</v>
      </c>
      <c r="N5" s="5">
        <v>0</v>
      </c>
      <c r="O5" s="5">
        <v>2414</v>
      </c>
      <c r="P5" s="5" t="s">
        <v>412</v>
      </c>
      <c r="Q5" s="5">
        <v>1</v>
      </c>
      <c r="R5" s="5"/>
      <c r="S5" s="14">
        <v>1</v>
      </c>
    </row>
    <row r="6" spans="1:19" x14ac:dyDescent="0.35">
      <c r="A6" t="s">
        <v>255</v>
      </c>
      <c r="B6" s="1">
        <v>14</v>
      </c>
      <c r="C6" s="1">
        <v>580</v>
      </c>
      <c r="D6" s="1">
        <v>230</v>
      </c>
      <c r="E6">
        <f>Table4[[#This Row],[SpellID]]-Table5[[#This Row],[Spell ID]]</f>
        <v>0</v>
      </c>
      <c r="G6" s="6">
        <v>580</v>
      </c>
      <c r="H6" s="7" t="s">
        <v>255</v>
      </c>
      <c r="I6" s="7" t="s">
        <v>370</v>
      </c>
      <c r="J6" s="7">
        <v>0.6</v>
      </c>
      <c r="K6" s="7">
        <v>0.6</v>
      </c>
      <c r="L6" s="7">
        <v>0</v>
      </c>
      <c r="M6" s="7">
        <v>1</v>
      </c>
      <c r="N6" s="7">
        <v>0</v>
      </c>
      <c r="O6" s="7">
        <v>1132</v>
      </c>
      <c r="P6" s="7" t="s">
        <v>285</v>
      </c>
      <c r="Q6" s="7"/>
      <c r="R6" s="7">
        <v>1</v>
      </c>
      <c r="S6" s="13">
        <v>1</v>
      </c>
    </row>
    <row r="7" spans="1:19" x14ac:dyDescent="0.35">
      <c r="A7" t="s">
        <v>137</v>
      </c>
      <c r="B7" s="1">
        <v>17</v>
      </c>
      <c r="C7" s="1">
        <v>5784</v>
      </c>
      <c r="D7" s="1">
        <v>230</v>
      </c>
      <c r="E7">
        <f>Table4[[#This Row],[SpellID]]-Table5[[#This Row],[Spell ID]]</f>
        <v>0</v>
      </c>
      <c r="G7" s="8">
        <v>5784</v>
      </c>
      <c r="H7" s="5" t="s">
        <v>137</v>
      </c>
      <c r="I7" s="5" t="s">
        <v>311</v>
      </c>
      <c r="J7" s="5">
        <v>0.6</v>
      </c>
      <c r="K7" s="5">
        <v>0.6</v>
      </c>
      <c r="L7" s="5">
        <v>0</v>
      </c>
      <c r="M7" s="5">
        <v>1</v>
      </c>
      <c r="N7" s="5">
        <v>0</v>
      </c>
      <c r="O7" s="5">
        <v>0</v>
      </c>
      <c r="P7" s="5" t="s">
        <v>311</v>
      </c>
      <c r="Q7" s="5">
        <v>1</v>
      </c>
      <c r="R7" s="5">
        <v>1</v>
      </c>
      <c r="S7" s="14">
        <v>1</v>
      </c>
    </row>
    <row r="8" spans="1:19" x14ac:dyDescent="0.35">
      <c r="A8" t="s">
        <v>123</v>
      </c>
      <c r="B8" s="1">
        <v>18</v>
      </c>
      <c r="C8" s="1">
        <v>6648</v>
      </c>
      <c r="D8" s="1">
        <v>230</v>
      </c>
      <c r="E8">
        <f>Table4[[#This Row],[SpellID]]-Table5[[#This Row],[Spell ID]]</f>
        <v>0</v>
      </c>
      <c r="G8" s="6">
        <v>6648</v>
      </c>
      <c r="H8" s="7" t="s">
        <v>123</v>
      </c>
      <c r="I8" s="7" t="s">
        <v>369</v>
      </c>
      <c r="J8" s="7">
        <v>0.6</v>
      </c>
      <c r="K8" s="7">
        <v>0.6</v>
      </c>
      <c r="L8" s="7">
        <v>0</v>
      </c>
      <c r="M8" s="7">
        <v>1</v>
      </c>
      <c r="N8" s="7">
        <v>0</v>
      </c>
      <c r="O8" s="7">
        <v>5655</v>
      </c>
      <c r="P8" s="7" t="s">
        <v>412</v>
      </c>
      <c r="Q8" s="7">
        <v>1</v>
      </c>
      <c r="R8" s="7"/>
      <c r="S8" s="13">
        <v>1</v>
      </c>
    </row>
    <row r="9" spans="1:19" x14ac:dyDescent="0.35">
      <c r="A9" t="s">
        <v>133</v>
      </c>
      <c r="B9" s="1">
        <v>19</v>
      </c>
      <c r="C9" s="1">
        <v>6653</v>
      </c>
      <c r="D9" s="1">
        <v>230</v>
      </c>
      <c r="E9">
        <f>Table4[[#This Row],[SpellID]]-Table5[[#This Row],[Spell ID]]</f>
        <v>0</v>
      </c>
      <c r="G9" s="8">
        <v>6653</v>
      </c>
      <c r="H9" s="5" t="s">
        <v>133</v>
      </c>
      <c r="I9" s="5" t="s">
        <v>370</v>
      </c>
      <c r="J9" s="5">
        <v>0.6</v>
      </c>
      <c r="K9" s="5">
        <v>0.6</v>
      </c>
      <c r="L9" s="5">
        <v>0</v>
      </c>
      <c r="M9" s="5">
        <v>1</v>
      </c>
      <c r="N9" s="5">
        <v>0</v>
      </c>
      <c r="O9" s="5">
        <v>5665</v>
      </c>
      <c r="P9" s="5" t="s">
        <v>285</v>
      </c>
      <c r="Q9" s="5"/>
      <c r="R9" s="5">
        <v>1</v>
      </c>
      <c r="S9" s="14">
        <v>1</v>
      </c>
    </row>
    <row r="10" spans="1:19" x14ac:dyDescent="0.35">
      <c r="A10" t="s">
        <v>121</v>
      </c>
      <c r="B10" s="1">
        <v>20</v>
      </c>
      <c r="C10" s="1">
        <v>6654</v>
      </c>
      <c r="D10" s="1">
        <v>230</v>
      </c>
      <c r="E10">
        <f>Table4[[#This Row],[SpellID]]-Table5[[#This Row],[Spell ID]]</f>
        <v>0</v>
      </c>
      <c r="G10" s="6">
        <v>6654</v>
      </c>
      <c r="H10" s="7" t="s">
        <v>121</v>
      </c>
      <c r="I10" s="7" t="s">
        <v>370</v>
      </c>
      <c r="J10" s="7">
        <v>0.6</v>
      </c>
      <c r="K10" s="7">
        <v>0.6</v>
      </c>
      <c r="L10" s="7">
        <v>0</v>
      </c>
      <c r="M10" s="7">
        <v>1</v>
      </c>
      <c r="N10" s="7">
        <v>0</v>
      </c>
      <c r="O10" s="7">
        <v>5668</v>
      </c>
      <c r="P10" s="7" t="s">
        <v>285</v>
      </c>
      <c r="Q10" s="7"/>
      <c r="R10" s="7">
        <v>1</v>
      </c>
      <c r="S10" s="13">
        <v>1</v>
      </c>
    </row>
    <row r="11" spans="1:19" x14ac:dyDescent="0.35">
      <c r="A11" t="s">
        <v>150</v>
      </c>
      <c r="B11" s="1">
        <v>21</v>
      </c>
      <c r="C11" s="1">
        <v>6777</v>
      </c>
      <c r="D11" s="1">
        <v>230</v>
      </c>
      <c r="E11">
        <f>Table4[[#This Row],[SpellID]]-Table5[[#This Row],[Spell ID]]</f>
        <v>0</v>
      </c>
      <c r="G11" s="8">
        <v>6777</v>
      </c>
      <c r="H11" s="5" t="s">
        <v>150</v>
      </c>
      <c r="I11" s="5" t="s">
        <v>371</v>
      </c>
      <c r="J11" s="5">
        <v>0.6</v>
      </c>
      <c r="K11" s="5">
        <v>0.6</v>
      </c>
      <c r="L11" s="5">
        <v>0</v>
      </c>
      <c r="M11" s="5">
        <v>1</v>
      </c>
      <c r="N11" s="5">
        <v>0</v>
      </c>
      <c r="O11" s="5">
        <v>5864</v>
      </c>
      <c r="P11" s="5" t="s">
        <v>413</v>
      </c>
      <c r="Q11" s="5">
        <v>1</v>
      </c>
      <c r="R11" s="5"/>
      <c r="S11" s="14">
        <v>1</v>
      </c>
    </row>
    <row r="12" spans="1:19" x14ac:dyDescent="0.35">
      <c r="A12" t="s">
        <v>266</v>
      </c>
      <c r="B12" s="1">
        <v>24</v>
      </c>
      <c r="C12" s="1">
        <v>6898</v>
      </c>
      <c r="D12" s="1">
        <v>230</v>
      </c>
      <c r="E12">
        <f>Table4[[#This Row],[SpellID]]-Table5[[#This Row],[Spell ID]]</f>
        <v>0</v>
      </c>
      <c r="G12" s="6">
        <v>6898</v>
      </c>
      <c r="H12" s="7" t="s">
        <v>266</v>
      </c>
      <c r="I12" s="7" t="s">
        <v>371</v>
      </c>
      <c r="J12" s="7">
        <v>0.6</v>
      </c>
      <c r="K12" s="7">
        <v>0.6</v>
      </c>
      <c r="L12" s="7">
        <v>0</v>
      </c>
      <c r="M12" s="7">
        <v>1</v>
      </c>
      <c r="N12" s="7">
        <v>0</v>
      </c>
      <c r="O12" s="7">
        <v>5873</v>
      </c>
      <c r="P12" s="7" t="s">
        <v>413</v>
      </c>
      <c r="Q12" s="7">
        <v>1</v>
      </c>
      <c r="R12" s="7"/>
      <c r="S12" s="13">
        <v>1</v>
      </c>
    </row>
    <row r="13" spans="1:19" x14ac:dyDescent="0.35">
      <c r="A13" t="s">
        <v>119</v>
      </c>
      <c r="B13" s="1">
        <v>25</v>
      </c>
      <c r="C13" s="1">
        <v>6899</v>
      </c>
      <c r="D13" s="1">
        <v>230</v>
      </c>
      <c r="E13">
        <f>Table4[[#This Row],[SpellID]]-Table5[[#This Row],[Spell ID]]</f>
        <v>0</v>
      </c>
      <c r="G13" s="8">
        <v>6899</v>
      </c>
      <c r="H13" s="5" t="s">
        <v>119</v>
      </c>
      <c r="I13" s="5" t="s">
        <v>371</v>
      </c>
      <c r="J13" s="5">
        <v>0.6</v>
      </c>
      <c r="K13" s="5">
        <v>0.6</v>
      </c>
      <c r="L13" s="5">
        <v>0</v>
      </c>
      <c r="M13" s="5">
        <v>1</v>
      </c>
      <c r="N13" s="5">
        <v>0</v>
      </c>
      <c r="O13" s="5">
        <v>5872</v>
      </c>
      <c r="P13" s="5" t="s">
        <v>413</v>
      </c>
      <c r="Q13" s="5">
        <v>1</v>
      </c>
      <c r="R13" s="5"/>
      <c r="S13" s="14">
        <v>1</v>
      </c>
    </row>
    <row r="14" spans="1:19" x14ac:dyDescent="0.35">
      <c r="A14" t="s">
        <v>207</v>
      </c>
      <c r="B14" s="1">
        <v>26</v>
      </c>
      <c r="C14" s="1">
        <v>8394</v>
      </c>
      <c r="D14" s="1">
        <v>230</v>
      </c>
      <c r="E14">
        <f>Table4[[#This Row],[SpellID]]-Table5[[#This Row],[Spell ID]]</f>
        <v>0</v>
      </c>
      <c r="G14" s="6">
        <v>8394</v>
      </c>
      <c r="H14" s="7" t="s">
        <v>207</v>
      </c>
      <c r="I14" s="7" t="s">
        <v>373</v>
      </c>
      <c r="J14" s="7">
        <v>0.6</v>
      </c>
      <c r="K14" s="7">
        <v>0.6</v>
      </c>
      <c r="L14" s="7">
        <v>0</v>
      </c>
      <c r="M14" s="7">
        <v>1</v>
      </c>
      <c r="N14" s="7">
        <v>0</v>
      </c>
      <c r="O14" s="7">
        <v>8631</v>
      </c>
      <c r="P14" s="7" t="s">
        <v>410</v>
      </c>
      <c r="Q14" s="7">
        <v>1</v>
      </c>
      <c r="R14" s="7"/>
      <c r="S14" s="13">
        <v>1</v>
      </c>
    </row>
    <row r="15" spans="1:19" x14ac:dyDescent="0.35">
      <c r="A15" t="s">
        <v>135</v>
      </c>
      <c r="B15" s="1">
        <v>27</v>
      </c>
      <c r="C15" s="1">
        <v>8395</v>
      </c>
      <c r="D15" s="1">
        <v>230</v>
      </c>
      <c r="E15">
        <f>Table4[[#This Row],[SpellID]]-Table5[[#This Row],[Spell ID]]</f>
        <v>0</v>
      </c>
      <c r="G15" s="8">
        <v>8395</v>
      </c>
      <c r="H15" s="5" t="s">
        <v>135</v>
      </c>
      <c r="I15" s="5" t="s">
        <v>372</v>
      </c>
      <c r="J15" s="5">
        <v>0.6</v>
      </c>
      <c r="K15" s="5">
        <v>0.6</v>
      </c>
      <c r="L15" s="5">
        <v>0</v>
      </c>
      <c r="M15" s="5">
        <v>1</v>
      </c>
      <c r="N15" s="5">
        <v>0</v>
      </c>
      <c r="O15" s="5">
        <v>8588</v>
      </c>
      <c r="P15" s="5" t="s">
        <v>285</v>
      </c>
      <c r="Q15" s="5"/>
      <c r="R15" s="5">
        <v>1</v>
      </c>
      <c r="S15" s="14">
        <v>1</v>
      </c>
    </row>
    <row r="16" spans="1:19" x14ac:dyDescent="0.35">
      <c r="A16" t="s">
        <v>200</v>
      </c>
      <c r="B16" s="1">
        <v>28</v>
      </c>
      <c r="C16" s="1">
        <v>8980</v>
      </c>
      <c r="D16" s="1">
        <v>230</v>
      </c>
      <c r="E16">
        <f>Table4[[#This Row],[SpellID]]-Table5[[#This Row],[Spell ID]]</f>
        <v>0</v>
      </c>
      <c r="G16" s="8">
        <v>8980</v>
      </c>
      <c r="H16" s="5" t="s">
        <v>200</v>
      </c>
      <c r="I16" s="5" t="s">
        <v>369</v>
      </c>
      <c r="J16" s="5">
        <v>0.6</v>
      </c>
      <c r="K16" s="5">
        <v>0.6</v>
      </c>
      <c r="L16" s="5">
        <v>0</v>
      </c>
      <c r="M16" s="5">
        <v>1</v>
      </c>
      <c r="N16" s="5">
        <v>0</v>
      </c>
      <c r="O16" s="5">
        <v>8583</v>
      </c>
      <c r="P16" s="5" t="s">
        <v>318</v>
      </c>
      <c r="Q16" s="5"/>
      <c r="R16" s="5">
        <v>1</v>
      </c>
      <c r="S16" s="14">
        <v>1</v>
      </c>
    </row>
    <row r="17" spans="1:19" x14ac:dyDescent="0.35">
      <c r="A17" t="s">
        <v>202</v>
      </c>
      <c r="B17" s="1">
        <v>31</v>
      </c>
      <c r="C17" s="1">
        <v>10789</v>
      </c>
      <c r="D17" s="1">
        <v>230</v>
      </c>
      <c r="E17">
        <f>Table4[[#This Row],[SpellID]]-Table5[[#This Row],[Spell ID]]</f>
        <v>0</v>
      </c>
      <c r="G17" s="6">
        <v>10789</v>
      </c>
      <c r="H17" s="7" t="s">
        <v>202</v>
      </c>
      <c r="I17" s="7" t="s">
        <v>373</v>
      </c>
      <c r="J17" s="7">
        <v>0.6</v>
      </c>
      <c r="K17" s="7">
        <v>0.6</v>
      </c>
      <c r="L17" s="7">
        <v>0</v>
      </c>
      <c r="M17" s="7">
        <v>1</v>
      </c>
      <c r="N17" s="7">
        <v>0</v>
      </c>
      <c r="O17" s="7">
        <v>8632</v>
      </c>
      <c r="P17" s="7" t="s">
        <v>410</v>
      </c>
      <c r="Q17" s="7">
        <v>1</v>
      </c>
      <c r="R17" s="7"/>
      <c r="S17" s="13">
        <v>1</v>
      </c>
    </row>
    <row r="18" spans="1:19" x14ac:dyDescent="0.35">
      <c r="A18" t="s">
        <v>208</v>
      </c>
      <c r="B18" s="1">
        <v>34</v>
      </c>
      <c r="C18" s="1">
        <v>10793</v>
      </c>
      <c r="D18" s="1">
        <v>230</v>
      </c>
      <c r="E18">
        <f>Table4[[#This Row],[SpellID]]-Table5[[#This Row],[Spell ID]]</f>
        <v>0</v>
      </c>
      <c r="G18" s="8">
        <v>10793</v>
      </c>
      <c r="H18" s="5" t="s">
        <v>208</v>
      </c>
      <c r="I18" s="5" t="s">
        <v>373</v>
      </c>
      <c r="J18" s="5">
        <v>0.6</v>
      </c>
      <c r="K18" s="5">
        <v>0.6</v>
      </c>
      <c r="L18" s="5">
        <v>0</v>
      </c>
      <c r="M18" s="5">
        <v>1</v>
      </c>
      <c r="N18" s="5">
        <v>0</v>
      </c>
      <c r="O18" s="5">
        <v>8629</v>
      </c>
      <c r="P18" s="5" t="s">
        <v>410</v>
      </c>
      <c r="Q18" s="5">
        <v>1</v>
      </c>
      <c r="R18" s="5"/>
      <c r="S18" s="14">
        <v>1</v>
      </c>
    </row>
    <row r="19" spans="1:19" x14ac:dyDescent="0.35">
      <c r="A19" t="s">
        <v>258</v>
      </c>
      <c r="B19" s="1">
        <v>36</v>
      </c>
      <c r="C19" s="1">
        <v>10796</v>
      </c>
      <c r="D19" s="1">
        <v>230</v>
      </c>
      <c r="E19">
        <f>Table4[[#This Row],[SpellID]]-Table5[[#This Row],[Spell ID]]</f>
        <v>0</v>
      </c>
      <c r="G19" s="8">
        <v>10796</v>
      </c>
      <c r="H19" s="5" t="s">
        <v>258</v>
      </c>
      <c r="I19" s="5" t="s">
        <v>372</v>
      </c>
      <c r="J19" s="5">
        <v>0.6</v>
      </c>
      <c r="K19" s="5">
        <v>0.6</v>
      </c>
      <c r="L19" s="5">
        <v>0</v>
      </c>
      <c r="M19" s="5">
        <v>1</v>
      </c>
      <c r="N19" s="5">
        <v>0</v>
      </c>
      <c r="O19" s="5">
        <v>8591</v>
      </c>
      <c r="P19" s="5" t="s">
        <v>285</v>
      </c>
      <c r="Q19" s="5"/>
      <c r="R19" s="5">
        <v>1</v>
      </c>
      <c r="S19" s="14">
        <v>1</v>
      </c>
    </row>
    <row r="20" spans="1:19" x14ac:dyDescent="0.35">
      <c r="A20" t="s">
        <v>261</v>
      </c>
      <c r="B20" s="1">
        <v>38</v>
      </c>
      <c r="C20" s="1">
        <v>10799</v>
      </c>
      <c r="D20" s="1">
        <v>230</v>
      </c>
      <c r="E20">
        <f>Table4[[#This Row],[SpellID]]-Table5[[#This Row],[Spell ID]]</f>
        <v>0</v>
      </c>
      <c r="G20" s="8">
        <v>10799</v>
      </c>
      <c r="H20" s="5" t="s">
        <v>261</v>
      </c>
      <c r="I20" s="5" t="s">
        <v>372</v>
      </c>
      <c r="J20" s="5">
        <v>0.6</v>
      </c>
      <c r="K20" s="5">
        <v>0.6</v>
      </c>
      <c r="L20" s="5">
        <v>0</v>
      </c>
      <c r="M20" s="5">
        <v>1</v>
      </c>
      <c r="N20" s="5">
        <v>0</v>
      </c>
      <c r="O20" s="5">
        <v>8592</v>
      </c>
      <c r="P20" s="5" t="s">
        <v>285</v>
      </c>
      <c r="Q20" s="5"/>
      <c r="R20" s="5">
        <v>1</v>
      </c>
      <c r="S20" s="14">
        <v>1</v>
      </c>
    </row>
    <row r="21" spans="1:19" x14ac:dyDescent="0.35">
      <c r="A21" t="s">
        <v>190</v>
      </c>
      <c r="B21" s="1">
        <v>39</v>
      </c>
      <c r="C21" s="1">
        <v>10873</v>
      </c>
      <c r="D21" s="1">
        <v>230</v>
      </c>
      <c r="E21">
        <f>Table4[[#This Row],[SpellID]]-Table5[[#This Row],[Spell ID]]</f>
        <v>0</v>
      </c>
      <c r="G21" s="6">
        <v>10873</v>
      </c>
      <c r="H21" s="7" t="s">
        <v>190</v>
      </c>
      <c r="I21" s="7" t="s">
        <v>365</v>
      </c>
      <c r="J21" s="7">
        <v>0.6</v>
      </c>
      <c r="K21" s="7">
        <v>0.6</v>
      </c>
      <c r="L21" s="7">
        <v>0</v>
      </c>
      <c r="M21" s="7">
        <v>1</v>
      </c>
      <c r="N21" s="7">
        <v>0</v>
      </c>
      <c r="O21" s="7">
        <v>8563</v>
      </c>
      <c r="P21" s="7" t="s">
        <v>414</v>
      </c>
      <c r="Q21" s="7">
        <v>1</v>
      </c>
      <c r="R21" s="7"/>
      <c r="S21" s="13">
        <v>1</v>
      </c>
    </row>
    <row r="22" spans="1:19" x14ac:dyDescent="0.35">
      <c r="A22" t="s">
        <v>262</v>
      </c>
      <c r="B22" s="1">
        <v>41</v>
      </c>
      <c r="C22" s="1">
        <v>13819</v>
      </c>
      <c r="D22" s="1">
        <v>230</v>
      </c>
      <c r="E22">
        <f>Table4[[#This Row],[SpellID]]-Table5[[#This Row],[Spell ID]]</f>
        <v>0</v>
      </c>
      <c r="G22" s="6">
        <v>13819</v>
      </c>
      <c r="H22" s="7" t="s">
        <v>262</v>
      </c>
      <c r="I22" s="7" t="s">
        <v>307</v>
      </c>
      <c r="J22" s="7">
        <v>0.6</v>
      </c>
      <c r="K22" s="7">
        <v>0.6</v>
      </c>
      <c r="L22" s="7">
        <v>0</v>
      </c>
      <c r="M22" s="7">
        <v>1</v>
      </c>
      <c r="N22" s="7">
        <v>0</v>
      </c>
      <c r="O22" s="7">
        <v>0</v>
      </c>
      <c r="P22" s="7" t="s">
        <v>307</v>
      </c>
      <c r="Q22" s="7">
        <v>1</v>
      </c>
      <c r="R22" s="7">
        <v>1</v>
      </c>
      <c r="S22" s="13">
        <v>1</v>
      </c>
    </row>
    <row r="23" spans="1:19" x14ac:dyDescent="0.35">
      <c r="A23" t="s">
        <v>264</v>
      </c>
      <c r="B23" s="1">
        <v>42</v>
      </c>
      <c r="C23" s="1">
        <v>15779</v>
      </c>
      <c r="D23" s="1">
        <v>230</v>
      </c>
      <c r="E23">
        <f>Table4[[#This Row],[SpellID]]-Table5[[#This Row],[Spell ID]]</f>
        <v>0</v>
      </c>
      <c r="G23" s="8">
        <v>15779</v>
      </c>
      <c r="H23" s="5" t="s">
        <v>264</v>
      </c>
      <c r="I23" s="5" t="s">
        <v>365</v>
      </c>
      <c r="J23" s="5">
        <v>1</v>
      </c>
      <c r="K23" s="5">
        <v>1</v>
      </c>
      <c r="L23" s="5">
        <v>0</v>
      </c>
      <c r="M23" s="5">
        <v>1</v>
      </c>
      <c r="N23" s="5">
        <v>0</v>
      </c>
      <c r="O23" s="5">
        <v>13326</v>
      </c>
      <c r="P23" s="5" t="s">
        <v>318</v>
      </c>
      <c r="Q23" s="5">
        <v>1</v>
      </c>
      <c r="R23" s="5"/>
      <c r="S23" s="14">
        <v>1</v>
      </c>
    </row>
    <row r="24" spans="1:19" x14ac:dyDescent="0.35">
      <c r="A24" t="s">
        <v>90</v>
      </c>
      <c r="B24" s="1">
        <v>45</v>
      </c>
      <c r="C24" s="1">
        <v>16055</v>
      </c>
      <c r="D24" s="1">
        <v>230</v>
      </c>
      <c r="E24">
        <f>Table4[[#This Row],[SpellID]]-Table5[[#This Row],[Spell ID]]</f>
        <v>0</v>
      </c>
      <c r="G24" s="6">
        <v>16055</v>
      </c>
      <c r="H24" s="7" t="s">
        <v>90</v>
      </c>
      <c r="I24" s="7" t="s">
        <v>373</v>
      </c>
      <c r="J24" s="7">
        <v>1</v>
      </c>
      <c r="K24" s="7">
        <v>1</v>
      </c>
      <c r="L24" s="7">
        <v>0</v>
      </c>
      <c r="M24" s="7">
        <v>1</v>
      </c>
      <c r="N24" s="7">
        <v>0</v>
      </c>
      <c r="O24" s="7">
        <v>12303</v>
      </c>
      <c r="P24" s="7" t="s">
        <v>281</v>
      </c>
      <c r="Q24" s="7">
        <v>1</v>
      </c>
      <c r="R24" s="7"/>
      <c r="S24" s="13">
        <v>1</v>
      </c>
    </row>
    <row r="25" spans="1:19" x14ac:dyDescent="0.35">
      <c r="A25" t="s">
        <v>83</v>
      </c>
      <c r="B25" s="1">
        <v>46</v>
      </c>
      <c r="C25" s="1">
        <v>16056</v>
      </c>
      <c r="D25" s="1">
        <v>230</v>
      </c>
      <c r="E25">
        <f>Table4[[#This Row],[SpellID]]-Table5[[#This Row],[Spell ID]]</f>
        <v>0</v>
      </c>
      <c r="G25" s="8">
        <v>16056</v>
      </c>
      <c r="H25" s="5" t="s">
        <v>83</v>
      </c>
      <c r="I25" s="5" t="s">
        <v>373</v>
      </c>
      <c r="J25" s="5">
        <v>1</v>
      </c>
      <c r="K25" s="5">
        <v>1</v>
      </c>
      <c r="L25" s="5">
        <v>0</v>
      </c>
      <c r="M25" s="5">
        <v>1</v>
      </c>
      <c r="N25" s="5">
        <v>0</v>
      </c>
      <c r="O25" s="5">
        <v>12302</v>
      </c>
      <c r="P25" s="5" t="s">
        <v>281</v>
      </c>
      <c r="Q25" s="5">
        <v>1</v>
      </c>
      <c r="R25" s="5"/>
      <c r="S25" s="14">
        <v>1</v>
      </c>
    </row>
    <row r="26" spans="1:19" x14ac:dyDescent="0.35">
      <c r="A26" t="s">
        <v>194</v>
      </c>
      <c r="B26" s="1">
        <v>50</v>
      </c>
      <c r="C26" s="1">
        <v>16080</v>
      </c>
      <c r="D26" s="1">
        <v>230</v>
      </c>
      <c r="E26">
        <f>Table4[[#This Row],[SpellID]]-Table5[[#This Row],[Spell ID]]</f>
        <v>0</v>
      </c>
      <c r="G26" s="8">
        <v>16080</v>
      </c>
      <c r="H26" s="5" t="s">
        <v>194</v>
      </c>
      <c r="I26" s="5" t="s">
        <v>370</v>
      </c>
      <c r="J26" s="5">
        <v>1</v>
      </c>
      <c r="K26" s="5">
        <v>1</v>
      </c>
      <c r="L26" s="5">
        <v>0</v>
      </c>
      <c r="M26" s="5">
        <v>1</v>
      </c>
      <c r="N26" s="5">
        <v>0</v>
      </c>
      <c r="O26" s="5">
        <v>12330</v>
      </c>
      <c r="P26" s="5" t="s">
        <v>318</v>
      </c>
      <c r="Q26" s="5"/>
      <c r="R26" s="5">
        <v>1</v>
      </c>
      <c r="S26" s="14">
        <v>1</v>
      </c>
    </row>
    <row r="27" spans="1:19" x14ac:dyDescent="0.35">
      <c r="A27" t="s">
        <v>271</v>
      </c>
      <c r="B27" s="1">
        <v>51</v>
      </c>
      <c r="C27" s="1">
        <v>16081</v>
      </c>
      <c r="D27" s="1">
        <v>230</v>
      </c>
      <c r="E27">
        <f>Table4[[#This Row],[SpellID]]-Table5[[#This Row],[Spell ID]]</f>
        <v>0</v>
      </c>
      <c r="G27" s="6">
        <v>16081</v>
      </c>
      <c r="H27" s="7" t="s">
        <v>271</v>
      </c>
      <c r="I27" s="7" t="s">
        <v>370</v>
      </c>
      <c r="J27" s="7">
        <v>1</v>
      </c>
      <c r="K27" s="7">
        <v>1</v>
      </c>
      <c r="L27" s="7">
        <v>0</v>
      </c>
      <c r="M27" s="7">
        <v>1</v>
      </c>
      <c r="N27" s="7">
        <v>0</v>
      </c>
      <c r="O27" s="7">
        <v>1133</v>
      </c>
      <c r="P27" s="7" t="s">
        <v>318</v>
      </c>
      <c r="Q27" s="7"/>
      <c r="R27" s="7">
        <v>1</v>
      </c>
      <c r="S27" s="13">
        <v>1</v>
      </c>
    </row>
    <row r="28" spans="1:19" x14ac:dyDescent="0.35">
      <c r="A28" t="s">
        <v>179</v>
      </c>
      <c r="B28" s="1">
        <v>52</v>
      </c>
      <c r="C28" s="1">
        <v>16082</v>
      </c>
      <c r="D28" s="1">
        <v>230</v>
      </c>
      <c r="E28">
        <f>Table4[[#This Row],[SpellID]]-Table5[[#This Row],[Spell ID]]</f>
        <v>0</v>
      </c>
      <c r="G28" s="8">
        <v>16082</v>
      </c>
      <c r="H28" s="5" t="s">
        <v>179</v>
      </c>
      <c r="I28" s="5" t="s">
        <v>369</v>
      </c>
      <c r="J28" s="5">
        <v>1</v>
      </c>
      <c r="K28" s="5">
        <v>1</v>
      </c>
      <c r="L28" s="5">
        <v>0</v>
      </c>
      <c r="M28" s="5">
        <v>1</v>
      </c>
      <c r="N28" s="5">
        <v>0</v>
      </c>
      <c r="O28" s="5">
        <v>12354</v>
      </c>
      <c r="P28" s="5" t="s">
        <v>318</v>
      </c>
      <c r="Q28" s="5">
        <v>1</v>
      </c>
      <c r="R28" s="5"/>
      <c r="S28" s="14">
        <v>1</v>
      </c>
    </row>
    <row r="29" spans="1:19" x14ac:dyDescent="0.35">
      <c r="A29" t="s">
        <v>269</v>
      </c>
      <c r="B29" s="1">
        <v>53</v>
      </c>
      <c r="C29" s="1">
        <v>16083</v>
      </c>
      <c r="D29" s="1">
        <v>230</v>
      </c>
      <c r="E29">
        <f>Table4[[#This Row],[SpellID]]-Table5[[#This Row],[Spell ID]]</f>
        <v>0</v>
      </c>
      <c r="G29" s="6">
        <v>16083</v>
      </c>
      <c r="H29" s="7" t="s">
        <v>269</v>
      </c>
      <c r="I29" s="7" t="s">
        <v>369</v>
      </c>
      <c r="J29" s="7">
        <v>1</v>
      </c>
      <c r="K29" s="7">
        <v>1</v>
      </c>
      <c r="L29" s="7">
        <v>0</v>
      </c>
      <c r="M29" s="7">
        <v>1</v>
      </c>
      <c r="N29" s="7">
        <v>0</v>
      </c>
      <c r="O29" s="7">
        <v>12353</v>
      </c>
      <c r="P29" s="7" t="s">
        <v>412</v>
      </c>
      <c r="Q29" s="7">
        <v>1</v>
      </c>
      <c r="R29" s="7"/>
      <c r="S29" s="13">
        <v>1</v>
      </c>
    </row>
    <row r="30" spans="1:19" x14ac:dyDescent="0.35">
      <c r="A30" t="s">
        <v>173</v>
      </c>
      <c r="B30" s="1">
        <v>54</v>
      </c>
      <c r="C30" s="1">
        <v>16084</v>
      </c>
      <c r="D30" s="1">
        <v>230</v>
      </c>
      <c r="E30">
        <f>Table4[[#This Row],[SpellID]]-Table5[[#This Row],[Spell ID]]</f>
        <v>0</v>
      </c>
      <c r="G30" s="8">
        <v>16084</v>
      </c>
      <c r="H30" s="5" t="s">
        <v>173</v>
      </c>
      <c r="I30" s="5" t="s">
        <v>372</v>
      </c>
      <c r="J30" s="5">
        <v>1</v>
      </c>
      <c r="K30" s="5">
        <v>1</v>
      </c>
      <c r="L30" s="5">
        <v>0</v>
      </c>
      <c r="M30" s="5">
        <v>1</v>
      </c>
      <c r="N30" s="5">
        <v>0</v>
      </c>
      <c r="O30" s="5">
        <v>8586</v>
      </c>
      <c r="P30" s="5" t="s">
        <v>318</v>
      </c>
      <c r="Q30" s="5"/>
      <c r="R30" s="5">
        <v>1</v>
      </c>
      <c r="S30" s="14">
        <v>1</v>
      </c>
    </row>
    <row r="31" spans="1:19" x14ac:dyDescent="0.35">
      <c r="A31" t="s">
        <v>272</v>
      </c>
      <c r="B31" s="1">
        <v>55</v>
      </c>
      <c r="C31" s="1">
        <v>17229</v>
      </c>
      <c r="D31" s="1">
        <v>230</v>
      </c>
      <c r="E31">
        <f>Table4[[#This Row],[SpellID]]-Table5[[#This Row],[Spell ID]]</f>
        <v>0</v>
      </c>
      <c r="G31" s="6">
        <v>17229</v>
      </c>
      <c r="H31" s="7" t="s">
        <v>272</v>
      </c>
      <c r="I31" s="7" t="s">
        <v>373</v>
      </c>
      <c r="J31" s="7">
        <v>1</v>
      </c>
      <c r="K31" s="7">
        <v>1</v>
      </c>
      <c r="L31" s="7">
        <v>0</v>
      </c>
      <c r="M31" s="7">
        <v>1</v>
      </c>
      <c r="N31" s="7">
        <v>0</v>
      </c>
      <c r="O31" s="7">
        <v>13086</v>
      </c>
      <c r="P31" s="7" t="s">
        <v>415</v>
      </c>
      <c r="Q31" s="7">
        <v>1</v>
      </c>
      <c r="R31" s="7"/>
      <c r="S31" s="13">
        <v>1</v>
      </c>
    </row>
    <row r="32" spans="1:19" x14ac:dyDescent="0.35">
      <c r="A32" t="s">
        <v>169</v>
      </c>
      <c r="B32" s="1">
        <v>56</v>
      </c>
      <c r="C32" s="1">
        <v>17450</v>
      </c>
      <c r="D32" s="1">
        <v>230</v>
      </c>
      <c r="E32">
        <f>Table4[[#This Row],[SpellID]]-Table5[[#This Row],[Spell ID]]</f>
        <v>0</v>
      </c>
      <c r="G32" s="8">
        <v>17450</v>
      </c>
      <c r="H32" s="5" t="s">
        <v>169</v>
      </c>
      <c r="I32" s="5" t="s">
        <v>372</v>
      </c>
      <c r="J32" s="5">
        <v>1</v>
      </c>
      <c r="K32" s="5">
        <v>1</v>
      </c>
      <c r="L32" s="5">
        <v>0</v>
      </c>
      <c r="M32" s="5">
        <v>1</v>
      </c>
      <c r="N32" s="5">
        <v>0</v>
      </c>
      <c r="O32" s="5">
        <v>13317</v>
      </c>
      <c r="P32" s="5" t="s">
        <v>281</v>
      </c>
      <c r="Q32" s="5"/>
      <c r="R32" s="5">
        <v>1</v>
      </c>
      <c r="S32" s="14">
        <v>1</v>
      </c>
    </row>
    <row r="33" spans="1:19" x14ac:dyDescent="0.35">
      <c r="A33" t="s">
        <v>163</v>
      </c>
      <c r="B33" s="1">
        <v>57</v>
      </c>
      <c r="C33" s="1">
        <v>17453</v>
      </c>
      <c r="D33" s="1">
        <v>230</v>
      </c>
      <c r="E33">
        <f>Table4[[#This Row],[SpellID]]-Table5[[#This Row],[Spell ID]]</f>
        <v>0</v>
      </c>
      <c r="G33" s="6">
        <v>17453</v>
      </c>
      <c r="H33" s="7" t="s">
        <v>163</v>
      </c>
      <c r="I33" s="7" t="s">
        <v>365</v>
      </c>
      <c r="J33" s="7">
        <v>0.6</v>
      </c>
      <c r="K33" s="7">
        <v>0.6</v>
      </c>
      <c r="L33" s="7">
        <v>0</v>
      </c>
      <c r="M33" s="7">
        <v>1</v>
      </c>
      <c r="N33" s="7">
        <v>0</v>
      </c>
      <c r="O33" s="7">
        <v>13321</v>
      </c>
      <c r="P33" s="7" t="s">
        <v>414</v>
      </c>
      <c r="Q33" s="7">
        <v>1</v>
      </c>
      <c r="R33" s="7"/>
      <c r="S33" s="13">
        <v>1</v>
      </c>
    </row>
    <row r="34" spans="1:19" x14ac:dyDescent="0.35">
      <c r="A34" t="s">
        <v>259</v>
      </c>
      <c r="B34" s="1">
        <v>58</v>
      </c>
      <c r="C34" s="1">
        <v>17454</v>
      </c>
      <c r="D34" s="1">
        <v>230</v>
      </c>
      <c r="E34">
        <f>Table4[[#This Row],[SpellID]]-Table5[[#This Row],[Spell ID]]</f>
        <v>0</v>
      </c>
      <c r="G34" s="8">
        <v>17454</v>
      </c>
      <c r="H34" s="5" t="s">
        <v>259</v>
      </c>
      <c r="I34" s="5" t="s">
        <v>365</v>
      </c>
      <c r="J34" s="5">
        <v>0.6</v>
      </c>
      <c r="K34" s="5">
        <v>0.6</v>
      </c>
      <c r="L34" s="5">
        <v>0</v>
      </c>
      <c r="M34" s="5">
        <v>1</v>
      </c>
      <c r="N34" s="5">
        <v>0</v>
      </c>
      <c r="O34" s="5">
        <v>13322</v>
      </c>
      <c r="P34" s="5" t="s">
        <v>414</v>
      </c>
      <c r="Q34" s="5">
        <v>1</v>
      </c>
      <c r="R34" s="5"/>
      <c r="S34" s="14">
        <v>1</v>
      </c>
    </row>
    <row r="35" spans="1:19" x14ac:dyDescent="0.35">
      <c r="A35" t="s">
        <v>167</v>
      </c>
      <c r="B35" s="1">
        <v>62</v>
      </c>
      <c r="C35" s="1">
        <v>17459</v>
      </c>
      <c r="D35" s="1">
        <v>230</v>
      </c>
      <c r="E35">
        <f>Table4[[#This Row],[SpellID]]-Table5[[#This Row],[Spell ID]]</f>
        <v>0</v>
      </c>
      <c r="G35" s="8">
        <v>17459</v>
      </c>
      <c r="H35" s="5" t="s">
        <v>167</v>
      </c>
      <c r="I35" s="5" t="s">
        <v>365</v>
      </c>
      <c r="J35" s="5">
        <v>1</v>
      </c>
      <c r="K35" s="5">
        <v>1</v>
      </c>
      <c r="L35" s="5">
        <v>0</v>
      </c>
      <c r="M35" s="5">
        <v>1</v>
      </c>
      <c r="N35" s="5">
        <v>0</v>
      </c>
      <c r="O35" s="5">
        <v>13327</v>
      </c>
      <c r="P35" s="5" t="s">
        <v>281</v>
      </c>
      <c r="Q35" s="5">
        <v>1</v>
      </c>
      <c r="R35" s="5"/>
      <c r="S35" s="14">
        <v>1</v>
      </c>
    </row>
    <row r="36" spans="1:19" x14ac:dyDescent="0.35">
      <c r="A36" t="s">
        <v>141</v>
      </c>
      <c r="B36" s="1">
        <v>63</v>
      </c>
      <c r="C36" s="1">
        <v>17460</v>
      </c>
      <c r="D36" s="1">
        <v>230</v>
      </c>
      <c r="E36">
        <f>Table4[[#This Row],[SpellID]]-Table5[[#This Row],[Spell ID]]</f>
        <v>0</v>
      </c>
      <c r="G36" s="6">
        <v>17460</v>
      </c>
      <c r="H36" s="7" t="s">
        <v>141</v>
      </c>
      <c r="I36" s="7" t="s">
        <v>371</v>
      </c>
      <c r="J36" s="7">
        <v>1</v>
      </c>
      <c r="K36" s="7">
        <v>1</v>
      </c>
      <c r="L36" s="7">
        <v>0</v>
      </c>
      <c r="M36" s="7">
        <v>1</v>
      </c>
      <c r="N36" s="7">
        <v>0</v>
      </c>
      <c r="O36" s="7">
        <v>13329</v>
      </c>
      <c r="P36" s="7" t="s">
        <v>281</v>
      </c>
      <c r="Q36" s="7">
        <v>1</v>
      </c>
      <c r="R36" s="7"/>
      <c r="S36" s="13">
        <v>1</v>
      </c>
    </row>
    <row r="37" spans="1:19" x14ac:dyDescent="0.35">
      <c r="A37" t="s">
        <v>93</v>
      </c>
      <c r="B37" s="1">
        <v>64</v>
      </c>
      <c r="C37" s="1">
        <v>17461</v>
      </c>
      <c r="D37" s="1">
        <v>230</v>
      </c>
      <c r="E37">
        <f>Table4[[#This Row],[SpellID]]-Table5[[#This Row],[Spell ID]]</f>
        <v>0</v>
      </c>
      <c r="G37" s="8">
        <v>17461</v>
      </c>
      <c r="H37" s="5" t="s">
        <v>93</v>
      </c>
      <c r="I37" s="5" t="s">
        <v>371</v>
      </c>
      <c r="J37" s="5">
        <v>1</v>
      </c>
      <c r="K37" s="5">
        <v>1</v>
      </c>
      <c r="L37" s="5">
        <v>0</v>
      </c>
      <c r="M37" s="5">
        <v>1</v>
      </c>
      <c r="N37" s="5">
        <v>0</v>
      </c>
      <c r="O37" s="5">
        <v>13328</v>
      </c>
      <c r="P37" s="5" t="s">
        <v>413</v>
      </c>
      <c r="Q37" s="5">
        <v>1</v>
      </c>
      <c r="R37" s="5"/>
      <c r="S37" s="14">
        <v>1</v>
      </c>
    </row>
    <row r="38" spans="1:19" x14ac:dyDescent="0.35">
      <c r="A38" t="s">
        <v>192</v>
      </c>
      <c r="B38" s="1">
        <v>65</v>
      </c>
      <c r="C38" s="1">
        <v>17462</v>
      </c>
      <c r="D38" s="1">
        <v>230</v>
      </c>
      <c r="E38">
        <f>Table4[[#This Row],[SpellID]]-Table5[[#This Row],[Spell ID]]</f>
        <v>0</v>
      </c>
      <c r="G38" s="6">
        <v>17462</v>
      </c>
      <c r="H38" s="7" t="s">
        <v>192</v>
      </c>
      <c r="I38" s="7" t="s">
        <v>369</v>
      </c>
      <c r="J38" s="7">
        <v>0.6</v>
      </c>
      <c r="K38" s="7">
        <v>0.6</v>
      </c>
      <c r="L38" s="7">
        <v>0</v>
      </c>
      <c r="M38" s="7">
        <v>1</v>
      </c>
      <c r="N38" s="7">
        <v>0</v>
      </c>
      <c r="O38" s="7">
        <v>13331</v>
      </c>
      <c r="P38" s="7" t="s">
        <v>285</v>
      </c>
      <c r="Q38" s="7"/>
      <c r="R38" s="7">
        <v>1</v>
      </c>
      <c r="S38" s="13">
        <v>1</v>
      </c>
    </row>
    <row r="39" spans="1:19" x14ac:dyDescent="0.35">
      <c r="A39" t="s">
        <v>110</v>
      </c>
      <c r="B39" s="1">
        <v>66</v>
      </c>
      <c r="C39" s="1">
        <v>17463</v>
      </c>
      <c r="D39" s="1">
        <v>230</v>
      </c>
      <c r="E39">
        <f>Table4[[#This Row],[SpellID]]-Table5[[#This Row],[Spell ID]]</f>
        <v>0</v>
      </c>
      <c r="G39" s="8">
        <v>17463</v>
      </c>
      <c r="H39" s="5" t="s">
        <v>110</v>
      </c>
      <c r="I39" s="5" t="s">
        <v>374</v>
      </c>
      <c r="J39" s="5">
        <v>0.6</v>
      </c>
      <c r="K39" s="5">
        <v>0.6</v>
      </c>
      <c r="L39" s="5">
        <v>0</v>
      </c>
      <c r="M39" s="5">
        <v>1</v>
      </c>
      <c r="N39" s="5">
        <v>0</v>
      </c>
      <c r="O39" s="5">
        <v>46308</v>
      </c>
      <c r="P39" s="5" t="s">
        <v>363</v>
      </c>
      <c r="Q39" s="5"/>
      <c r="R39" s="5">
        <v>1</v>
      </c>
      <c r="S39" s="14">
        <v>1</v>
      </c>
    </row>
    <row r="40" spans="1:19" x14ac:dyDescent="0.35">
      <c r="A40" t="s">
        <v>120</v>
      </c>
      <c r="B40" s="1">
        <v>67</v>
      </c>
      <c r="C40" s="1">
        <v>17464</v>
      </c>
      <c r="D40" s="1">
        <v>230</v>
      </c>
      <c r="E40">
        <f>Table4[[#This Row],[SpellID]]-Table5[[#This Row],[Spell ID]]</f>
        <v>0</v>
      </c>
      <c r="G40" s="6">
        <v>17464</v>
      </c>
      <c r="H40" s="7" t="s">
        <v>120</v>
      </c>
      <c r="I40" s="7" t="s">
        <v>369</v>
      </c>
      <c r="J40" s="7">
        <v>0.6</v>
      </c>
      <c r="K40" s="7">
        <v>0.6</v>
      </c>
      <c r="L40" s="7">
        <v>0</v>
      </c>
      <c r="M40" s="7">
        <v>1</v>
      </c>
      <c r="N40" s="7">
        <v>0</v>
      </c>
      <c r="O40" s="7">
        <v>13333</v>
      </c>
      <c r="P40" s="7" t="s">
        <v>285</v>
      </c>
      <c r="Q40" s="7"/>
      <c r="R40" s="7">
        <v>1</v>
      </c>
      <c r="S40" s="13">
        <v>1</v>
      </c>
    </row>
    <row r="41" spans="1:19" x14ac:dyDescent="0.35">
      <c r="A41" t="s">
        <v>165</v>
      </c>
      <c r="B41" s="1">
        <v>68</v>
      </c>
      <c r="C41" s="1">
        <v>17465</v>
      </c>
      <c r="D41" s="1">
        <v>230</v>
      </c>
      <c r="E41">
        <f>Table4[[#This Row],[SpellID]]-Table5[[#This Row],[Spell ID]]</f>
        <v>0</v>
      </c>
      <c r="G41" s="8">
        <v>17465</v>
      </c>
      <c r="H41" s="5" t="s">
        <v>165</v>
      </c>
      <c r="I41" s="5" t="s">
        <v>369</v>
      </c>
      <c r="J41" s="5">
        <v>1</v>
      </c>
      <c r="K41" s="5">
        <v>1</v>
      </c>
      <c r="L41" s="5">
        <v>0</v>
      </c>
      <c r="M41" s="5">
        <v>1</v>
      </c>
      <c r="N41" s="5">
        <v>0</v>
      </c>
      <c r="O41" s="5">
        <v>13334</v>
      </c>
      <c r="P41" s="5" t="s">
        <v>285</v>
      </c>
      <c r="Q41" s="5"/>
      <c r="R41" s="5">
        <v>1</v>
      </c>
      <c r="S41" s="14">
        <v>1</v>
      </c>
    </row>
    <row r="42" spans="1:19" x14ac:dyDescent="0.35">
      <c r="A42" t="s">
        <v>196</v>
      </c>
      <c r="B42" s="1">
        <v>69</v>
      </c>
      <c r="C42" s="1">
        <v>17481</v>
      </c>
      <c r="D42" s="1">
        <v>230</v>
      </c>
      <c r="E42">
        <f>Table4[[#This Row],[SpellID]]-Table5[[#This Row],[Spell ID]]</f>
        <v>0</v>
      </c>
      <c r="G42" s="6">
        <v>17481</v>
      </c>
      <c r="H42" s="7" t="s">
        <v>196</v>
      </c>
      <c r="I42" s="7" t="s">
        <v>374</v>
      </c>
      <c r="J42" s="7">
        <v>1</v>
      </c>
      <c r="K42" s="7">
        <v>1</v>
      </c>
      <c r="L42" s="7">
        <v>0</v>
      </c>
      <c r="M42" s="7">
        <v>1</v>
      </c>
      <c r="N42" s="7">
        <v>0</v>
      </c>
      <c r="O42" s="7">
        <v>13335</v>
      </c>
      <c r="P42" s="7" t="s">
        <v>333</v>
      </c>
      <c r="Q42" s="7">
        <v>1</v>
      </c>
      <c r="R42" s="7">
        <v>1</v>
      </c>
      <c r="S42" s="13">
        <v>1</v>
      </c>
    </row>
    <row r="43" spans="1:19" x14ac:dyDescent="0.35">
      <c r="A43" t="s">
        <v>195</v>
      </c>
      <c r="B43" s="1">
        <v>70</v>
      </c>
      <c r="C43" s="1">
        <v>18363</v>
      </c>
      <c r="D43" s="1">
        <v>230</v>
      </c>
      <c r="E43">
        <f>Table4[[#This Row],[SpellID]]-Table5[[#This Row],[Spell ID]]</f>
        <v>0</v>
      </c>
      <c r="G43" s="8">
        <v>18363</v>
      </c>
      <c r="H43" s="5" t="s">
        <v>195</v>
      </c>
      <c r="I43" s="5" t="s">
        <v>375</v>
      </c>
      <c r="J43" s="5">
        <v>0.6</v>
      </c>
      <c r="K43" s="5">
        <v>0.6</v>
      </c>
      <c r="L43" s="5">
        <v>0</v>
      </c>
      <c r="M43" s="5">
        <v>1</v>
      </c>
      <c r="N43" s="5">
        <v>0</v>
      </c>
      <c r="O43" s="5">
        <v>14062</v>
      </c>
      <c r="P43" s="5" t="s">
        <v>318</v>
      </c>
      <c r="Q43" s="5"/>
      <c r="R43" s="5">
        <v>1</v>
      </c>
      <c r="S43" s="14">
        <v>1</v>
      </c>
    </row>
    <row r="44" spans="1:19" x14ac:dyDescent="0.35">
      <c r="A44" t="s">
        <v>149</v>
      </c>
      <c r="B44" s="1">
        <v>71</v>
      </c>
      <c r="C44" s="1">
        <v>18989</v>
      </c>
      <c r="D44" s="1">
        <v>230</v>
      </c>
      <c r="E44">
        <f>Table4[[#This Row],[SpellID]]-Table5[[#This Row],[Spell ID]]</f>
        <v>0</v>
      </c>
      <c r="G44" s="6">
        <v>18989</v>
      </c>
      <c r="H44" s="7" t="s">
        <v>149</v>
      </c>
      <c r="I44" s="7" t="s">
        <v>375</v>
      </c>
      <c r="J44" s="7">
        <v>0.6</v>
      </c>
      <c r="K44" s="7">
        <v>0.6</v>
      </c>
      <c r="L44" s="7">
        <v>0</v>
      </c>
      <c r="M44" s="7">
        <v>1</v>
      </c>
      <c r="N44" s="7">
        <v>0</v>
      </c>
      <c r="O44" s="7">
        <v>15277</v>
      </c>
      <c r="P44" s="7" t="s">
        <v>285</v>
      </c>
      <c r="Q44" s="7"/>
      <c r="R44" s="7">
        <v>1</v>
      </c>
      <c r="S44" s="13">
        <v>1</v>
      </c>
    </row>
    <row r="45" spans="1:19" x14ac:dyDescent="0.35">
      <c r="A45" t="s">
        <v>117</v>
      </c>
      <c r="B45" s="1">
        <v>72</v>
      </c>
      <c r="C45" s="1">
        <v>18990</v>
      </c>
      <c r="D45" s="1">
        <v>230</v>
      </c>
      <c r="E45">
        <f>Table4[[#This Row],[SpellID]]-Table5[[#This Row],[Spell ID]]</f>
        <v>0</v>
      </c>
      <c r="G45" s="8">
        <v>18990</v>
      </c>
      <c r="H45" s="5" t="s">
        <v>117</v>
      </c>
      <c r="I45" s="5" t="s">
        <v>375</v>
      </c>
      <c r="J45" s="5">
        <v>0.6</v>
      </c>
      <c r="K45" s="5">
        <v>0.6</v>
      </c>
      <c r="L45" s="5">
        <v>0</v>
      </c>
      <c r="M45" s="5">
        <v>1</v>
      </c>
      <c r="N45" s="5">
        <v>0</v>
      </c>
      <c r="O45" s="5">
        <v>15290</v>
      </c>
      <c r="P45" s="5" t="s">
        <v>285</v>
      </c>
      <c r="Q45" s="5"/>
      <c r="R45" s="5">
        <v>1</v>
      </c>
      <c r="S45" s="14">
        <v>1</v>
      </c>
    </row>
    <row r="46" spans="1:19" x14ac:dyDescent="0.35">
      <c r="A46" t="s">
        <v>162</v>
      </c>
      <c r="B46" s="1">
        <v>73</v>
      </c>
      <c r="C46" s="1">
        <v>18991</v>
      </c>
      <c r="D46" s="1">
        <v>230</v>
      </c>
      <c r="E46">
        <f>Table4[[#This Row],[SpellID]]-Table5[[#This Row],[Spell ID]]</f>
        <v>0</v>
      </c>
      <c r="G46" s="6">
        <v>18991</v>
      </c>
      <c r="H46" s="7" t="s">
        <v>162</v>
      </c>
      <c r="I46" s="7" t="s">
        <v>375</v>
      </c>
      <c r="J46" s="7">
        <v>1</v>
      </c>
      <c r="K46" s="7">
        <v>1</v>
      </c>
      <c r="L46" s="7">
        <v>0</v>
      </c>
      <c r="M46" s="7">
        <v>1</v>
      </c>
      <c r="N46" s="7">
        <v>0</v>
      </c>
      <c r="O46" s="7">
        <v>15292</v>
      </c>
      <c r="P46" s="7" t="s">
        <v>285</v>
      </c>
      <c r="Q46" s="7"/>
      <c r="R46" s="7">
        <v>1</v>
      </c>
      <c r="S46" s="13">
        <v>1</v>
      </c>
    </row>
    <row r="47" spans="1:19" x14ac:dyDescent="0.35">
      <c r="A47" t="s">
        <v>253</v>
      </c>
      <c r="B47" s="1">
        <v>74</v>
      </c>
      <c r="C47" s="1">
        <v>18992</v>
      </c>
      <c r="D47" s="1">
        <v>230</v>
      </c>
      <c r="E47">
        <f>Table4[[#This Row],[SpellID]]-Table5[[#This Row],[Spell ID]]</f>
        <v>0</v>
      </c>
      <c r="G47" s="8">
        <v>18992</v>
      </c>
      <c r="H47" s="5" t="s">
        <v>253</v>
      </c>
      <c r="I47" s="5" t="s">
        <v>375</v>
      </c>
      <c r="J47" s="5">
        <v>1</v>
      </c>
      <c r="K47" s="5">
        <v>1</v>
      </c>
      <c r="L47" s="5">
        <v>0</v>
      </c>
      <c r="M47" s="5">
        <v>1</v>
      </c>
      <c r="N47" s="5">
        <v>0</v>
      </c>
      <c r="O47" s="5">
        <v>15293</v>
      </c>
      <c r="P47" s="5" t="s">
        <v>318</v>
      </c>
      <c r="Q47" s="5"/>
      <c r="R47" s="5">
        <v>1</v>
      </c>
      <c r="S47" s="14">
        <v>1</v>
      </c>
    </row>
    <row r="48" spans="1:19" x14ac:dyDescent="0.35">
      <c r="A48" t="s">
        <v>102</v>
      </c>
      <c r="B48" s="1">
        <v>75</v>
      </c>
      <c r="C48" s="1">
        <v>22717</v>
      </c>
      <c r="D48" s="1">
        <v>230</v>
      </c>
      <c r="E48">
        <f>Table4[[#This Row],[SpellID]]-Table5[[#This Row],[Spell ID]]</f>
        <v>0</v>
      </c>
      <c r="G48" s="8">
        <v>22717</v>
      </c>
      <c r="H48" s="5" t="s">
        <v>102</v>
      </c>
      <c r="I48" s="5" t="s">
        <v>369</v>
      </c>
      <c r="J48" s="5">
        <v>1</v>
      </c>
      <c r="K48" s="5">
        <v>1</v>
      </c>
      <c r="L48" s="5">
        <v>0</v>
      </c>
      <c r="M48" s="5">
        <v>1</v>
      </c>
      <c r="N48" s="5">
        <v>0</v>
      </c>
      <c r="O48" s="5">
        <v>29468</v>
      </c>
      <c r="P48" s="5" t="s">
        <v>403</v>
      </c>
      <c r="Q48" s="5">
        <v>1</v>
      </c>
      <c r="R48" s="5"/>
      <c r="S48" s="14">
        <v>1</v>
      </c>
    </row>
    <row r="49" spans="1:19" x14ac:dyDescent="0.35">
      <c r="A49" t="s">
        <v>98</v>
      </c>
      <c r="B49" s="1">
        <v>76</v>
      </c>
      <c r="C49" s="1">
        <v>22718</v>
      </c>
      <c r="D49" s="1">
        <v>230</v>
      </c>
      <c r="E49">
        <f>Table4[[#This Row],[SpellID]]-Table5[[#This Row],[Spell ID]]</f>
        <v>0</v>
      </c>
      <c r="G49" s="8">
        <v>22718</v>
      </c>
      <c r="H49" s="5" t="s">
        <v>98</v>
      </c>
      <c r="I49" s="5" t="s">
        <v>375</v>
      </c>
      <c r="J49" s="5">
        <v>1</v>
      </c>
      <c r="K49" s="5">
        <v>1</v>
      </c>
      <c r="L49" s="5">
        <v>0</v>
      </c>
      <c r="M49" s="5">
        <v>1</v>
      </c>
      <c r="N49" s="5">
        <v>0</v>
      </c>
      <c r="O49" s="5">
        <v>29466</v>
      </c>
      <c r="P49" s="5" t="s">
        <v>403</v>
      </c>
      <c r="Q49" s="5"/>
      <c r="R49" s="5">
        <v>1</v>
      </c>
      <c r="S49" s="14">
        <v>1</v>
      </c>
    </row>
    <row r="50" spans="1:19" x14ac:dyDescent="0.35">
      <c r="A50" t="s">
        <v>88</v>
      </c>
      <c r="B50" s="1">
        <v>77</v>
      </c>
      <c r="C50" s="1">
        <v>22719</v>
      </c>
      <c r="D50" s="1">
        <v>230</v>
      </c>
      <c r="E50">
        <f>Table4[[#This Row],[SpellID]]-Table5[[#This Row],[Spell ID]]</f>
        <v>0</v>
      </c>
      <c r="G50" s="8">
        <v>22719</v>
      </c>
      <c r="H50" s="5" t="s">
        <v>88</v>
      </c>
      <c r="I50" s="5" t="s">
        <v>365</v>
      </c>
      <c r="J50" s="5">
        <v>1</v>
      </c>
      <c r="K50" s="5">
        <v>1</v>
      </c>
      <c r="L50" s="5">
        <v>0</v>
      </c>
      <c r="M50" s="5">
        <v>1</v>
      </c>
      <c r="N50" s="5">
        <v>0</v>
      </c>
      <c r="O50" s="5">
        <v>29465</v>
      </c>
      <c r="P50" s="5" t="s">
        <v>403</v>
      </c>
      <c r="Q50" s="5">
        <v>1</v>
      </c>
      <c r="R50" s="5"/>
      <c r="S50" s="14">
        <v>1</v>
      </c>
    </row>
    <row r="51" spans="1:19" x14ac:dyDescent="0.35">
      <c r="A51" t="s">
        <v>100</v>
      </c>
      <c r="B51" s="1">
        <v>78</v>
      </c>
      <c r="C51" s="1">
        <v>22720</v>
      </c>
      <c r="D51" s="1">
        <v>230</v>
      </c>
      <c r="E51">
        <f>Table4[[#This Row],[SpellID]]-Table5[[#This Row],[Spell ID]]</f>
        <v>0</v>
      </c>
      <c r="G51" s="8">
        <v>22720</v>
      </c>
      <c r="H51" s="5" t="s">
        <v>100</v>
      </c>
      <c r="I51" s="5" t="s">
        <v>371</v>
      </c>
      <c r="J51" s="5">
        <v>1</v>
      </c>
      <c r="K51" s="5">
        <v>1</v>
      </c>
      <c r="L51" s="5">
        <v>0</v>
      </c>
      <c r="M51" s="5">
        <v>1</v>
      </c>
      <c r="N51" s="5">
        <v>0</v>
      </c>
      <c r="O51" s="5">
        <v>29467</v>
      </c>
      <c r="P51" s="5" t="s">
        <v>403</v>
      </c>
      <c r="Q51" s="5">
        <v>1</v>
      </c>
      <c r="R51" s="5"/>
      <c r="S51" s="14">
        <v>1</v>
      </c>
    </row>
    <row r="52" spans="1:19" x14ac:dyDescent="0.35">
      <c r="A52" t="s">
        <v>101</v>
      </c>
      <c r="B52" s="1">
        <v>79</v>
      </c>
      <c r="C52" s="1">
        <v>22721</v>
      </c>
      <c r="D52" s="1">
        <v>230</v>
      </c>
      <c r="E52">
        <f>Table4[[#This Row],[SpellID]]-Table5[[#This Row],[Spell ID]]</f>
        <v>0</v>
      </c>
      <c r="G52" s="8">
        <v>22721</v>
      </c>
      <c r="H52" s="5" t="s">
        <v>101</v>
      </c>
      <c r="I52" s="5" t="s">
        <v>372</v>
      </c>
      <c r="J52" s="5">
        <v>1</v>
      </c>
      <c r="K52" s="5">
        <v>1</v>
      </c>
      <c r="L52" s="5">
        <v>0</v>
      </c>
      <c r="M52" s="5">
        <v>1</v>
      </c>
      <c r="N52" s="5">
        <v>0</v>
      </c>
      <c r="O52" s="5">
        <v>29472</v>
      </c>
      <c r="P52" s="5" t="s">
        <v>403</v>
      </c>
      <c r="Q52" s="5"/>
      <c r="R52" s="5">
        <v>1</v>
      </c>
      <c r="S52" s="14">
        <v>1</v>
      </c>
    </row>
    <row r="53" spans="1:19" x14ac:dyDescent="0.35">
      <c r="A53" t="s">
        <v>193</v>
      </c>
      <c r="B53" s="1">
        <v>80</v>
      </c>
      <c r="C53" s="1">
        <v>22722</v>
      </c>
      <c r="D53" s="1">
        <v>230</v>
      </c>
      <c r="E53">
        <f>Table4[[#This Row],[SpellID]]-Table5[[#This Row],[Spell ID]]</f>
        <v>0</v>
      </c>
      <c r="G53" s="8">
        <v>22722</v>
      </c>
      <c r="H53" s="5" t="s">
        <v>193</v>
      </c>
      <c r="I53" s="5" t="s">
        <v>369</v>
      </c>
      <c r="J53" s="5">
        <v>1</v>
      </c>
      <c r="K53" s="5">
        <v>1</v>
      </c>
      <c r="L53" s="5">
        <v>0</v>
      </c>
      <c r="M53" s="5">
        <v>1</v>
      </c>
      <c r="N53" s="5">
        <v>0</v>
      </c>
      <c r="O53" s="5">
        <v>29470</v>
      </c>
      <c r="P53" s="5" t="s">
        <v>403</v>
      </c>
      <c r="Q53" s="5"/>
      <c r="R53" s="5">
        <v>1</v>
      </c>
      <c r="S53" s="14">
        <v>1</v>
      </c>
    </row>
    <row r="54" spans="1:19" x14ac:dyDescent="0.35">
      <c r="A54" t="s">
        <v>103</v>
      </c>
      <c r="B54" s="1">
        <v>81</v>
      </c>
      <c r="C54" s="1">
        <v>22723</v>
      </c>
      <c r="D54" s="1">
        <v>230</v>
      </c>
      <c r="E54">
        <f>Table4[[#This Row],[SpellID]]-Table5[[#This Row],[Spell ID]]</f>
        <v>0</v>
      </c>
      <c r="G54" s="8">
        <v>22723</v>
      </c>
      <c r="H54" s="5" t="s">
        <v>103</v>
      </c>
      <c r="I54" s="5" t="s">
        <v>373</v>
      </c>
      <c r="J54" s="5">
        <v>1</v>
      </c>
      <c r="K54" s="5">
        <v>1</v>
      </c>
      <c r="L54" s="5">
        <v>0</v>
      </c>
      <c r="M54" s="5">
        <v>1</v>
      </c>
      <c r="N54" s="5">
        <v>0</v>
      </c>
      <c r="O54" s="5">
        <v>29471</v>
      </c>
      <c r="P54" s="5" t="s">
        <v>403</v>
      </c>
      <c r="Q54" s="5">
        <v>1</v>
      </c>
      <c r="R54" s="5"/>
      <c r="S54" s="14">
        <v>1</v>
      </c>
    </row>
    <row r="55" spans="1:19" x14ac:dyDescent="0.35">
      <c r="A55" t="s">
        <v>104</v>
      </c>
      <c r="B55" s="1">
        <v>82</v>
      </c>
      <c r="C55" s="1">
        <v>22724</v>
      </c>
      <c r="D55" s="1">
        <v>230</v>
      </c>
      <c r="E55">
        <f>Table4[[#This Row],[SpellID]]-Table5[[#This Row],[Spell ID]]</f>
        <v>0</v>
      </c>
      <c r="G55" s="8">
        <v>22724</v>
      </c>
      <c r="H55" s="5" t="s">
        <v>104</v>
      </c>
      <c r="I55" s="5" t="s">
        <v>370</v>
      </c>
      <c r="J55" s="5">
        <v>1</v>
      </c>
      <c r="K55" s="5">
        <v>1</v>
      </c>
      <c r="L55" s="5">
        <v>0</v>
      </c>
      <c r="M55" s="5">
        <v>1</v>
      </c>
      <c r="N55" s="5">
        <v>0</v>
      </c>
      <c r="O55" s="5">
        <v>29469</v>
      </c>
      <c r="P55" s="5" t="s">
        <v>403</v>
      </c>
      <c r="Q55" s="5"/>
      <c r="R55" s="5">
        <v>1</v>
      </c>
      <c r="S55" s="14">
        <v>1</v>
      </c>
    </row>
    <row r="56" spans="1:19" x14ac:dyDescent="0.35">
      <c r="A56" t="s">
        <v>134</v>
      </c>
      <c r="B56" s="1">
        <v>83</v>
      </c>
      <c r="C56" s="1">
        <v>23161</v>
      </c>
      <c r="D56" s="1">
        <v>230</v>
      </c>
      <c r="E56">
        <f>Table4[[#This Row],[SpellID]]-Table5[[#This Row],[Spell ID]]</f>
        <v>0</v>
      </c>
      <c r="G56" s="6">
        <v>23161</v>
      </c>
      <c r="H56" s="7" t="s">
        <v>134</v>
      </c>
      <c r="I56" s="7" t="s">
        <v>311</v>
      </c>
      <c r="J56" s="7">
        <v>1</v>
      </c>
      <c r="K56" s="7">
        <v>1</v>
      </c>
      <c r="L56" s="7">
        <v>0</v>
      </c>
      <c r="M56" s="7">
        <v>1</v>
      </c>
      <c r="N56" s="7">
        <v>0</v>
      </c>
      <c r="O56" s="7">
        <v>0</v>
      </c>
      <c r="P56" s="7" t="s">
        <v>311</v>
      </c>
      <c r="Q56" s="7">
        <v>1</v>
      </c>
      <c r="R56" s="7">
        <v>1</v>
      </c>
      <c r="S56" s="13">
        <v>1</v>
      </c>
    </row>
    <row r="57" spans="1:19" x14ac:dyDescent="0.35">
      <c r="A57" t="s">
        <v>122</v>
      </c>
      <c r="B57" s="1">
        <v>84</v>
      </c>
      <c r="C57" s="1">
        <v>23214</v>
      </c>
      <c r="D57" s="1">
        <v>230</v>
      </c>
      <c r="E57">
        <f>Table4[[#This Row],[SpellID]]-Table5[[#This Row],[Spell ID]]</f>
        <v>0</v>
      </c>
      <c r="G57" s="8">
        <v>23214</v>
      </c>
      <c r="H57" s="5" t="s">
        <v>122</v>
      </c>
      <c r="I57" s="5" t="s">
        <v>307</v>
      </c>
      <c r="J57" s="5">
        <v>1</v>
      </c>
      <c r="K57" s="5">
        <v>1</v>
      </c>
      <c r="L57" s="5">
        <v>0</v>
      </c>
      <c r="M57" s="5">
        <v>1</v>
      </c>
      <c r="N57" s="5">
        <v>0</v>
      </c>
      <c r="O57" s="5">
        <v>0</v>
      </c>
      <c r="P57" s="5" t="s">
        <v>307</v>
      </c>
      <c r="Q57" s="5">
        <v>1</v>
      </c>
      <c r="R57" s="5">
        <v>1</v>
      </c>
      <c r="S57" s="14">
        <v>1</v>
      </c>
    </row>
    <row r="58" spans="1:19" x14ac:dyDescent="0.35">
      <c r="A58" t="s">
        <v>227</v>
      </c>
      <c r="B58" s="1">
        <v>85</v>
      </c>
      <c r="C58" s="1">
        <v>23219</v>
      </c>
      <c r="D58" s="1">
        <v>230</v>
      </c>
      <c r="E58">
        <f>Table4[[#This Row],[SpellID]]-Table5[[#This Row],[Spell ID]]</f>
        <v>0</v>
      </c>
      <c r="G58" s="6">
        <v>23219</v>
      </c>
      <c r="H58" s="7" t="s">
        <v>227</v>
      </c>
      <c r="I58" s="7" t="s">
        <v>373</v>
      </c>
      <c r="J58" s="7">
        <v>1</v>
      </c>
      <c r="K58" s="7">
        <v>1</v>
      </c>
      <c r="L58" s="7">
        <v>0</v>
      </c>
      <c r="M58" s="7">
        <v>1</v>
      </c>
      <c r="N58" s="7">
        <v>0</v>
      </c>
      <c r="O58" s="7">
        <v>18767</v>
      </c>
      <c r="P58" s="7" t="s">
        <v>410</v>
      </c>
      <c r="Q58" s="7">
        <v>1</v>
      </c>
      <c r="R58" s="7"/>
      <c r="S58" s="13">
        <v>1</v>
      </c>
    </row>
    <row r="59" spans="1:19" x14ac:dyDescent="0.35">
      <c r="A59" t="s">
        <v>220</v>
      </c>
      <c r="B59" s="1">
        <v>87</v>
      </c>
      <c r="C59" s="1">
        <v>23221</v>
      </c>
      <c r="D59" s="1">
        <v>230</v>
      </c>
      <c r="E59">
        <f>Table4[[#This Row],[SpellID]]-Table5[[#This Row],[Spell ID]]</f>
        <v>0</v>
      </c>
      <c r="G59" s="6">
        <v>23221</v>
      </c>
      <c r="H59" s="7" t="s">
        <v>220</v>
      </c>
      <c r="I59" s="7" t="s">
        <v>373</v>
      </c>
      <c r="J59" s="7">
        <v>1</v>
      </c>
      <c r="K59" s="7">
        <v>1</v>
      </c>
      <c r="L59" s="7">
        <v>0</v>
      </c>
      <c r="M59" s="7">
        <v>1</v>
      </c>
      <c r="N59" s="7">
        <v>0</v>
      </c>
      <c r="O59" s="7">
        <v>18766</v>
      </c>
      <c r="P59" s="7" t="s">
        <v>410</v>
      </c>
      <c r="Q59" s="7">
        <v>1</v>
      </c>
      <c r="R59" s="7"/>
      <c r="S59" s="13">
        <v>1</v>
      </c>
    </row>
    <row r="60" spans="1:19" x14ac:dyDescent="0.35">
      <c r="A60" t="s">
        <v>247</v>
      </c>
      <c r="B60" s="1">
        <v>88</v>
      </c>
      <c r="C60" s="1">
        <v>23222</v>
      </c>
      <c r="D60" s="1">
        <v>230</v>
      </c>
      <c r="E60">
        <f>Table4[[#This Row],[SpellID]]-Table5[[#This Row],[Spell ID]]</f>
        <v>0</v>
      </c>
      <c r="G60" s="8">
        <v>23222</v>
      </c>
      <c r="H60" s="5" t="s">
        <v>247</v>
      </c>
      <c r="I60" s="5" t="s">
        <v>365</v>
      </c>
      <c r="J60" s="5">
        <v>1</v>
      </c>
      <c r="K60" s="5">
        <v>1</v>
      </c>
      <c r="L60" s="5">
        <v>0</v>
      </c>
      <c r="M60" s="5">
        <v>1</v>
      </c>
      <c r="N60" s="5">
        <v>0</v>
      </c>
      <c r="O60" s="5">
        <v>18774</v>
      </c>
      <c r="P60" s="5" t="s">
        <v>414</v>
      </c>
      <c r="Q60" s="5">
        <v>1</v>
      </c>
      <c r="R60" s="5"/>
      <c r="S60" s="14">
        <v>1</v>
      </c>
    </row>
    <row r="61" spans="1:19" x14ac:dyDescent="0.35">
      <c r="A61" t="s">
        <v>244</v>
      </c>
      <c r="B61" s="1">
        <v>89</v>
      </c>
      <c r="C61" s="1">
        <v>23223</v>
      </c>
      <c r="D61" s="1">
        <v>230</v>
      </c>
      <c r="E61">
        <f>Table4[[#This Row],[SpellID]]-Table5[[#This Row],[Spell ID]]</f>
        <v>0</v>
      </c>
      <c r="G61" s="6">
        <v>23223</v>
      </c>
      <c r="H61" s="7" t="s">
        <v>244</v>
      </c>
      <c r="I61" s="7" t="s">
        <v>365</v>
      </c>
      <c r="J61" s="7">
        <v>1</v>
      </c>
      <c r="K61" s="7">
        <v>1</v>
      </c>
      <c r="L61" s="7">
        <v>0</v>
      </c>
      <c r="M61" s="7">
        <v>1</v>
      </c>
      <c r="N61" s="7">
        <v>0</v>
      </c>
      <c r="O61" s="7">
        <v>18773</v>
      </c>
      <c r="P61" s="7" t="s">
        <v>414</v>
      </c>
      <c r="Q61" s="7">
        <v>1</v>
      </c>
      <c r="R61" s="7"/>
      <c r="S61" s="13">
        <v>1</v>
      </c>
    </row>
    <row r="62" spans="1:19" x14ac:dyDescent="0.35">
      <c r="A62" t="s">
        <v>225</v>
      </c>
      <c r="B62" s="1">
        <v>90</v>
      </c>
      <c r="C62" s="1">
        <v>23225</v>
      </c>
      <c r="D62" s="1">
        <v>230</v>
      </c>
      <c r="E62">
        <f>Table4[[#This Row],[SpellID]]-Table5[[#This Row],[Spell ID]]</f>
        <v>0</v>
      </c>
      <c r="G62" s="8">
        <v>23225</v>
      </c>
      <c r="H62" s="5" t="s">
        <v>225</v>
      </c>
      <c r="I62" s="5" t="s">
        <v>365</v>
      </c>
      <c r="J62" s="5">
        <v>1</v>
      </c>
      <c r="K62" s="5">
        <v>1</v>
      </c>
      <c r="L62" s="5">
        <v>0</v>
      </c>
      <c r="M62" s="5">
        <v>1</v>
      </c>
      <c r="N62" s="5">
        <v>0</v>
      </c>
      <c r="O62" s="5">
        <v>18772</v>
      </c>
      <c r="P62" s="5" t="s">
        <v>414</v>
      </c>
      <c r="Q62" s="5">
        <v>1</v>
      </c>
      <c r="R62" s="5"/>
      <c r="S62" s="14">
        <v>1</v>
      </c>
    </row>
    <row r="63" spans="1:19" x14ac:dyDescent="0.35">
      <c r="A63" t="s">
        <v>231</v>
      </c>
      <c r="B63" s="1">
        <v>91</v>
      </c>
      <c r="C63" s="1">
        <v>23227</v>
      </c>
      <c r="D63" s="1">
        <v>230</v>
      </c>
      <c r="E63">
        <f>Table4[[#This Row],[SpellID]]-Table5[[#This Row],[Spell ID]]</f>
        <v>0</v>
      </c>
      <c r="G63" s="6">
        <v>23227</v>
      </c>
      <c r="H63" s="7" t="s">
        <v>231</v>
      </c>
      <c r="I63" s="7" t="s">
        <v>369</v>
      </c>
      <c r="J63" s="7">
        <v>1</v>
      </c>
      <c r="K63" s="7">
        <v>1</v>
      </c>
      <c r="L63" s="7">
        <v>0</v>
      </c>
      <c r="M63" s="7">
        <v>1</v>
      </c>
      <c r="N63" s="7">
        <v>0</v>
      </c>
      <c r="O63" s="7">
        <v>18776</v>
      </c>
      <c r="P63" s="7" t="s">
        <v>412</v>
      </c>
      <c r="Q63" s="7">
        <v>1</v>
      </c>
      <c r="R63" s="7"/>
      <c r="S63" s="13">
        <v>1</v>
      </c>
    </row>
    <row r="64" spans="1:19" x14ac:dyDescent="0.35">
      <c r="A64" t="s">
        <v>246</v>
      </c>
      <c r="B64" s="1">
        <v>92</v>
      </c>
      <c r="C64" s="1">
        <v>23228</v>
      </c>
      <c r="D64" s="1">
        <v>230</v>
      </c>
      <c r="E64">
        <f>Table4[[#This Row],[SpellID]]-Table5[[#This Row],[Spell ID]]</f>
        <v>0</v>
      </c>
      <c r="G64" s="8">
        <v>23228</v>
      </c>
      <c r="H64" s="5" t="s">
        <v>246</v>
      </c>
      <c r="I64" s="5" t="s">
        <v>369</v>
      </c>
      <c r="J64" s="5">
        <v>1</v>
      </c>
      <c r="K64" s="5">
        <v>1</v>
      </c>
      <c r="L64" s="5">
        <v>0</v>
      </c>
      <c r="M64" s="5">
        <v>1</v>
      </c>
      <c r="N64" s="5">
        <v>0</v>
      </c>
      <c r="O64" s="5">
        <v>18778</v>
      </c>
      <c r="P64" s="5" t="s">
        <v>412</v>
      </c>
      <c r="Q64" s="5">
        <v>1</v>
      </c>
      <c r="R64" s="5"/>
      <c r="S64" s="14">
        <v>1</v>
      </c>
    </row>
    <row r="65" spans="1:19" x14ac:dyDescent="0.35">
      <c r="A65" t="s">
        <v>216</v>
      </c>
      <c r="B65" s="1">
        <v>93</v>
      </c>
      <c r="C65" s="1">
        <v>23229</v>
      </c>
      <c r="D65" s="1">
        <v>230</v>
      </c>
      <c r="E65">
        <f>Table4[[#This Row],[SpellID]]-Table5[[#This Row],[Spell ID]]</f>
        <v>0</v>
      </c>
      <c r="G65" s="6">
        <v>23229</v>
      </c>
      <c r="H65" s="7" t="s">
        <v>216</v>
      </c>
      <c r="I65" s="7" t="s">
        <v>369</v>
      </c>
      <c r="J65" s="7">
        <v>1</v>
      </c>
      <c r="K65" s="7">
        <v>1</v>
      </c>
      <c r="L65" s="7">
        <v>0</v>
      </c>
      <c r="M65" s="7">
        <v>1</v>
      </c>
      <c r="N65" s="7">
        <v>0</v>
      </c>
      <c r="O65" s="7">
        <v>18777</v>
      </c>
      <c r="P65" s="7" t="s">
        <v>412</v>
      </c>
      <c r="Q65" s="7">
        <v>1</v>
      </c>
      <c r="R65" s="7"/>
      <c r="S65" s="13">
        <v>1</v>
      </c>
    </row>
    <row r="66" spans="1:19" x14ac:dyDescent="0.35">
      <c r="A66" t="s">
        <v>215</v>
      </c>
      <c r="B66" s="1">
        <v>94</v>
      </c>
      <c r="C66" s="1">
        <v>23238</v>
      </c>
      <c r="D66" s="1">
        <v>230</v>
      </c>
      <c r="E66">
        <f>Table4[[#This Row],[SpellID]]-Table5[[#This Row],[Spell ID]]</f>
        <v>0</v>
      </c>
      <c r="G66" s="8">
        <v>23238</v>
      </c>
      <c r="H66" s="5" t="s">
        <v>215</v>
      </c>
      <c r="I66" s="5" t="s">
        <v>371</v>
      </c>
      <c r="J66" s="5">
        <v>1</v>
      </c>
      <c r="K66" s="5">
        <v>1</v>
      </c>
      <c r="L66" s="5">
        <v>0</v>
      </c>
      <c r="M66" s="5">
        <v>1</v>
      </c>
      <c r="N66" s="5">
        <v>0</v>
      </c>
      <c r="O66" s="5">
        <v>18786</v>
      </c>
      <c r="P66" s="5" t="s">
        <v>413</v>
      </c>
      <c r="Q66" s="5">
        <v>1</v>
      </c>
      <c r="R66" s="5"/>
      <c r="S66" s="14">
        <v>1</v>
      </c>
    </row>
    <row r="67" spans="1:19" x14ac:dyDescent="0.35">
      <c r="A67" t="s">
        <v>221</v>
      </c>
      <c r="B67" s="1">
        <v>95</v>
      </c>
      <c r="C67" s="1">
        <v>23239</v>
      </c>
      <c r="D67" s="1">
        <v>230</v>
      </c>
      <c r="E67">
        <f>Table4[[#This Row],[SpellID]]-Table5[[#This Row],[Spell ID]]</f>
        <v>0</v>
      </c>
      <c r="G67" s="6">
        <v>23239</v>
      </c>
      <c r="H67" s="7" t="s">
        <v>221</v>
      </c>
      <c r="I67" s="7" t="s">
        <v>371</v>
      </c>
      <c r="J67" s="7">
        <v>1</v>
      </c>
      <c r="K67" s="7">
        <v>1</v>
      </c>
      <c r="L67" s="7">
        <v>0</v>
      </c>
      <c r="M67" s="7">
        <v>1</v>
      </c>
      <c r="N67" s="7">
        <v>0</v>
      </c>
      <c r="O67" s="7">
        <v>18787</v>
      </c>
      <c r="P67" s="7" t="s">
        <v>413</v>
      </c>
      <c r="Q67" s="7">
        <v>1</v>
      </c>
      <c r="R67" s="7"/>
      <c r="S67" s="13">
        <v>1</v>
      </c>
    </row>
    <row r="68" spans="1:19" x14ac:dyDescent="0.35">
      <c r="A68" t="s">
        <v>245</v>
      </c>
      <c r="B68" s="1">
        <v>96</v>
      </c>
      <c r="C68" s="1">
        <v>23240</v>
      </c>
      <c r="D68" s="1">
        <v>230</v>
      </c>
      <c r="E68">
        <f>Table4[[#This Row],[SpellID]]-Table5[[#This Row],[Spell ID]]</f>
        <v>0</v>
      </c>
      <c r="G68" s="8">
        <v>23240</v>
      </c>
      <c r="H68" s="5" t="s">
        <v>245</v>
      </c>
      <c r="I68" s="5" t="s">
        <v>371</v>
      </c>
      <c r="J68" s="5">
        <v>1</v>
      </c>
      <c r="K68" s="5">
        <v>1</v>
      </c>
      <c r="L68" s="5">
        <v>0</v>
      </c>
      <c r="M68" s="5">
        <v>1</v>
      </c>
      <c r="N68" s="5">
        <v>0</v>
      </c>
      <c r="O68" s="5">
        <v>18785</v>
      </c>
      <c r="P68" s="5" t="s">
        <v>413</v>
      </c>
      <c r="Q68" s="5">
        <v>1</v>
      </c>
      <c r="R68" s="5"/>
      <c r="S68" s="14">
        <v>1</v>
      </c>
    </row>
    <row r="69" spans="1:19" x14ac:dyDescent="0.35">
      <c r="A69" t="s">
        <v>213</v>
      </c>
      <c r="B69" s="1">
        <v>97</v>
      </c>
      <c r="C69" s="1">
        <v>23241</v>
      </c>
      <c r="D69" s="1">
        <v>230</v>
      </c>
      <c r="E69">
        <f>Table4[[#This Row],[SpellID]]-Table5[[#This Row],[Spell ID]]</f>
        <v>0</v>
      </c>
      <c r="G69" s="6">
        <v>23241</v>
      </c>
      <c r="H69" s="7" t="s">
        <v>213</v>
      </c>
      <c r="I69" s="7" t="s">
        <v>372</v>
      </c>
      <c r="J69" s="7">
        <v>1</v>
      </c>
      <c r="K69" s="7">
        <v>1</v>
      </c>
      <c r="L69" s="7">
        <v>0</v>
      </c>
      <c r="M69" s="7">
        <v>1</v>
      </c>
      <c r="N69" s="7">
        <v>0</v>
      </c>
      <c r="O69" s="7">
        <v>18788</v>
      </c>
      <c r="P69" s="7" t="s">
        <v>285</v>
      </c>
      <c r="Q69" s="7"/>
      <c r="R69" s="7">
        <v>1</v>
      </c>
      <c r="S69" s="13">
        <v>1</v>
      </c>
    </row>
    <row r="70" spans="1:19" x14ac:dyDescent="0.35">
      <c r="A70" t="s">
        <v>229</v>
      </c>
      <c r="B70" s="1">
        <v>98</v>
      </c>
      <c r="C70" s="1">
        <v>23242</v>
      </c>
      <c r="D70" s="1">
        <v>230</v>
      </c>
      <c r="E70">
        <f>Table4[[#This Row],[SpellID]]-Table5[[#This Row],[Spell ID]]</f>
        <v>0</v>
      </c>
      <c r="G70" s="8">
        <v>23242</v>
      </c>
      <c r="H70" s="5" t="s">
        <v>229</v>
      </c>
      <c r="I70" s="5" t="s">
        <v>372</v>
      </c>
      <c r="J70" s="5">
        <v>1</v>
      </c>
      <c r="K70" s="5">
        <v>1</v>
      </c>
      <c r="L70" s="5">
        <v>0</v>
      </c>
      <c r="M70" s="5">
        <v>1</v>
      </c>
      <c r="N70" s="5">
        <v>0</v>
      </c>
      <c r="O70" s="5">
        <v>18789</v>
      </c>
      <c r="P70" s="5" t="s">
        <v>285</v>
      </c>
      <c r="Q70" s="5"/>
      <c r="R70" s="5">
        <v>1</v>
      </c>
      <c r="S70" s="14">
        <v>1</v>
      </c>
    </row>
    <row r="71" spans="1:19" x14ac:dyDescent="0.35">
      <c r="A71" t="s">
        <v>230</v>
      </c>
      <c r="B71" s="1">
        <v>99</v>
      </c>
      <c r="C71" s="1">
        <v>23243</v>
      </c>
      <c r="D71" s="1">
        <v>230</v>
      </c>
      <c r="E71">
        <f>Table4[[#This Row],[SpellID]]-Table5[[#This Row],[Spell ID]]</f>
        <v>0</v>
      </c>
      <c r="G71" s="6">
        <v>23243</v>
      </c>
      <c r="H71" s="7" t="s">
        <v>230</v>
      </c>
      <c r="I71" s="7" t="s">
        <v>372</v>
      </c>
      <c r="J71" s="7">
        <v>1</v>
      </c>
      <c r="K71" s="7">
        <v>1</v>
      </c>
      <c r="L71" s="7">
        <v>0</v>
      </c>
      <c r="M71" s="7">
        <v>1</v>
      </c>
      <c r="N71" s="7">
        <v>0</v>
      </c>
      <c r="O71" s="7">
        <v>18790</v>
      </c>
      <c r="P71" s="7" t="s">
        <v>285</v>
      </c>
      <c r="Q71" s="7"/>
      <c r="R71" s="7">
        <v>1</v>
      </c>
      <c r="S71" s="13">
        <v>1</v>
      </c>
    </row>
    <row r="72" spans="1:19" x14ac:dyDescent="0.35">
      <c r="A72" t="s">
        <v>185</v>
      </c>
      <c r="B72" s="1">
        <v>100</v>
      </c>
      <c r="C72" s="1">
        <v>23246</v>
      </c>
      <c r="D72" s="1">
        <v>230</v>
      </c>
      <c r="E72">
        <f>Table4[[#This Row],[SpellID]]-Table5[[#This Row],[Spell ID]]</f>
        <v>0</v>
      </c>
      <c r="G72" s="8">
        <v>23246</v>
      </c>
      <c r="H72" s="5" t="s">
        <v>185</v>
      </c>
      <c r="I72" s="5" t="s">
        <v>369</v>
      </c>
      <c r="J72" s="5">
        <v>1</v>
      </c>
      <c r="K72" s="5">
        <v>1</v>
      </c>
      <c r="L72" s="5">
        <v>0</v>
      </c>
      <c r="M72" s="5">
        <v>1</v>
      </c>
      <c r="N72" s="5">
        <v>0</v>
      </c>
      <c r="O72" s="5">
        <v>18791</v>
      </c>
      <c r="P72" s="5" t="s">
        <v>285</v>
      </c>
      <c r="Q72" s="5"/>
      <c r="R72" s="5">
        <v>1</v>
      </c>
      <c r="S72" s="14">
        <v>1</v>
      </c>
    </row>
    <row r="73" spans="1:19" x14ac:dyDescent="0.35">
      <c r="A73" t="s">
        <v>161</v>
      </c>
      <c r="B73" s="1">
        <v>101</v>
      </c>
      <c r="C73" s="1">
        <v>23247</v>
      </c>
      <c r="D73" s="1">
        <v>230</v>
      </c>
      <c r="E73">
        <f>Table4[[#This Row],[SpellID]]-Table5[[#This Row],[Spell ID]]</f>
        <v>0</v>
      </c>
      <c r="G73" s="6">
        <v>23247</v>
      </c>
      <c r="H73" s="7" t="s">
        <v>161</v>
      </c>
      <c r="I73" s="7" t="s">
        <v>375</v>
      </c>
      <c r="J73" s="7">
        <v>1</v>
      </c>
      <c r="K73" s="7">
        <v>1</v>
      </c>
      <c r="L73" s="7">
        <v>0</v>
      </c>
      <c r="M73" s="7">
        <v>1</v>
      </c>
      <c r="N73" s="7">
        <v>0</v>
      </c>
      <c r="O73" s="7">
        <v>18793</v>
      </c>
      <c r="P73" s="7" t="s">
        <v>285</v>
      </c>
      <c r="Q73" s="7"/>
      <c r="R73" s="7">
        <v>1</v>
      </c>
      <c r="S73" s="13">
        <v>1</v>
      </c>
    </row>
    <row r="74" spans="1:19" x14ac:dyDescent="0.35">
      <c r="A74" t="s">
        <v>157</v>
      </c>
      <c r="B74" s="1">
        <v>102</v>
      </c>
      <c r="C74" s="1">
        <v>23248</v>
      </c>
      <c r="D74" s="1">
        <v>230</v>
      </c>
      <c r="E74">
        <f>Table4[[#This Row],[SpellID]]-Table5[[#This Row],[Spell ID]]</f>
        <v>0</v>
      </c>
      <c r="G74" s="8">
        <v>23248</v>
      </c>
      <c r="H74" s="5" t="s">
        <v>157</v>
      </c>
      <c r="I74" s="5" t="s">
        <v>375</v>
      </c>
      <c r="J74" s="5">
        <v>1</v>
      </c>
      <c r="K74" s="5">
        <v>1</v>
      </c>
      <c r="L74" s="5">
        <v>0</v>
      </c>
      <c r="M74" s="5">
        <v>1</v>
      </c>
      <c r="N74" s="5">
        <v>0</v>
      </c>
      <c r="O74" s="5">
        <v>18795</v>
      </c>
      <c r="P74" s="5" t="s">
        <v>285</v>
      </c>
      <c r="Q74" s="5"/>
      <c r="R74" s="5">
        <v>1</v>
      </c>
      <c r="S74" s="14">
        <v>1</v>
      </c>
    </row>
    <row r="75" spans="1:19" x14ac:dyDescent="0.35">
      <c r="A75" t="s">
        <v>154</v>
      </c>
      <c r="B75" s="1">
        <v>103</v>
      </c>
      <c r="C75" s="1">
        <v>23249</v>
      </c>
      <c r="D75" s="1">
        <v>230</v>
      </c>
      <c r="E75">
        <f>Table4[[#This Row],[SpellID]]-Table5[[#This Row],[Spell ID]]</f>
        <v>0</v>
      </c>
      <c r="G75" s="6">
        <v>23249</v>
      </c>
      <c r="H75" s="7" t="s">
        <v>154</v>
      </c>
      <c r="I75" s="7" t="s">
        <v>375</v>
      </c>
      <c r="J75" s="7">
        <v>1</v>
      </c>
      <c r="K75" s="7">
        <v>1</v>
      </c>
      <c r="L75" s="7">
        <v>0</v>
      </c>
      <c r="M75" s="7">
        <v>1</v>
      </c>
      <c r="N75" s="7">
        <v>0</v>
      </c>
      <c r="O75" s="7">
        <v>18794</v>
      </c>
      <c r="P75" s="7" t="s">
        <v>285</v>
      </c>
      <c r="Q75" s="7"/>
      <c r="R75" s="7">
        <v>1</v>
      </c>
      <c r="S75" s="13">
        <v>1</v>
      </c>
    </row>
    <row r="76" spans="1:19" x14ac:dyDescent="0.35">
      <c r="A76" t="s">
        <v>217</v>
      </c>
      <c r="B76" s="1">
        <v>104</v>
      </c>
      <c r="C76" s="1">
        <v>23250</v>
      </c>
      <c r="D76" s="1">
        <v>230</v>
      </c>
      <c r="E76">
        <f>Table4[[#This Row],[SpellID]]-Table5[[#This Row],[Spell ID]]</f>
        <v>0</v>
      </c>
      <c r="G76" s="8">
        <v>23250</v>
      </c>
      <c r="H76" s="5" t="s">
        <v>217</v>
      </c>
      <c r="I76" s="5" t="s">
        <v>370</v>
      </c>
      <c r="J76" s="5">
        <v>1</v>
      </c>
      <c r="K76" s="5">
        <v>1</v>
      </c>
      <c r="L76" s="5">
        <v>0</v>
      </c>
      <c r="M76" s="5">
        <v>1</v>
      </c>
      <c r="N76" s="5">
        <v>0</v>
      </c>
      <c r="O76" s="5">
        <v>18796</v>
      </c>
      <c r="P76" s="5" t="s">
        <v>285</v>
      </c>
      <c r="Q76" s="5"/>
      <c r="R76" s="5">
        <v>1</v>
      </c>
      <c r="S76" s="14">
        <v>1</v>
      </c>
    </row>
    <row r="77" spans="1:19" x14ac:dyDescent="0.35">
      <c r="A77" t="s">
        <v>239</v>
      </c>
      <c r="B77" s="1">
        <v>105</v>
      </c>
      <c r="C77" s="1">
        <v>23251</v>
      </c>
      <c r="D77" s="1">
        <v>230</v>
      </c>
      <c r="E77">
        <f>Table4[[#This Row],[SpellID]]-Table5[[#This Row],[Spell ID]]</f>
        <v>0</v>
      </c>
      <c r="G77" s="6">
        <v>23251</v>
      </c>
      <c r="H77" s="7" t="s">
        <v>239</v>
      </c>
      <c r="I77" s="7" t="s">
        <v>370</v>
      </c>
      <c r="J77" s="7">
        <v>1</v>
      </c>
      <c r="K77" s="7">
        <v>1</v>
      </c>
      <c r="L77" s="7">
        <v>0</v>
      </c>
      <c r="M77" s="7">
        <v>1</v>
      </c>
      <c r="N77" s="7">
        <v>0</v>
      </c>
      <c r="O77" s="7">
        <v>18797</v>
      </c>
      <c r="P77" s="7" t="s">
        <v>285</v>
      </c>
      <c r="Q77" s="7"/>
      <c r="R77" s="7">
        <v>1</v>
      </c>
      <c r="S77" s="13">
        <v>1</v>
      </c>
    </row>
    <row r="78" spans="1:19" x14ac:dyDescent="0.35">
      <c r="A78" t="s">
        <v>223</v>
      </c>
      <c r="B78" s="1">
        <v>106</v>
      </c>
      <c r="C78" s="1">
        <v>23252</v>
      </c>
      <c r="D78" s="1">
        <v>230</v>
      </c>
      <c r="E78">
        <f>Table4[[#This Row],[SpellID]]-Table5[[#This Row],[Spell ID]]</f>
        <v>0</v>
      </c>
      <c r="G78" s="6">
        <v>23252</v>
      </c>
      <c r="H78" s="7" t="s">
        <v>223</v>
      </c>
      <c r="I78" s="7" t="s">
        <v>370</v>
      </c>
      <c r="J78" s="7">
        <v>1</v>
      </c>
      <c r="K78" s="7">
        <v>1</v>
      </c>
      <c r="L78" s="7">
        <v>0</v>
      </c>
      <c r="M78" s="7">
        <v>1</v>
      </c>
      <c r="N78" s="7">
        <v>0</v>
      </c>
      <c r="O78" s="7">
        <v>18798</v>
      </c>
      <c r="P78" s="7" t="s">
        <v>285</v>
      </c>
      <c r="Q78" s="7"/>
      <c r="R78" s="7">
        <v>1</v>
      </c>
      <c r="S78" s="13">
        <v>1</v>
      </c>
    </row>
    <row r="79" spans="1:19" x14ac:dyDescent="0.35">
      <c r="A79" t="s">
        <v>238</v>
      </c>
      <c r="B79" s="1">
        <v>107</v>
      </c>
      <c r="C79" s="1">
        <v>23338</v>
      </c>
      <c r="D79" s="1">
        <v>230</v>
      </c>
      <c r="E79">
        <f>Table4[[#This Row],[SpellID]]-Table5[[#This Row],[Spell ID]]</f>
        <v>0</v>
      </c>
      <c r="G79" s="8">
        <v>23338</v>
      </c>
      <c r="H79" s="5" t="s">
        <v>238</v>
      </c>
      <c r="I79" s="5" t="s">
        <v>373</v>
      </c>
      <c r="J79" s="5">
        <v>1</v>
      </c>
      <c r="K79" s="5">
        <v>1</v>
      </c>
      <c r="L79" s="5">
        <v>0</v>
      </c>
      <c r="M79" s="5">
        <v>1</v>
      </c>
      <c r="N79" s="5">
        <v>0</v>
      </c>
      <c r="O79" s="5">
        <v>18902</v>
      </c>
      <c r="P79" s="5" t="s">
        <v>410</v>
      </c>
      <c r="Q79" s="5">
        <v>1</v>
      </c>
      <c r="R79" s="5"/>
      <c r="S79" s="14">
        <v>1</v>
      </c>
    </row>
    <row r="80" spans="1:19" x14ac:dyDescent="0.35">
      <c r="A80" t="s">
        <v>142</v>
      </c>
      <c r="B80" s="1">
        <v>108</v>
      </c>
      <c r="C80" s="1">
        <v>23509</v>
      </c>
      <c r="D80" s="1">
        <v>230</v>
      </c>
      <c r="E80">
        <f>Table4[[#This Row],[SpellID]]-Table5[[#This Row],[Spell ID]]</f>
        <v>0</v>
      </c>
      <c r="G80" s="6">
        <v>23509</v>
      </c>
      <c r="H80" s="7" t="s">
        <v>142</v>
      </c>
      <c r="I80" s="7" t="s">
        <v>370</v>
      </c>
      <c r="J80" s="7">
        <v>1</v>
      </c>
      <c r="K80" s="7">
        <v>1</v>
      </c>
      <c r="L80" s="7">
        <v>0</v>
      </c>
      <c r="M80" s="7">
        <v>1</v>
      </c>
      <c r="N80" s="7">
        <v>0</v>
      </c>
      <c r="O80" s="7">
        <v>19029</v>
      </c>
      <c r="P80" s="7" t="s">
        <v>403</v>
      </c>
      <c r="Q80" s="7"/>
      <c r="R80" s="7">
        <v>1</v>
      </c>
      <c r="S80" s="13">
        <v>1</v>
      </c>
    </row>
    <row r="81" spans="1:19" x14ac:dyDescent="0.35">
      <c r="A81" t="s">
        <v>204</v>
      </c>
      <c r="B81" s="1">
        <v>109</v>
      </c>
      <c r="C81" s="1">
        <v>23510</v>
      </c>
      <c r="D81" s="1">
        <v>230</v>
      </c>
      <c r="E81">
        <f>Table4[[#This Row],[SpellID]]-Table5[[#This Row],[Spell ID]]</f>
        <v>0</v>
      </c>
      <c r="G81" s="8">
        <v>23510</v>
      </c>
      <c r="H81" s="5" t="s">
        <v>204</v>
      </c>
      <c r="I81" s="5" t="s">
        <v>371</v>
      </c>
      <c r="J81" s="5">
        <v>1</v>
      </c>
      <c r="K81" s="5">
        <v>1</v>
      </c>
      <c r="L81" s="5">
        <v>0</v>
      </c>
      <c r="M81" s="5">
        <v>1</v>
      </c>
      <c r="N81" s="5">
        <v>0</v>
      </c>
      <c r="O81" s="5">
        <v>19030</v>
      </c>
      <c r="P81" s="5" t="s">
        <v>403</v>
      </c>
      <c r="Q81" s="5">
        <v>1</v>
      </c>
      <c r="R81" s="5"/>
      <c r="S81" s="14">
        <v>1</v>
      </c>
    </row>
    <row r="82" spans="1:19" x14ac:dyDescent="0.35">
      <c r="A82" t="s">
        <v>235</v>
      </c>
      <c r="B82" s="1">
        <v>110</v>
      </c>
      <c r="C82" s="1">
        <v>24242</v>
      </c>
      <c r="D82" s="1">
        <v>230</v>
      </c>
      <c r="E82">
        <f>Table4[[#This Row],[SpellID]]-Table5[[#This Row],[Spell ID]]</f>
        <v>0</v>
      </c>
      <c r="G82" s="6">
        <v>24242</v>
      </c>
      <c r="H82" s="7" t="s">
        <v>235</v>
      </c>
      <c r="I82" s="7" t="s">
        <v>372</v>
      </c>
      <c r="J82" s="7">
        <v>1</v>
      </c>
      <c r="K82" s="7">
        <v>1</v>
      </c>
      <c r="L82" s="7">
        <v>0</v>
      </c>
      <c r="M82" s="7">
        <v>1</v>
      </c>
      <c r="N82" s="7">
        <v>0</v>
      </c>
      <c r="O82" s="7">
        <v>19872</v>
      </c>
      <c r="P82" s="7" t="s">
        <v>335</v>
      </c>
      <c r="Q82" s="7">
        <v>1</v>
      </c>
      <c r="R82" s="7">
        <v>1</v>
      </c>
      <c r="S82" s="13">
        <v>1</v>
      </c>
    </row>
    <row r="83" spans="1:19" x14ac:dyDescent="0.35">
      <c r="A83" t="s">
        <v>249</v>
      </c>
      <c r="B83" s="1">
        <v>111</v>
      </c>
      <c r="C83" s="1">
        <v>24252</v>
      </c>
      <c r="D83" s="1">
        <v>230</v>
      </c>
      <c r="E83">
        <f>Table4[[#This Row],[SpellID]]-Table5[[#This Row],[Spell ID]]</f>
        <v>0</v>
      </c>
      <c r="G83" s="8">
        <v>24252</v>
      </c>
      <c r="H83" s="5" t="s">
        <v>249</v>
      </c>
      <c r="I83" s="5" t="s">
        <v>373</v>
      </c>
      <c r="J83" s="5">
        <v>1</v>
      </c>
      <c r="K83" s="5">
        <v>1</v>
      </c>
      <c r="L83" s="5">
        <v>0</v>
      </c>
      <c r="M83" s="5">
        <v>1</v>
      </c>
      <c r="N83" s="5">
        <v>0</v>
      </c>
      <c r="O83" s="5">
        <v>19902</v>
      </c>
      <c r="P83" s="5" t="s">
        <v>335</v>
      </c>
      <c r="Q83" s="5">
        <v>1</v>
      </c>
      <c r="R83" s="5">
        <v>1</v>
      </c>
      <c r="S83" s="14">
        <v>1</v>
      </c>
    </row>
    <row r="84" spans="1:19" x14ac:dyDescent="0.35">
      <c r="A84" t="s">
        <v>108</v>
      </c>
      <c r="B84" s="1">
        <v>117</v>
      </c>
      <c r="C84" s="1">
        <v>25953</v>
      </c>
      <c r="D84" s="1">
        <v>241</v>
      </c>
      <c r="E84">
        <f>Table4[[#This Row],[SpellID]]-Table5[[#This Row],[Spell ID]]</f>
        <v>0</v>
      </c>
      <c r="G84" s="6">
        <v>25953</v>
      </c>
      <c r="H84" s="7" t="s">
        <v>108</v>
      </c>
      <c r="I84" s="7" t="s">
        <v>377</v>
      </c>
      <c r="J84" s="7">
        <v>1</v>
      </c>
      <c r="K84" s="7">
        <v>1</v>
      </c>
      <c r="L84" s="7">
        <v>0</v>
      </c>
      <c r="M84" s="7">
        <v>0</v>
      </c>
      <c r="N84" s="7">
        <v>1</v>
      </c>
      <c r="O84" s="7">
        <v>21218</v>
      </c>
      <c r="P84" s="7" t="s">
        <v>301</v>
      </c>
      <c r="Q84" s="7">
        <v>1</v>
      </c>
      <c r="R84" s="7">
        <v>1</v>
      </c>
      <c r="S84" s="13">
        <v>1</v>
      </c>
    </row>
    <row r="85" spans="1:19" x14ac:dyDescent="0.35">
      <c r="A85" t="s">
        <v>191</v>
      </c>
      <c r="B85" s="1">
        <v>118</v>
      </c>
      <c r="C85" s="1">
        <v>26054</v>
      </c>
      <c r="D85" s="1">
        <v>241</v>
      </c>
      <c r="E85">
        <f>Table4[[#This Row],[SpellID]]-Table5[[#This Row],[Spell ID]]</f>
        <v>0</v>
      </c>
      <c r="G85" s="8">
        <v>26054</v>
      </c>
      <c r="H85" s="5" t="s">
        <v>191</v>
      </c>
      <c r="I85" s="5" t="s">
        <v>377</v>
      </c>
      <c r="J85" s="5">
        <v>1</v>
      </c>
      <c r="K85" s="5">
        <v>1</v>
      </c>
      <c r="L85" s="5">
        <v>0</v>
      </c>
      <c r="M85" s="5">
        <v>0</v>
      </c>
      <c r="N85" s="5">
        <v>1</v>
      </c>
      <c r="O85" s="5">
        <v>21321</v>
      </c>
      <c r="P85" s="5" t="s">
        <v>322</v>
      </c>
      <c r="Q85" s="5">
        <v>1</v>
      </c>
      <c r="R85" s="5">
        <v>1</v>
      </c>
      <c r="S85" s="14">
        <v>1</v>
      </c>
    </row>
    <row r="86" spans="1:19" x14ac:dyDescent="0.35">
      <c r="A86" t="s">
        <v>275</v>
      </c>
      <c r="B86" s="1">
        <v>119</v>
      </c>
      <c r="C86" s="1">
        <v>26055</v>
      </c>
      <c r="D86" s="1">
        <v>241</v>
      </c>
      <c r="E86">
        <f>Table4[[#This Row],[SpellID]]-Table5[[#This Row],[Spell ID]]</f>
        <v>0</v>
      </c>
      <c r="G86" s="6">
        <v>26055</v>
      </c>
      <c r="H86" s="7" t="s">
        <v>275</v>
      </c>
      <c r="I86" s="7" t="s">
        <v>377</v>
      </c>
      <c r="J86" s="7">
        <v>1</v>
      </c>
      <c r="K86" s="7">
        <v>1</v>
      </c>
      <c r="L86" s="7">
        <v>0</v>
      </c>
      <c r="M86" s="7">
        <v>0</v>
      </c>
      <c r="N86" s="7">
        <v>1</v>
      </c>
      <c r="O86" s="7">
        <v>21324</v>
      </c>
      <c r="P86" s="7" t="s">
        <v>322</v>
      </c>
      <c r="Q86" s="7">
        <v>1</v>
      </c>
      <c r="R86" s="7">
        <v>1</v>
      </c>
      <c r="S86" s="13">
        <v>1</v>
      </c>
    </row>
    <row r="87" spans="1:19" x14ac:dyDescent="0.35">
      <c r="A87" t="s">
        <v>164</v>
      </c>
      <c r="B87" s="1">
        <v>120</v>
      </c>
      <c r="C87" s="1">
        <v>26056</v>
      </c>
      <c r="D87" s="1">
        <v>241</v>
      </c>
      <c r="E87">
        <f>Table4[[#This Row],[SpellID]]-Table5[[#This Row],[Spell ID]]</f>
        <v>0</v>
      </c>
      <c r="G87" s="8">
        <v>26056</v>
      </c>
      <c r="H87" s="5" t="s">
        <v>164</v>
      </c>
      <c r="I87" s="5" t="s">
        <v>377</v>
      </c>
      <c r="J87" s="5">
        <v>1</v>
      </c>
      <c r="K87" s="5">
        <v>1</v>
      </c>
      <c r="L87" s="5">
        <v>0</v>
      </c>
      <c r="M87" s="5">
        <v>0</v>
      </c>
      <c r="N87" s="5">
        <v>1</v>
      </c>
      <c r="O87" s="5">
        <v>21323</v>
      </c>
      <c r="P87" s="5" t="s">
        <v>322</v>
      </c>
      <c r="Q87" s="5">
        <v>1</v>
      </c>
      <c r="R87" s="5">
        <v>1</v>
      </c>
      <c r="S87" s="14">
        <v>1</v>
      </c>
    </row>
    <row r="88" spans="1:19" x14ac:dyDescent="0.35">
      <c r="A88" t="s">
        <v>92</v>
      </c>
      <c r="B88" s="1">
        <v>122</v>
      </c>
      <c r="C88" s="1">
        <v>26656</v>
      </c>
      <c r="D88" s="1">
        <v>230</v>
      </c>
      <c r="E88">
        <f>Table4[[#This Row],[SpellID]]-Table5[[#This Row],[Spell ID]]</f>
        <v>0</v>
      </c>
      <c r="G88" s="6">
        <v>26656</v>
      </c>
      <c r="H88" s="7" t="s">
        <v>92</v>
      </c>
      <c r="I88" s="7" t="s">
        <v>377</v>
      </c>
      <c r="J88" s="7">
        <v>1</v>
      </c>
      <c r="K88" s="7">
        <v>1</v>
      </c>
      <c r="L88" s="7">
        <v>0</v>
      </c>
      <c r="M88" s="7">
        <v>1</v>
      </c>
      <c r="N88" s="7">
        <v>1</v>
      </c>
      <c r="O88" s="7">
        <v>21176</v>
      </c>
      <c r="P88" s="7" t="s">
        <v>281</v>
      </c>
      <c r="Q88" s="7">
        <v>1</v>
      </c>
      <c r="R88" s="7">
        <v>1</v>
      </c>
      <c r="S88" s="13">
        <v>1</v>
      </c>
    </row>
    <row r="89" spans="1:19" x14ac:dyDescent="0.35">
      <c r="A89" t="s">
        <v>41</v>
      </c>
      <c r="B89" s="1">
        <v>123</v>
      </c>
      <c r="C89" s="1">
        <v>28828</v>
      </c>
      <c r="D89" s="1">
        <v>248</v>
      </c>
      <c r="E89">
        <f>Table4[[#This Row],[SpellID]]-Table5[[#This Row],[Spell ID]]</f>
        <v>0</v>
      </c>
      <c r="G89" s="8">
        <v>28828</v>
      </c>
      <c r="H89" s="5" t="s">
        <v>41</v>
      </c>
      <c r="I89" s="5" t="s">
        <v>41</v>
      </c>
      <c r="J89" s="5">
        <v>1.5</v>
      </c>
      <c r="K89" s="7">
        <v>1.5</v>
      </c>
      <c r="L89" s="5">
        <v>0</v>
      </c>
      <c r="M89" s="5">
        <v>1</v>
      </c>
      <c r="N89" s="5">
        <v>0</v>
      </c>
      <c r="O89" s="5">
        <v>0</v>
      </c>
      <c r="P89" s="5" t="s">
        <v>433</v>
      </c>
      <c r="Q89" s="5">
        <v>1</v>
      </c>
      <c r="R89" s="5">
        <v>1</v>
      </c>
      <c r="S89" s="14">
        <v>1</v>
      </c>
    </row>
    <row r="90" spans="1:19" x14ac:dyDescent="0.35">
      <c r="A90" t="s">
        <v>32</v>
      </c>
      <c r="B90" s="1">
        <v>129</v>
      </c>
      <c r="C90" s="1">
        <v>32235</v>
      </c>
      <c r="D90" s="1">
        <v>248</v>
      </c>
      <c r="E90">
        <f>Table4[[#This Row],[SpellID]]-Table5[[#This Row],[Spell ID]]</f>
        <v>0</v>
      </c>
      <c r="G90" s="6">
        <v>32235</v>
      </c>
      <c r="H90" s="7" t="s">
        <v>32</v>
      </c>
      <c r="I90" s="7" t="s">
        <v>380</v>
      </c>
      <c r="J90" s="7">
        <v>1.5</v>
      </c>
      <c r="K90" s="7">
        <v>1.5</v>
      </c>
      <c r="L90" s="7">
        <v>0</v>
      </c>
      <c r="M90" s="7">
        <v>1</v>
      </c>
      <c r="N90" s="7">
        <v>0</v>
      </c>
      <c r="O90" s="7">
        <v>25470</v>
      </c>
      <c r="P90" s="7" t="s">
        <v>285</v>
      </c>
      <c r="Q90" s="7">
        <v>1</v>
      </c>
      <c r="R90" s="7"/>
      <c r="S90" s="13">
        <v>1</v>
      </c>
    </row>
    <row r="91" spans="1:19" x14ac:dyDescent="0.35">
      <c r="A91" t="s">
        <v>25</v>
      </c>
      <c r="B91" s="1">
        <v>130</v>
      </c>
      <c r="C91" s="1">
        <v>32239</v>
      </c>
      <c r="D91" s="1">
        <v>248</v>
      </c>
      <c r="E91">
        <f>Table4[[#This Row],[SpellID]]-Table5[[#This Row],[Spell ID]]</f>
        <v>0</v>
      </c>
      <c r="G91" s="8">
        <v>32239</v>
      </c>
      <c r="H91" s="5" t="s">
        <v>25</v>
      </c>
      <c r="I91" s="5" t="s">
        <v>380</v>
      </c>
      <c r="J91" s="5">
        <v>1.5</v>
      </c>
      <c r="K91" s="5">
        <v>1.5</v>
      </c>
      <c r="L91" s="5">
        <v>0</v>
      </c>
      <c r="M91" s="5">
        <v>1</v>
      </c>
      <c r="N91" s="5">
        <v>0</v>
      </c>
      <c r="O91" s="5">
        <v>25471</v>
      </c>
      <c r="P91" s="5" t="s">
        <v>285</v>
      </c>
      <c r="Q91" s="5">
        <v>1</v>
      </c>
      <c r="R91" s="5"/>
      <c r="S91" s="14">
        <v>1</v>
      </c>
    </row>
    <row r="92" spans="1:19" x14ac:dyDescent="0.35">
      <c r="A92" t="s">
        <v>56</v>
      </c>
      <c r="B92" s="1">
        <v>131</v>
      </c>
      <c r="C92" s="1">
        <v>32240</v>
      </c>
      <c r="D92" s="1">
        <v>248</v>
      </c>
      <c r="E92">
        <f>Table4[[#This Row],[SpellID]]-Table5[[#This Row],[Spell ID]]</f>
        <v>0</v>
      </c>
      <c r="G92" s="6">
        <v>32240</v>
      </c>
      <c r="H92" s="7" t="s">
        <v>56</v>
      </c>
      <c r="I92" s="7" t="s">
        <v>380</v>
      </c>
      <c r="J92" s="7">
        <v>1.5</v>
      </c>
      <c r="K92" s="7">
        <v>1.5</v>
      </c>
      <c r="L92" s="7">
        <v>0</v>
      </c>
      <c r="M92" s="7">
        <v>1</v>
      </c>
      <c r="N92" s="7">
        <v>0</v>
      </c>
      <c r="O92" s="7">
        <v>25472</v>
      </c>
      <c r="P92" s="7" t="s">
        <v>285</v>
      </c>
      <c r="Q92" s="7">
        <v>1</v>
      </c>
      <c r="R92" s="7"/>
      <c r="S92" s="13">
        <v>1</v>
      </c>
    </row>
    <row r="93" spans="1:19" x14ac:dyDescent="0.35">
      <c r="A93" t="s">
        <v>58</v>
      </c>
      <c r="B93" s="1">
        <v>132</v>
      </c>
      <c r="C93" s="1">
        <v>32242</v>
      </c>
      <c r="D93" s="1">
        <v>248</v>
      </c>
      <c r="E93">
        <f>Table4[[#This Row],[SpellID]]-Table5[[#This Row],[Spell ID]]</f>
        <v>0</v>
      </c>
      <c r="G93" s="8">
        <v>32242</v>
      </c>
      <c r="H93" s="5" t="s">
        <v>58</v>
      </c>
      <c r="I93" s="5" t="s">
        <v>380</v>
      </c>
      <c r="J93" s="5">
        <v>2.8</v>
      </c>
      <c r="K93" s="5">
        <v>2.8</v>
      </c>
      <c r="L93" s="5">
        <v>0</v>
      </c>
      <c r="M93" s="5">
        <v>1</v>
      </c>
      <c r="N93" s="5">
        <v>0</v>
      </c>
      <c r="O93" s="5">
        <v>25473</v>
      </c>
      <c r="P93" s="5" t="s">
        <v>285</v>
      </c>
      <c r="Q93" s="5">
        <v>1</v>
      </c>
      <c r="R93" s="5"/>
      <c r="S93" s="14">
        <v>1</v>
      </c>
    </row>
    <row r="94" spans="1:19" x14ac:dyDescent="0.35">
      <c r="A94" t="s">
        <v>67</v>
      </c>
      <c r="B94" s="1">
        <v>133</v>
      </c>
      <c r="C94" s="1">
        <v>32243</v>
      </c>
      <c r="D94" s="1">
        <v>248</v>
      </c>
      <c r="E94">
        <f>Table4[[#This Row],[SpellID]]-Table5[[#This Row],[Spell ID]]</f>
        <v>0</v>
      </c>
      <c r="G94" s="6">
        <v>32243</v>
      </c>
      <c r="H94" s="7" t="s">
        <v>67</v>
      </c>
      <c r="I94" s="7" t="s">
        <v>381</v>
      </c>
      <c r="J94" s="7">
        <v>1.5</v>
      </c>
      <c r="K94" s="7">
        <v>1.5</v>
      </c>
      <c r="L94" s="7">
        <v>0</v>
      </c>
      <c r="M94" s="7">
        <v>1</v>
      </c>
      <c r="N94" s="7">
        <v>0</v>
      </c>
      <c r="O94" s="7">
        <v>25474</v>
      </c>
      <c r="P94" s="7" t="s">
        <v>285</v>
      </c>
      <c r="Q94" s="7"/>
      <c r="R94" s="7">
        <v>1</v>
      </c>
      <c r="S94" s="13">
        <v>1</v>
      </c>
    </row>
    <row r="95" spans="1:19" x14ac:dyDescent="0.35">
      <c r="A95" t="s">
        <v>19</v>
      </c>
      <c r="B95" s="1">
        <v>134</v>
      </c>
      <c r="C95" s="1">
        <v>32244</v>
      </c>
      <c r="D95" s="1">
        <v>248</v>
      </c>
      <c r="E95">
        <f>Table4[[#This Row],[SpellID]]-Table5[[#This Row],[Spell ID]]</f>
        <v>0</v>
      </c>
      <c r="G95" s="8">
        <v>32244</v>
      </c>
      <c r="H95" s="5" t="s">
        <v>19</v>
      </c>
      <c r="I95" s="5" t="s">
        <v>381</v>
      </c>
      <c r="J95" s="5">
        <v>1.5</v>
      </c>
      <c r="K95" s="5">
        <v>1.5</v>
      </c>
      <c r="L95" s="5">
        <v>0</v>
      </c>
      <c r="M95" s="5">
        <v>1</v>
      </c>
      <c r="N95" s="5">
        <v>0</v>
      </c>
      <c r="O95" s="5">
        <v>25475</v>
      </c>
      <c r="P95" s="5" t="s">
        <v>285</v>
      </c>
      <c r="Q95" s="5"/>
      <c r="R95" s="5">
        <v>1</v>
      </c>
      <c r="S95" s="14">
        <v>1</v>
      </c>
    </row>
    <row r="96" spans="1:19" x14ac:dyDescent="0.35">
      <c r="A96" t="s">
        <v>35</v>
      </c>
      <c r="B96" s="1">
        <v>135</v>
      </c>
      <c r="C96" s="1">
        <v>32245</v>
      </c>
      <c r="D96" s="1">
        <v>248</v>
      </c>
      <c r="E96">
        <f>Table4[[#This Row],[SpellID]]-Table5[[#This Row],[Spell ID]]</f>
        <v>0</v>
      </c>
      <c r="G96" s="6">
        <v>32245</v>
      </c>
      <c r="H96" s="7" t="s">
        <v>35</v>
      </c>
      <c r="I96" s="7" t="s">
        <v>381</v>
      </c>
      <c r="J96" s="7">
        <v>1.5</v>
      </c>
      <c r="K96" s="7">
        <v>1.5</v>
      </c>
      <c r="L96" s="7">
        <v>0</v>
      </c>
      <c r="M96" s="7">
        <v>1</v>
      </c>
      <c r="N96" s="7">
        <v>0</v>
      </c>
      <c r="O96" s="7">
        <v>25476</v>
      </c>
      <c r="P96" s="7" t="s">
        <v>285</v>
      </c>
      <c r="Q96" s="7"/>
      <c r="R96" s="7">
        <v>1</v>
      </c>
      <c r="S96" s="13">
        <v>1</v>
      </c>
    </row>
    <row r="97" spans="1:19" x14ac:dyDescent="0.35">
      <c r="A97" t="s">
        <v>65</v>
      </c>
      <c r="B97" s="1">
        <v>136</v>
      </c>
      <c r="C97" s="1">
        <v>32246</v>
      </c>
      <c r="D97" s="1">
        <v>248</v>
      </c>
      <c r="E97">
        <f>Table4[[#This Row],[SpellID]]-Table5[[#This Row],[Spell ID]]</f>
        <v>0</v>
      </c>
      <c r="G97" s="8">
        <v>32246</v>
      </c>
      <c r="H97" s="5" t="s">
        <v>65</v>
      </c>
      <c r="I97" s="5" t="s">
        <v>381</v>
      </c>
      <c r="J97" s="5">
        <v>2.8</v>
      </c>
      <c r="K97" s="5">
        <v>2.8</v>
      </c>
      <c r="L97" s="5">
        <v>0</v>
      </c>
      <c r="M97" s="5">
        <v>1</v>
      </c>
      <c r="N97" s="5">
        <v>0</v>
      </c>
      <c r="O97" s="5">
        <v>25477</v>
      </c>
      <c r="P97" s="5" t="s">
        <v>285</v>
      </c>
      <c r="Q97" s="5"/>
      <c r="R97" s="5">
        <v>1</v>
      </c>
      <c r="S97" s="14">
        <v>1</v>
      </c>
    </row>
    <row r="98" spans="1:19" x14ac:dyDescent="0.35">
      <c r="A98" t="s">
        <v>64</v>
      </c>
      <c r="B98" s="1">
        <v>137</v>
      </c>
      <c r="C98" s="1">
        <v>32289</v>
      </c>
      <c r="D98" s="1">
        <v>248</v>
      </c>
      <c r="E98">
        <f>Table4[[#This Row],[SpellID]]-Table5[[#This Row],[Spell ID]]</f>
        <v>0</v>
      </c>
      <c r="G98" s="6">
        <v>32289</v>
      </c>
      <c r="H98" s="7" t="s">
        <v>64</v>
      </c>
      <c r="I98" s="7" t="s">
        <v>380</v>
      </c>
      <c r="J98" s="7">
        <v>2.8</v>
      </c>
      <c r="K98" s="7">
        <v>2.8</v>
      </c>
      <c r="L98" s="7">
        <v>0</v>
      </c>
      <c r="M98" s="7">
        <v>1</v>
      </c>
      <c r="N98" s="7">
        <v>0</v>
      </c>
      <c r="O98" s="7">
        <v>25527</v>
      </c>
      <c r="P98" s="7" t="s">
        <v>285</v>
      </c>
      <c r="Q98" s="7">
        <v>1</v>
      </c>
      <c r="R98" s="7"/>
      <c r="S98" s="13">
        <v>1</v>
      </c>
    </row>
    <row r="99" spans="1:19" x14ac:dyDescent="0.35">
      <c r="A99" t="s">
        <v>59</v>
      </c>
      <c r="B99" s="1">
        <v>138</v>
      </c>
      <c r="C99" s="1">
        <v>32290</v>
      </c>
      <c r="D99" s="1">
        <v>248</v>
      </c>
      <c r="E99">
        <f>Table4[[#This Row],[SpellID]]-Table5[[#This Row],[Spell ID]]</f>
        <v>0</v>
      </c>
      <c r="G99" s="8">
        <v>32290</v>
      </c>
      <c r="H99" s="5" t="s">
        <v>59</v>
      </c>
      <c r="I99" s="5" t="s">
        <v>380</v>
      </c>
      <c r="J99" s="5">
        <v>2.8</v>
      </c>
      <c r="K99" s="5">
        <v>2.8</v>
      </c>
      <c r="L99" s="5">
        <v>0</v>
      </c>
      <c r="M99" s="5">
        <v>1</v>
      </c>
      <c r="N99" s="5">
        <v>0</v>
      </c>
      <c r="O99" s="5">
        <v>25528</v>
      </c>
      <c r="P99" s="5" t="s">
        <v>285</v>
      </c>
      <c r="Q99" s="5">
        <v>1</v>
      </c>
      <c r="R99" s="5"/>
      <c r="S99" s="14">
        <v>1</v>
      </c>
    </row>
    <row r="100" spans="1:19" x14ac:dyDescent="0.35">
      <c r="A100" t="s">
        <v>62</v>
      </c>
      <c r="B100" s="1">
        <v>139</v>
      </c>
      <c r="C100" s="1">
        <v>32292</v>
      </c>
      <c r="D100" s="1">
        <v>248</v>
      </c>
      <c r="E100">
        <f>Table4[[#This Row],[SpellID]]-Table5[[#This Row],[Spell ID]]</f>
        <v>0</v>
      </c>
      <c r="G100" s="6">
        <v>32292</v>
      </c>
      <c r="H100" s="7" t="s">
        <v>62</v>
      </c>
      <c r="I100" s="7" t="s">
        <v>380</v>
      </c>
      <c r="J100" s="7">
        <v>2.8</v>
      </c>
      <c r="K100" s="7">
        <v>2.8</v>
      </c>
      <c r="L100" s="7">
        <v>0</v>
      </c>
      <c r="M100" s="7">
        <v>1</v>
      </c>
      <c r="N100" s="7">
        <v>0</v>
      </c>
      <c r="O100" s="7">
        <v>25529</v>
      </c>
      <c r="P100" s="7" t="s">
        <v>285</v>
      </c>
      <c r="Q100" s="7">
        <v>1</v>
      </c>
      <c r="R100" s="7"/>
      <c r="S100" s="13">
        <v>1</v>
      </c>
    </row>
    <row r="101" spans="1:19" x14ac:dyDescent="0.35">
      <c r="A101" t="s">
        <v>60</v>
      </c>
      <c r="B101" s="1">
        <v>140</v>
      </c>
      <c r="C101" s="1">
        <v>32295</v>
      </c>
      <c r="D101" s="1">
        <v>248</v>
      </c>
      <c r="E101">
        <f>Table4[[#This Row],[SpellID]]-Table5[[#This Row],[Spell ID]]</f>
        <v>0</v>
      </c>
      <c r="G101" s="8">
        <v>32295</v>
      </c>
      <c r="H101" s="5" t="s">
        <v>60</v>
      </c>
      <c r="I101" s="5" t="s">
        <v>381</v>
      </c>
      <c r="J101" s="5">
        <v>2.8</v>
      </c>
      <c r="K101" s="5">
        <v>2.8</v>
      </c>
      <c r="L101" s="5">
        <v>0</v>
      </c>
      <c r="M101" s="5">
        <v>1</v>
      </c>
      <c r="N101" s="5">
        <v>0</v>
      </c>
      <c r="O101" s="5">
        <v>25531</v>
      </c>
      <c r="P101" s="5" t="s">
        <v>285</v>
      </c>
      <c r="Q101" s="5"/>
      <c r="R101" s="5">
        <v>1</v>
      </c>
      <c r="S101" s="14">
        <v>1</v>
      </c>
    </row>
    <row r="102" spans="1:19" x14ac:dyDescent="0.35">
      <c r="A102" t="s">
        <v>66</v>
      </c>
      <c r="B102" s="1">
        <v>141</v>
      </c>
      <c r="C102" s="1">
        <v>32296</v>
      </c>
      <c r="D102" s="1">
        <v>248</v>
      </c>
      <c r="E102">
        <f>Table4[[#This Row],[SpellID]]-Table5[[#This Row],[Spell ID]]</f>
        <v>0</v>
      </c>
      <c r="G102" s="6">
        <v>32296</v>
      </c>
      <c r="H102" s="7" t="s">
        <v>66</v>
      </c>
      <c r="I102" s="7" t="s">
        <v>381</v>
      </c>
      <c r="J102" s="7">
        <v>2.8</v>
      </c>
      <c r="K102" s="7">
        <v>2.8</v>
      </c>
      <c r="L102" s="7">
        <v>0</v>
      </c>
      <c r="M102" s="7">
        <v>1</v>
      </c>
      <c r="N102" s="7">
        <v>0</v>
      </c>
      <c r="O102" s="7">
        <v>25532</v>
      </c>
      <c r="P102" s="7" t="s">
        <v>285</v>
      </c>
      <c r="Q102" s="7"/>
      <c r="R102" s="7">
        <v>1</v>
      </c>
      <c r="S102" s="13">
        <v>1</v>
      </c>
    </row>
    <row r="103" spans="1:19" x14ac:dyDescent="0.35">
      <c r="A103" t="s">
        <v>63</v>
      </c>
      <c r="B103" s="1">
        <v>142</v>
      </c>
      <c r="C103" s="1">
        <v>32297</v>
      </c>
      <c r="D103" s="1">
        <v>248</v>
      </c>
      <c r="E103">
        <f>Table4[[#This Row],[SpellID]]-Table5[[#This Row],[Spell ID]]</f>
        <v>0</v>
      </c>
      <c r="G103" s="8">
        <v>32297</v>
      </c>
      <c r="H103" s="5" t="s">
        <v>63</v>
      </c>
      <c r="I103" s="5" t="s">
        <v>381</v>
      </c>
      <c r="J103" s="5">
        <v>2.8</v>
      </c>
      <c r="K103" s="5">
        <v>2.8</v>
      </c>
      <c r="L103" s="5">
        <v>0</v>
      </c>
      <c r="M103" s="5">
        <v>1</v>
      </c>
      <c r="N103" s="5">
        <v>0</v>
      </c>
      <c r="O103" s="5">
        <v>25533</v>
      </c>
      <c r="P103" s="5" t="s">
        <v>285</v>
      </c>
      <c r="Q103" s="5"/>
      <c r="R103" s="5">
        <v>1</v>
      </c>
      <c r="S103" s="14">
        <v>1</v>
      </c>
    </row>
    <row r="104" spans="1:19" x14ac:dyDescent="0.35">
      <c r="A104" t="s">
        <v>107</v>
      </c>
      <c r="B104" s="1">
        <v>145</v>
      </c>
      <c r="C104" s="1">
        <v>33630</v>
      </c>
      <c r="D104" s="1">
        <v>230</v>
      </c>
      <c r="E104">
        <f>Table4[[#This Row],[SpellID]]-Table5[[#This Row],[Spell ID]]</f>
        <v>0</v>
      </c>
      <c r="G104" s="6">
        <v>33630</v>
      </c>
      <c r="H104" s="7" t="s">
        <v>107</v>
      </c>
      <c r="I104" s="7" t="s">
        <v>365</v>
      </c>
      <c r="J104" s="7">
        <v>0.6</v>
      </c>
      <c r="K104" s="7">
        <v>0.6</v>
      </c>
      <c r="L104" s="7">
        <v>0</v>
      </c>
      <c r="M104" s="7">
        <v>1</v>
      </c>
      <c r="N104" s="7">
        <v>0</v>
      </c>
      <c r="O104" s="7">
        <v>8595</v>
      </c>
      <c r="P104" s="7" t="s">
        <v>414</v>
      </c>
      <c r="Q104" s="7">
        <v>1</v>
      </c>
      <c r="R104" s="7"/>
      <c r="S104" s="13">
        <v>1</v>
      </c>
    </row>
    <row r="105" spans="1:19" x14ac:dyDescent="0.35">
      <c r="A105" t="s">
        <v>232</v>
      </c>
      <c r="B105" s="1">
        <v>146</v>
      </c>
      <c r="C105" s="1">
        <v>33660</v>
      </c>
      <c r="D105" s="1">
        <v>230</v>
      </c>
      <c r="E105">
        <f>Table4[[#This Row],[SpellID]]-Table5[[#This Row],[Spell ID]]</f>
        <v>0</v>
      </c>
      <c r="G105" s="8">
        <v>33660</v>
      </c>
      <c r="H105" s="5" t="s">
        <v>232</v>
      </c>
      <c r="I105" s="5" t="s">
        <v>384</v>
      </c>
      <c r="J105" s="5">
        <v>1</v>
      </c>
      <c r="K105" s="5">
        <v>1</v>
      </c>
      <c r="L105" s="5">
        <v>0</v>
      </c>
      <c r="M105" s="5">
        <v>1</v>
      </c>
      <c r="N105" s="5">
        <v>0</v>
      </c>
      <c r="O105" s="5">
        <v>28936</v>
      </c>
      <c r="P105" s="5" t="s">
        <v>285</v>
      </c>
      <c r="Q105" s="5"/>
      <c r="R105" s="5">
        <v>1</v>
      </c>
      <c r="S105" s="14">
        <v>1</v>
      </c>
    </row>
    <row r="106" spans="1:19" x14ac:dyDescent="0.35">
      <c r="A106" t="s">
        <v>115</v>
      </c>
      <c r="B106" s="1">
        <v>147</v>
      </c>
      <c r="C106" s="1">
        <v>34406</v>
      </c>
      <c r="D106" s="1">
        <v>230</v>
      </c>
      <c r="E106">
        <f>Table4[[#This Row],[SpellID]]-Table5[[#This Row],[Spell ID]]</f>
        <v>0</v>
      </c>
      <c r="G106" s="6">
        <v>34406</v>
      </c>
      <c r="H106" s="7" t="s">
        <v>115</v>
      </c>
      <c r="I106" s="7" t="s">
        <v>367</v>
      </c>
      <c r="J106" s="7">
        <v>0.6</v>
      </c>
      <c r="K106" s="7">
        <v>0.6</v>
      </c>
      <c r="L106" s="7">
        <v>0</v>
      </c>
      <c r="M106" s="7">
        <v>1</v>
      </c>
      <c r="N106" s="7">
        <v>0</v>
      </c>
      <c r="O106" s="7">
        <v>28481</v>
      </c>
      <c r="P106" s="7" t="s">
        <v>416</v>
      </c>
      <c r="Q106" s="7">
        <v>1</v>
      </c>
      <c r="R106" s="7"/>
      <c r="S106" s="13">
        <v>1</v>
      </c>
    </row>
    <row r="107" spans="1:19" x14ac:dyDescent="0.35">
      <c r="A107" t="s">
        <v>431</v>
      </c>
      <c r="B107" s="1">
        <v>149</v>
      </c>
      <c r="C107" s="1">
        <v>34767</v>
      </c>
      <c r="D107" s="1">
        <v>230</v>
      </c>
      <c r="E107">
        <f>Table4[[#This Row],[SpellID]]-Table5[[#This Row],[Spell ID]]</f>
        <v>0</v>
      </c>
      <c r="G107" s="6">
        <v>34767</v>
      </c>
      <c r="H107" s="7" t="s">
        <v>209</v>
      </c>
      <c r="I107" s="7" t="s">
        <v>307</v>
      </c>
      <c r="J107" s="7">
        <v>1</v>
      </c>
      <c r="K107" s="7">
        <v>1</v>
      </c>
      <c r="L107" s="7">
        <v>0</v>
      </c>
      <c r="M107" s="7">
        <v>1</v>
      </c>
      <c r="N107" s="7">
        <v>0</v>
      </c>
      <c r="O107" s="7">
        <v>0</v>
      </c>
      <c r="P107" s="7" t="s">
        <v>363</v>
      </c>
      <c r="Q107" s="7">
        <v>1</v>
      </c>
      <c r="R107" s="7">
        <v>1</v>
      </c>
      <c r="S107" s="13">
        <v>1</v>
      </c>
    </row>
    <row r="108" spans="1:19" x14ac:dyDescent="0.35">
      <c r="A108" t="s">
        <v>427</v>
      </c>
      <c r="B108" s="1">
        <v>150</v>
      </c>
      <c r="C108" s="1">
        <v>34769</v>
      </c>
      <c r="D108" s="1">
        <v>230</v>
      </c>
      <c r="E108">
        <f>Table4[[#This Row],[SpellID]]-Table5[[#This Row],[Spell ID]]</f>
        <v>0</v>
      </c>
      <c r="G108" s="8">
        <v>34769</v>
      </c>
      <c r="H108" s="5" t="s">
        <v>210</v>
      </c>
      <c r="I108" s="5" t="s">
        <v>307</v>
      </c>
      <c r="J108" s="5">
        <v>0.6</v>
      </c>
      <c r="K108" s="5">
        <v>0.6</v>
      </c>
      <c r="L108" s="5">
        <v>0</v>
      </c>
      <c r="M108" s="5">
        <v>1</v>
      </c>
      <c r="N108" s="5">
        <v>0</v>
      </c>
      <c r="O108" s="5">
        <v>0</v>
      </c>
      <c r="P108" s="5" t="s">
        <v>363</v>
      </c>
      <c r="Q108" s="5">
        <v>1</v>
      </c>
      <c r="R108" s="5">
        <v>1</v>
      </c>
      <c r="S108" s="14">
        <v>1</v>
      </c>
    </row>
    <row r="109" spans="1:19" x14ac:dyDescent="0.35">
      <c r="A109" t="s">
        <v>130</v>
      </c>
      <c r="B109" s="1">
        <v>151</v>
      </c>
      <c r="C109" s="1">
        <v>34790</v>
      </c>
      <c r="D109" s="1">
        <v>230</v>
      </c>
      <c r="E109">
        <f>Table4[[#This Row],[SpellID]]-Table5[[#This Row],[Spell ID]]</f>
        <v>0</v>
      </c>
      <c r="G109" s="6">
        <v>34790</v>
      </c>
      <c r="H109" s="7" t="s">
        <v>130</v>
      </c>
      <c r="I109" s="7" t="s">
        <v>383</v>
      </c>
      <c r="J109" s="7">
        <v>1</v>
      </c>
      <c r="K109" s="7">
        <v>1</v>
      </c>
      <c r="L109" s="7">
        <v>0</v>
      </c>
      <c r="M109" s="7">
        <v>1</v>
      </c>
      <c r="N109" s="7">
        <v>0</v>
      </c>
      <c r="O109" s="7">
        <v>29228</v>
      </c>
      <c r="P109" s="7" t="s">
        <v>364</v>
      </c>
      <c r="Q109" s="7">
        <v>1</v>
      </c>
      <c r="R109" s="7">
        <v>1</v>
      </c>
      <c r="S109" s="13">
        <v>1</v>
      </c>
    </row>
    <row r="110" spans="1:19" x14ac:dyDescent="0.35">
      <c r="A110" t="s">
        <v>189</v>
      </c>
      <c r="B110" s="1">
        <v>152</v>
      </c>
      <c r="C110" s="1">
        <v>34795</v>
      </c>
      <c r="D110" s="1">
        <v>230</v>
      </c>
      <c r="E110">
        <f>Table4[[#This Row],[SpellID]]-Table5[[#This Row],[Spell ID]]</f>
        <v>0</v>
      </c>
      <c r="G110" s="8">
        <v>34795</v>
      </c>
      <c r="H110" s="5" t="s">
        <v>189</v>
      </c>
      <c r="I110" s="5" t="s">
        <v>384</v>
      </c>
      <c r="J110" s="5">
        <v>0.6</v>
      </c>
      <c r="K110" s="5">
        <v>0.6</v>
      </c>
      <c r="L110" s="5">
        <v>0</v>
      </c>
      <c r="M110" s="5">
        <v>1</v>
      </c>
      <c r="N110" s="5">
        <v>0</v>
      </c>
      <c r="O110" s="5">
        <v>28927</v>
      </c>
      <c r="P110" s="5" t="s">
        <v>285</v>
      </c>
      <c r="Q110" s="5"/>
      <c r="R110" s="5">
        <v>1</v>
      </c>
      <c r="S110" s="14">
        <v>1</v>
      </c>
    </row>
    <row r="111" spans="1:19" x14ac:dyDescent="0.35">
      <c r="A111" t="s">
        <v>125</v>
      </c>
      <c r="B111" s="1">
        <v>153</v>
      </c>
      <c r="C111" s="1">
        <v>34896</v>
      </c>
      <c r="D111" s="1">
        <v>230</v>
      </c>
      <c r="E111">
        <f>Table4[[#This Row],[SpellID]]-Table5[[#This Row],[Spell ID]]</f>
        <v>0</v>
      </c>
      <c r="G111" s="8">
        <v>34896</v>
      </c>
      <c r="H111" s="5" t="s">
        <v>125</v>
      </c>
      <c r="I111" s="5" t="s">
        <v>383</v>
      </c>
      <c r="J111" s="5">
        <v>1</v>
      </c>
      <c r="K111" s="5">
        <v>1</v>
      </c>
      <c r="L111" s="5">
        <v>0</v>
      </c>
      <c r="M111" s="5">
        <v>1</v>
      </c>
      <c r="N111" s="5">
        <v>0</v>
      </c>
      <c r="O111" s="5">
        <v>29227</v>
      </c>
      <c r="P111" s="5" t="s">
        <v>417</v>
      </c>
      <c r="Q111" s="5">
        <v>1</v>
      </c>
      <c r="R111" s="5"/>
      <c r="S111" s="14">
        <v>1</v>
      </c>
    </row>
    <row r="112" spans="1:19" x14ac:dyDescent="0.35">
      <c r="A112" t="s">
        <v>270</v>
      </c>
      <c r="B112" s="1">
        <v>154</v>
      </c>
      <c r="C112" s="1">
        <v>34897</v>
      </c>
      <c r="D112" s="1">
        <v>230</v>
      </c>
      <c r="E112">
        <f>Table4[[#This Row],[SpellID]]-Table5[[#This Row],[Spell ID]]</f>
        <v>0</v>
      </c>
      <c r="G112" s="8">
        <v>34897</v>
      </c>
      <c r="H112" s="5" t="s">
        <v>270</v>
      </c>
      <c r="I112" s="5" t="s">
        <v>383</v>
      </c>
      <c r="J112" s="5">
        <v>1</v>
      </c>
      <c r="K112" s="5">
        <v>1</v>
      </c>
      <c r="L112" s="5">
        <v>0</v>
      </c>
      <c r="M112" s="5">
        <v>1</v>
      </c>
      <c r="N112" s="5">
        <v>0</v>
      </c>
      <c r="O112" s="5">
        <v>29231</v>
      </c>
      <c r="P112" s="5" t="s">
        <v>417</v>
      </c>
      <c r="Q112" s="5">
        <v>1</v>
      </c>
      <c r="R112" s="5"/>
      <c r="S112" s="14">
        <v>1</v>
      </c>
    </row>
    <row r="113" spans="1:19" x14ac:dyDescent="0.35">
      <c r="A113" t="s">
        <v>198</v>
      </c>
      <c r="B113" s="1">
        <v>155</v>
      </c>
      <c r="C113" s="1">
        <v>34898</v>
      </c>
      <c r="D113" s="1">
        <v>230</v>
      </c>
      <c r="E113">
        <f>Table4[[#This Row],[SpellID]]-Table5[[#This Row],[Spell ID]]</f>
        <v>0</v>
      </c>
      <c r="G113" s="8">
        <v>34898</v>
      </c>
      <c r="H113" s="5" t="s">
        <v>198</v>
      </c>
      <c r="I113" s="5" t="s">
        <v>383</v>
      </c>
      <c r="J113" s="5">
        <v>1</v>
      </c>
      <c r="K113" s="5">
        <v>1</v>
      </c>
      <c r="L113" s="5">
        <v>0</v>
      </c>
      <c r="M113" s="5">
        <v>1</v>
      </c>
      <c r="N113" s="5">
        <v>0</v>
      </c>
      <c r="O113" s="5">
        <v>29229</v>
      </c>
      <c r="P113" s="5" t="s">
        <v>417</v>
      </c>
      <c r="Q113" s="5">
        <v>1</v>
      </c>
      <c r="R113" s="5"/>
      <c r="S113" s="14">
        <v>1</v>
      </c>
    </row>
    <row r="114" spans="1:19" x14ac:dyDescent="0.35">
      <c r="A114" t="s">
        <v>251</v>
      </c>
      <c r="B114" s="1">
        <v>156</v>
      </c>
      <c r="C114" s="1">
        <v>34899</v>
      </c>
      <c r="D114" s="1">
        <v>230</v>
      </c>
      <c r="E114">
        <f>Table4[[#This Row],[SpellID]]-Table5[[#This Row],[Spell ID]]</f>
        <v>0</v>
      </c>
      <c r="G114" s="8">
        <v>34899</v>
      </c>
      <c r="H114" s="5" t="s">
        <v>251</v>
      </c>
      <c r="I114" s="5" t="s">
        <v>383</v>
      </c>
      <c r="J114" s="5">
        <v>1</v>
      </c>
      <c r="K114" s="5">
        <v>1</v>
      </c>
      <c r="L114" s="5">
        <v>0</v>
      </c>
      <c r="M114" s="5">
        <v>1</v>
      </c>
      <c r="N114" s="5">
        <v>0</v>
      </c>
      <c r="O114" s="5">
        <v>29230</v>
      </c>
      <c r="P114" s="5" t="s">
        <v>417</v>
      </c>
      <c r="Q114" s="5">
        <v>1</v>
      </c>
      <c r="R114" s="5"/>
      <c r="S114" s="14">
        <v>1</v>
      </c>
    </row>
    <row r="115" spans="1:19" x14ac:dyDescent="0.35">
      <c r="A115" t="s">
        <v>183</v>
      </c>
      <c r="B115" s="1">
        <v>157</v>
      </c>
      <c r="C115" s="1">
        <v>35018</v>
      </c>
      <c r="D115" s="1">
        <v>230</v>
      </c>
      <c r="E115">
        <f>Table4[[#This Row],[SpellID]]-Table5[[#This Row],[Spell ID]]</f>
        <v>0</v>
      </c>
      <c r="G115" s="6">
        <v>35018</v>
      </c>
      <c r="H115" s="7" t="s">
        <v>183</v>
      </c>
      <c r="I115" s="7" t="s">
        <v>384</v>
      </c>
      <c r="J115" s="7">
        <v>0.6</v>
      </c>
      <c r="K115" s="7">
        <v>0.6</v>
      </c>
      <c r="L115" s="7">
        <v>0</v>
      </c>
      <c r="M115" s="7">
        <v>1</v>
      </c>
      <c r="N115" s="7">
        <v>0</v>
      </c>
      <c r="O115" s="7">
        <v>29222</v>
      </c>
      <c r="P115" s="7" t="s">
        <v>285</v>
      </c>
      <c r="Q115" s="7"/>
      <c r="R115" s="7">
        <v>1</v>
      </c>
      <c r="S115" s="13">
        <v>1</v>
      </c>
    </row>
    <row r="116" spans="1:19" x14ac:dyDescent="0.35">
      <c r="A116" t="s">
        <v>106</v>
      </c>
      <c r="B116" s="1">
        <v>158</v>
      </c>
      <c r="C116" s="1">
        <v>35020</v>
      </c>
      <c r="D116" s="1">
        <v>230</v>
      </c>
      <c r="E116">
        <f>Table4[[#This Row],[SpellID]]-Table5[[#This Row],[Spell ID]]</f>
        <v>0</v>
      </c>
      <c r="G116" s="8">
        <v>35020</v>
      </c>
      <c r="H116" s="5" t="s">
        <v>106</v>
      </c>
      <c r="I116" s="5" t="s">
        <v>384</v>
      </c>
      <c r="J116" s="5">
        <v>0.6</v>
      </c>
      <c r="K116" s="5">
        <v>0.6</v>
      </c>
      <c r="L116" s="5">
        <v>0</v>
      </c>
      <c r="M116" s="5">
        <v>1</v>
      </c>
      <c r="N116" s="5">
        <v>0</v>
      </c>
      <c r="O116" s="5">
        <v>29220</v>
      </c>
      <c r="P116" s="5" t="s">
        <v>285</v>
      </c>
      <c r="Q116" s="5"/>
      <c r="R116" s="5">
        <v>1</v>
      </c>
      <c r="S116" s="14">
        <v>1</v>
      </c>
    </row>
    <row r="117" spans="1:19" x14ac:dyDescent="0.35">
      <c r="A117" t="s">
        <v>89</v>
      </c>
      <c r="B117" s="1">
        <v>159</v>
      </c>
      <c r="C117" s="1">
        <v>35022</v>
      </c>
      <c r="D117" s="1">
        <v>230</v>
      </c>
      <c r="E117">
        <f>Table4[[#This Row],[SpellID]]-Table5[[#This Row],[Spell ID]]</f>
        <v>0</v>
      </c>
      <c r="G117" s="6">
        <v>35022</v>
      </c>
      <c r="H117" s="7" t="s">
        <v>89</v>
      </c>
      <c r="I117" s="7" t="s">
        <v>384</v>
      </c>
      <c r="J117" s="7">
        <v>0.6</v>
      </c>
      <c r="K117" s="7">
        <v>0.6</v>
      </c>
      <c r="L117" s="7">
        <v>0</v>
      </c>
      <c r="M117" s="7">
        <v>1</v>
      </c>
      <c r="N117" s="7">
        <v>0</v>
      </c>
      <c r="O117" s="7">
        <v>29221</v>
      </c>
      <c r="P117" s="7" t="s">
        <v>285</v>
      </c>
      <c r="Q117" s="7"/>
      <c r="R117" s="7">
        <v>1</v>
      </c>
      <c r="S117" s="13">
        <v>1</v>
      </c>
    </row>
    <row r="118" spans="1:19" x14ac:dyDescent="0.35">
      <c r="A118" t="s">
        <v>224</v>
      </c>
      <c r="B118" s="1">
        <v>160</v>
      </c>
      <c r="C118" s="1">
        <v>35025</v>
      </c>
      <c r="D118" s="1">
        <v>230</v>
      </c>
      <c r="E118">
        <f>Table4[[#This Row],[SpellID]]-Table5[[#This Row],[Spell ID]]</f>
        <v>0</v>
      </c>
      <c r="G118" s="8">
        <v>35025</v>
      </c>
      <c r="H118" s="5" t="s">
        <v>224</v>
      </c>
      <c r="I118" s="5" t="s">
        <v>384</v>
      </c>
      <c r="J118" s="5">
        <v>1</v>
      </c>
      <c r="K118" s="5">
        <v>1</v>
      </c>
      <c r="L118" s="5">
        <v>0</v>
      </c>
      <c r="M118" s="5">
        <v>1</v>
      </c>
      <c r="N118" s="5">
        <v>0</v>
      </c>
      <c r="O118" s="5">
        <v>29223</v>
      </c>
      <c r="P118" s="5" t="s">
        <v>285</v>
      </c>
      <c r="Q118" s="5"/>
      <c r="R118" s="5">
        <v>1</v>
      </c>
      <c r="S118" s="14">
        <v>1</v>
      </c>
    </row>
    <row r="119" spans="1:19" x14ac:dyDescent="0.35">
      <c r="A119" t="s">
        <v>233</v>
      </c>
      <c r="B119" s="1">
        <v>161</v>
      </c>
      <c r="C119" s="1">
        <v>35027</v>
      </c>
      <c r="D119" s="1">
        <v>230</v>
      </c>
      <c r="E119">
        <f>Table4[[#This Row],[SpellID]]-Table5[[#This Row],[Spell ID]]</f>
        <v>0</v>
      </c>
      <c r="G119" s="6">
        <v>35027</v>
      </c>
      <c r="H119" s="7" t="s">
        <v>233</v>
      </c>
      <c r="I119" s="7" t="s">
        <v>384</v>
      </c>
      <c r="J119" s="7">
        <v>1</v>
      </c>
      <c r="K119" s="7">
        <v>1</v>
      </c>
      <c r="L119" s="7">
        <v>0</v>
      </c>
      <c r="M119" s="7">
        <v>1</v>
      </c>
      <c r="N119" s="7">
        <v>0</v>
      </c>
      <c r="O119" s="7">
        <v>29224</v>
      </c>
      <c r="P119" s="7" t="s">
        <v>285</v>
      </c>
      <c r="Q119" s="7"/>
      <c r="R119" s="7">
        <v>1</v>
      </c>
      <c r="S119" s="13">
        <v>1</v>
      </c>
    </row>
    <row r="120" spans="1:19" x14ac:dyDescent="0.35">
      <c r="A120" t="s">
        <v>242</v>
      </c>
      <c r="B120" s="1">
        <v>162</v>
      </c>
      <c r="C120" s="1">
        <v>35028</v>
      </c>
      <c r="D120" s="1">
        <v>230</v>
      </c>
      <c r="E120">
        <f>Table4[[#This Row],[SpellID]]-Table5[[#This Row],[Spell ID]]</f>
        <v>0</v>
      </c>
      <c r="G120" s="8">
        <v>35028</v>
      </c>
      <c r="H120" s="5" t="s">
        <v>242</v>
      </c>
      <c r="I120" s="5" t="s">
        <v>384</v>
      </c>
      <c r="J120" s="5">
        <v>1</v>
      </c>
      <c r="K120" s="5">
        <v>1</v>
      </c>
      <c r="L120" s="5">
        <v>0</v>
      </c>
      <c r="M120" s="5">
        <v>1</v>
      </c>
      <c r="N120" s="5">
        <v>0</v>
      </c>
      <c r="O120" s="5">
        <v>34129</v>
      </c>
      <c r="P120" s="5" t="s">
        <v>403</v>
      </c>
      <c r="Q120" s="5"/>
      <c r="R120" s="5">
        <v>1</v>
      </c>
      <c r="S120" s="14">
        <v>1</v>
      </c>
    </row>
    <row r="121" spans="1:19" x14ac:dyDescent="0.35">
      <c r="A121" t="s">
        <v>148</v>
      </c>
      <c r="B121" s="1">
        <v>163</v>
      </c>
      <c r="C121" s="1">
        <v>35710</v>
      </c>
      <c r="D121" s="1">
        <v>230</v>
      </c>
      <c r="E121">
        <f>Table4[[#This Row],[SpellID]]-Table5[[#This Row],[Spell ID]]</f>
        <v>0</v>
      </c>
      <c r="G121" s="6">
        <v>35710</v>
      </c>
      <c r="H121" s="7" t="s">
        <v>148</v>
      </c>
      <c r="I121" s="7" t="s">
        <v>367</v>
      </c>
      <c r="J121" s="7">
        <v>0.6</v>
      </c>
      <c r="K121" s="7">
        <v>0.6</v>
      </c>
      <c r="L121" s="7">
        <v>0</v>
      </c>
      <c r="M121" s="7">
        <v>1</v>
      </c>
      <c r="N121" s="7">
        <v>0</v>
      </c>
      <c r="O121" s="7">
        <v>29744</v>
      </c>
      <c r="P121" s="7" t="s">
        <v>416</v>
      </c>
      <c r="Q121" s="7">
        <v>1</v>
      </c>
      <c r="R121" s="7"/>
      <c r="S121" s="13">
        <v>1</v>
      </c>
    </row>
    <row r="122" spans="1:19" x14ac:dyDescent="0.35">
      <c r="A122" t="s">
        <v>182</v>
      </c>
      <c r="B122" s="1">
        <v>164</v>
      </c>
      <c r="C122" s="1">
        <v>35711</v>
      </c>
      <c r="D122" s="1">
        <v>230</v>
      </c>
      <c r="E122">
        <f>Table4[[#This Row],[SpellID]]-Table5[[#This Row],[Spell ID]]</f>
        <v>0</v>
      </c>
      <c r="G122" s="8">
        <v>35711</v>
      </c>
      <c r="H122" s="5" t="s">
        <v>182</v>
      </c>
      <c r="I122" s="5" t="s">
        <v>367</v>
      </c>
      <c r="J122" s="5">
        <v>0.6</v>
      </c>
      <c r="K122" s="5">
        <v>0.6</v>
      </c>
      <c r="L122" s="5">
        <v>0</v>
      </c>
      <c r="M122" s="5">
        <v>1</v>
      </c>
      <c r="N122" s="5">
        <v>0</v>
      </c>
      <c r="O122" s="5">
        <v>29743</v>
      </c>
      <c r="P122" s="5" t="s">
        <v>416</v>
      </c>
      <c r="Q122" s="5">
        <v>1</v>
      </c>
      <c r="R122" s="5"/>
      <c r="S122" s="14">
        <v>1</v>
      </c>
    </row>
    <row r="123" spans="1:19" x14ac:dyDescent="0.35">
      <c r="A123" t="s">
        <v>158</v>
      </c>
      <c r="B123" s="1">
        <v>165</v>
      </c>
      <c r="C123" s="1">
        <v>35712</v>
      </c>
      <c r="D123" s="1">
        <v>230</v>
      </c>
      <c r="E123">
        <f>Table4[[#This Row],[SpellID]]-Table5[[#This Row],[Spell ID]]</f>
        <v>0</v>
      </c>
      <c r="G123" s="6">
        <v>35712</v>
      </c>
      <c r="H123" s="7" t="s">
        <v>158</v>
      </c>
      <c r="I123" s="7" t="s">
        <v>367</v>
      </c>
      <c r="J123" s="7">
        <v>1</v>
      </c>
      <c r="K123" s="7">
        <v>1</v>
      </c>
      <c r="L123" s="7">
        <v>0</v>
      </c>
      <c r="M123" s="7">
        <v>1</v>
      </c>
      <c r="N123" s="7">
        <v>0</v>
      </c>
      <c r="O123" s="7">
        <v>29746</v>
      </c>
      <c r="P123" s="7" t="s">
        <v>416</v>
      </c>
      <c r="Q123" s="7">
        <v>1</v>
      </c>
      <c r="R123" s="7"/>
      <c r="S123" s="13">
        <v>1</v>
      </c>
    </row>
    <row r="124" spans="1:19" x14ac:dyDescent="0.35">
      <c r="A124" t="s">
        <v>152</v>
      </c>
      <c r="B124" s="1">
        <v>166</v>
      </c>
      <c r="C124" s="1">
        <v>35713</v>
      </c>
      <c r="D124" s="1">
        <v>230</v>
      </c>
      <c r="E124">
        <f>Table4[[#This Row],[SpellID]]-Table5[[#This Row],[Spell ID]]</f>
        <v>0</v>
      </c>
      <c r="G124" s="8">
        <v>35713</v>
      </c>
      <c r="H124" s="5" t="s">
        <v>152</v>
      </c>
      <c r="I124" s="5" t="s">
        <v>367</v>
      </c>
      <c r="J124" s="5">
        <v>1</v>
      </c>
      <c r="K124" s="5">
        <v>1</v>
      </c>
      <c r="L124" s="5">
        <v>0</v>
      </c>
      <c r="M124" s="5">
        <v>1</v>
      </c>
      <c r="N124" s="5">
        <v>0</v>
      </c>
      <c r="O124" s="5">
        <v>29745</v>
      </c>
      <c r="P124" s="5" t="s">
        <v>416</v>
      </c>
      <c r="Q124" s="5">
        <v>1</v>
      </c>
      <c r="R124" s="5"/>
      <c r="S124" s="14">
        <v>1</v>
      </c>
    </row>
    <row r="125" spans="1:19" x14ac:dyDescent="0.35">
      <c r="A125" t="s">
        <v>159</v>
      </c>
      <c r="B125" s="1">
        <v>167</v>
      </c>
      <c r="C125" s="1">
        <v>35714</v>
      </c>
      <c r="D125" s="1">
        <v>230</v>
      </c>
      <c r="E125">
        <f>Table4[[#This Row],[SpellID]]-Table5[[#This Row],[Spell ID]]</f>
        <v>0</v>
      </c>
      <c r="G125" s="6">
        <v>35714</v>
      </c>
      <c r="H125" s="7" t="s">
        <v>159</v>
      </c>
      <c r="I125" s="7" t="s">
        <v>367</v>
      </c>
      <c r="J125" s="7">
        <v>1</v>
      </c>
      <c r="K125" s="7">
        <v>1</v>
      </c>
      <c r="L125" s="7">
        <v>0</v>
      </c>
      <c r="M125" s="7">
        <v>1</v>
      </c>
      <c r="N125" s="7">
        <v>0</v>
      </c>
      <c r="O125" s="7">
        <v>29747</v>
      </c>
      <c r="P125" s="7" t="s">
        <v>416</v>
      </c>
      <c r="Q125" s="7">
        <v>1</v>
      </c>
      <c r="R125" s="7"/>
      <c r="S125" s="13">
        <v>1</v>
      </c>
    </row>
    <row r="126" spans="1:19" x14ac:dyDescent="0.35">
      <c r="A126" t="s">
        <v>138</v>
      </c>
      <c r="B126" s="1">
        <v>168</v>
      </c>
      <c r="C126" s="1">
        <v>36702</v>
      </c>
      <c r="D126" s="1">
        <v>230</v>
      </c>
      <c r="E126">
        <f>Table4[[#This Row],[SpellID]]-Table5[[#This Row],[Spell ID]]</f>
        <v>0</v>
      </c>
      <c r="G126" s="8">
        <v>36702</v>
      </c>
      <c r="H126" s="5" t="s">
        <v>138</v>
      </c>
      <c r="I126" s="5" t="s">
        <v>369</v>
      </c>
      <c r="J126" s="5">
        <v>1</v>
      </c>
      <c r="K126" s="5">
        <v>1</v>
      </c>
      <c r="L126" s="5">
        <v>0</v>
      </c>
      <c r="M126" s="5">
        <v>1</v>
      </c>
      <c r="N126" s="5">
        <v>0</v>
      </c>
      <c r="O126" s="5">
        <v>30480</v>
      </c>
      <c r="P126" s="5" t="s">
        <v>312</v>
      </c>
      <c r="Q126" s="5">
        <v>1</v>
      </c>
      <c r="R126" s="5">
        <v>1</v>
      </c>
      <c r="S126" s="14">
        <v>1</v>
      </c>
    </row>
    <row r="127" spans="1:19" x14ac:dyDescent="0.35">
      <c r="A127" t="s">
        <v>61</v>
      </c>
      <c r="B127" s="1">
        <v>169</v>
      </c>
      <c r="C127" s="1">
        <v>37015</v>
      </c>
      <c r="D127" s="1">
        <v>248</v>
      </c>
      <c r="E127">
        <f>Table4[[#This Row],[SpellID]]-Table5[[#This Row],[Spell ID]]</f>
        <v>0</v>
      </c>
      <c r="G127" s="6">
        <v>37015</v>
      </c>
      <c r="H127" s="7" t="s">
        <v>61</v>
      </c>
      <c r="I127" s="7" t="s">
        <v>41</v>
      </c>
      <c r="J127" s="7">
        <v>3.1</v>
      </c>
      <c r="K127" s="7">
        <v>3.1</v>
      </c>
      <c r="L127" s="7">
        <v>0</v>
      </c>
      <c r="M127" s="7">
        <v>1</v>
      </c>
      <c r="N127" s="7">
        <v>0</v>
      </c>
      <c r="O127" s="7">
        <v>30609</v>
      </c>
      <c r="P127" s="7" t="s">
        <v>305</v>
      </c>
      <c r="Q127" s="7">
        <v>1</v>
      </c>
      <c r="R127" s="7">
        <v>1</v>
      </c>
      <c r="S127" s="13">
        <v>1</v>
      </c>
    </row>
    <row r="128" spans="1:19" x14ac:dyDescent="0.35">
      <c r="A128" t="s">
        <v>124</v>
      </c>
      <c r="B128" s="1">
        <v>170</v>
      </c>
      <c r="C128" s="1">
        <v>39315</v>
      </c>
      <c r="D128" s="1">
        <v>230</v>
      </c>
      <c r="E128">
        <f>Table4[[#This Row],[SpellID]]-Table5[[#This Row],[Spell ID]]</f>
        <v>0</v>
      </c>
      <c r="G128" s="6">
        <v>39315</v>
      </c>
      <c r="H128" s="7" t="s">
        <v>124</v>
      </c>
      <c r="I128" s="7" t="s">
        <v>383</v>
      </c>
      <c r="J128" s="7">
        <v>1</v>
      </c>
      <c r="K128" s="7">
        <v>1</v>
      </c>
      <c r="L128" s="7">
        <v>0</v>
      </c>
      <c r="M128" s="7">
        <v>1</v>
      </c>
      <c r="N128" s="7">
        <v>0</v>
      </c>
      <c r="O128" s="7">
        <v>31830</v>
      </c>
      <c r="P128" s="7" t="s">
        <v>417</v>
      </c>
      <c r="Q128" s="7">
        <v>1</v>
      </c>
      <c r="R128" s="7"/>
      <c r="S128" s="13">
        <v>1</v>
      </c>
    </row>
    <row r="129" spans="1:19" x14ac:dyDescent="0.35">
      <c r="A129" t="s">
        <v>129</v>
      </c>
      <c r="B129" s="1">
        <v>171</v>
      </c>
      <c r="C129" s="1">
        <v>39316</v>
      </c>
      <c r="D129" s="1">
        <v>230</v>
      </c>
      <c r="E129">
        <f>Table4[[#This Row],[SpellID]]-Table5[[#This Row],[Spell ID]]</f>
        <v>0</v>
      </c>
      <c r="G129" s="8">
        <v>39316</v>
      </c>
      <c r="H129" s="5" t="s">
        <v>129</v>
      </c>
      <c r="I129" s="5" t="s">
        <v>383</v>
      </c>
      <c r="J129" s="5">
        <v>1</v>
      </c>
      <c r="K129" s="5">
        <v>1</v>
      </c>
      <c r="L129" s="5">
        <v>0</v>
      </c>
      <c r="M129" s="5">
        <v>1</v>
      </c>
      <c r="N129" s="5">
        <v>0</v>
      </c>
      <c r="O129" s="5">
        <v>28915</v>
      </c>
      <c r="P129" s="5" t="s">
        <v>364</v>
      </c>
      <c r="Q129" s="5">
        <v>1</v>
      </c>
      <c r="R129" s="5">
        <v>1</v>
      </c>
      <c r="S129" s="14">
        <v>1</v>
      </c>
    </row>
    <row r="130" spans="1:19" x14ac:dyDescent="0.35">
      <c r="A130" t="s">
        <v>197</v>
      </c>
      <c r="B130" s="1">
        <v>172</v>
      </c>
      <c r="C130" s="1">
        <v>39317</v>
      </c>
      <c r="D130" s="1">
        <v>230</v>
      </c>
      <c r="E130">
        <f>Table4[[#This Row],[SpellID]]-Table5[[#This Row],[Spell ID]]</f>
        <v>0</v>
      </c>
      <c r="G130" s="8">
        <v>39317</v>
      </c>
      <c r="H130" s="5" t="s">
        <v>197</v>
      </c>
      <c r="I130" s="5" t="s">
        <v>383</v>
      </c>
      <c r="J130" s="5">
        <v>1</v>
      </c>
      <c r="K130" s="5">
        <v>1</v>
      </c>
      <c r="L130" s="5">
        <v>0</v>
      </c>
      <c r="M130" s="5">
        <v>1</v>
      </c>
      <c r="N130" s="5">
        <v>0</v>
      </c>
      <c r="O130" s="5">
        <v>31832</v>
      </c>
      <c r="P130" s="5" t="s">
        <v>417</v>
      </c>
      <c r="Q130" s="5">
        <v>1</v>
      </c>
      <c r="R130" s="5"/>
      <c r="S130" s="14">
        <v>1</v>
      </c>
    </row>
    <row r="131" spans="1:19" x14ac:dyDescent="0.35">
      <c r="A131" t="s">
        <v>250</v>
      </c>
      <c r="B131" s="1">
        <v>173</v>
      </c>
      <c r="C131" s="1">
        <v>39318</v>
      </c>
      <c r="D131" s="1">
        <v>230</v>
      </c>
      <c r="E131">
        <f>Table4[[#This Row],[SpellID]]-Table5[[#This Row],[Spell ID]]</f>
        <v>0</v>
      </c>
      <c r="G131" s="8">
        <v>39318</v>
      </c>
      <c r="H131" s="5" t="s">
        <v>250</v>
      </c>
      <c r="I131" s="5" t="s">
        <v>383</v>
      </c>
      <c r="J131" s="5">
        <v>1</v>
      </c>
      <c r="K131" s="5">
        <v>1</v>
      </c>
      <c r="L131" s="5">
        <v>0</v>
      </c>
      <c r="M131" s="5">
        <v>1</v>
      </c>
      <c r="N131" s="5">
        <v>0</v>
      </c>
      <c r="O131" s="5">
        <v>31834</v>
      </c>
      <c r="P131" s="5" t="s">
        <v>417</v>
      </c>
      <c r="Q131" s="5">
        <v>1</v>
      </c>
      <c r="R131" s="5"/>
      <c r="S131" s="14">
        <v>1</v>
      </c>
    </row>
    <row r="132" spans="1:19" x14ac:dyDescent="0.35">
      <c r="A132" t="s">
        <v>267</v>
      </c>
      <c r="B132" s="1">
        <v>174</v>
      </c>
      <c r="C132" s="1">
        <v>39319</v>
      </c>
      <c r="D132" s="1">
        <v>230</v>
      </c>
      <c r="E132">
        <f>Table4[[#This Row],[SpellID]]-Table5[[#This Row],[Spell ID]]</f>
        <v>0</v>
      </c>
      <c r="G132" s="8">
        <v>39319</v>
      </c>
      <c r="H132" s="5" t="s">
        <v>267</v>
      </c>
      <c r="I132" s="5" t="s">
        <v>383</v>
      </c>
      <c r="J132" s="5">
        <v>1</v>
      </c>
      <c r="K132" s="5">
        <v>1</v>
      </c>
      <c r="L132" s="5">
        <v>0</v>
      </c>
      <c r="M132" s="5">
        <v>1</v>
      </c>
      <c r="N132" s="5">
        <v>0</v>
      </c>
      <c r="O132" s="5">
        <v>31836</v>
      </c>
      <c r="P132" s="5" t="s">
        <v>417</v>
      </c>
      <c r="Q132" s="5">
        <v>1</v>
      </c>
      <c r="R132" s="5"/>
      <c r="S132" s="14">
        <v>1</v>
      </c>
    </row>
    <row r="133" spans="1:19" x14ac:dyDescent="0.35">
      <c r="A133" t="s">
        <v>34</v>
      </c>
      <c r="B133" s="1">
        <v>176</v>
      </c>
      <c r="C133" s="1">
        <v>39798</v>
      </c>
      <c r="D133" s="1">
        <v>248</v>
      </c>
      <c r="E133">
        <f>Table4[[#This Row],[SpellID]]-Table5[[#This Row],[Spell ID]]</f>
        <v>0</v>
      </c>
      <c r="G133" s="6">
        <v>39798</v>
      </c>
      <c r="H133" s="7" t="s">
        <v>34</v>
      </c>
      <c r="I133" s="7" t="s">
        <v>385</v>
      </c>
      <c r="J133" s="7">
        <v>2.8</v>
      </c>
      <c r="K133" s="7">
        <v>2.8</v>
      </c>
      <c r="L133" s="7">
        <v>0</v>
      </c>
      <c r="M133" s="7">
        <v>1</v>
      </c>
      <c r="N133" s="7">
        <v>0</v>
      </c>
      <c r="O133" s="7">
        <v>32314</v>
      </c>
      <c r="P133" s="7" t="s">
        <v>418</v>
      </c>
      <c r="Q133" s="7">
        <v>1</v>
      </c>
      <c r="R133" s="7">
        <v>1</v>
      </c>
      <c r="S133" s="13">
        <v>1</v>
      </c>
    </row>
    <row r="134" spans="1:19" x14ac:dyDescent="0.35">
      <c r="A134" t="s">
        <v>51</v>
      </c>
      <c r="B134" s="1">
        <v>177</v>
      </c>
      <c r="C134" s="1">
        <v>39800</v>
      </c>
      <c r="D134" s="1">
        <v>248</v>
      </c>
      <c r="E134">
        <f>Table4[[#This Row],[SpellID]]-Table5[[#This Row],[Spell ID]]</f>
        <v>0</v>
      </c>
      <c r="G134" s="8">
        <v>39800</v>
      </c>
      <c r="H134" s="5" t="s">
        <v>51</v>
      </c>
      <c r="I134" s="5" t="s">
        <v>385</v>
      </c>
      <c r="J134" s="5">
        <v>2.8</v>
      </c>
      <c r="K134" s="5">
        <v>2.8</v>
      </c>
      <c r="L134" s="5">
        <v>0</v>
      </c>
      <c r="M134" s="5">
        <v>1</v>
      </c>
      <c r="N134" s="5">
        <v>0</v>
      </c>
      <c r="O134" s="5">
        <v>32317</v>
      </c>
      <c r="P134" s="5" t="s">
        <v>418</v>
      </c>
      <c r="Q134" s="5">
        <v>1</v>
      </c>
      <c r="R134" s="5">
        <v>1</v>
      </c>
      <c r="S134" s="14">
        <v>1</v>
      </c>
    </row>
    <row r="135" spans="1:19" x14ac:dyDescent="0.35">
      <c r="A135" t="s">
        <v>47</v>
      </c>
      <c r="B135" s="1">
        <v>178</v>
      </c>
      <c r="C135" s="1">
        <v>39801</v>
      </c>
      <c r="D135" s="1">
        <v>248</v>
      </c>
      <c r="E135">
        <f>Table4[[#This Row],[SpellID]]-Table5[[#This Row],[Spell ID]]</f>
        <v>0</v>
      </c>
      <c r="G135" s="6">
        <v>39801</v>
      </c>
      <c r="H135" s="7" t="s">
        <v>47</v>
      </c>
      <c r="I135" s="7" t="s">
        <v>385</v>
      </c>
      <c r="J135" s="7">
        <v>2.8</v>
      </c>
      <c r="K135" s="7">
        <v>2.8</v>
      </c>
      <c r="L135" s="7">
        <v>0</v>
      </c>
      <c r="M135" s="7">
        <v>1</v>
      </c>
      <c r="N135" s="7">
        <v>0</v>
      </c>
      <c r="O135" s="7">
        <v>32316</v>
      </c>
      <c r="P135" s="7" t="s">
        <v>418</v>
      </c>
      <c r="Q135" s="7">
        <v>1</v>
      </c>
      <c r="R135" s="7">
        <v>1</v>
      </c>
      <c r="S135" s="13">
        <v>1</v>
      </c>
    </row>
    <row r="136" spans="1:19" x14ac:dyDescent="0.35">
      <c r="A136" t="s">
        <v>55</v>
      </c>
      <c r="B136" s="1">
        <v>179</v>
      </c>
      <c r="C136" s="1">
        <v>39802</v>
      </c>
      <c r="D136" s="1">
        <v>248</v>
      </c>
      <c r="E136">
        <f>Table4[[#This Row],[SpellID]]-Table5[[#This Row],[Spell ID]]</f>
        <v>0</v>
      </c>
      <c r="G136" s="8">
        <v>39802</v>
      </c>
      <c r="H136" s="5" t="s">
        <v>55</v>
      </c>
      <c r="I136" s="5" t="s">
        <v>385</v>
      </c>
      <c r="J136" s="5">
        <v>2.8</v>
      </c>
      <c r="K136" s="5">
        <v>2.8</v>
      </c>
      <c r="L136" s="5">
        <v>0</v>
      </c>
      <c r="M136" s="5">
        <v>1</v>
      </c>
      <c r="N136" s="5">
        <v>0</v>
      </c>
      <c r="O136" s="5">
        <v>32318</v>
      </c>
      <c r="P136" s="5" t="s">
        <v>418</v>
      </c>
      <c r="Q136" s="5">
        <v>1</v>
      </c>
      <c r="R136" s="5">
        <v>1</v>
      </c>
      <c r="S136" s="14">
        <v>1</v>
      </c>
    </row>
    <row r="137" spans="1:19" x14ac:dyDescent="0.35">
      <c r="A137" t="s">
        <v>18</v>
      </c>
      <c r="B137" s="1">
        <v>180</v>
      </c>
      <c r="C137" s="1">
        <v>39803</v>
      </c>
      <c r="D137" s="1">
        <v>248</v>
      </c>
      <c r="E137">
        <f>Table4[[#This Row],[SpellID]]-Table5[[#This Row],[Spell ID]]</f>
        <v>0</v>
      </c>
      <c r="G137" s="6">
        <v>39803</v>
      </c>
      <c r="H137" s="7" t="s">
        <v>18</v>
      </c>
      <c r="I137" s="7" t="s">
        <v>385</v>
      </c>
      <c r="J137" s="7">
        <v>2.8</v>
      </c>
      <c r="K137" s="7">
        <v>2.8</v>
      </c>
      <c r="L137" s="7">
        <v>0</v>
      </c>
      <c r="M137" s="7">
        <v>1</v>
      </c>
      <c r="N137" s="7">
        <v>0</v>
      </c>
      <c r="O137" s="7">
        <v>32319</v>
      </c>
      <c r="P137" s="7" t="s">
        <v>418</v>
      </c>
      <c r="Q137" s="7">
        <v>1</v>
      </c>
      <c r="R137" s="7">
        <v>1</v>
      </c>
      <c r="S137" s="13">
        <v>1</v>
      </c>
    </row>
    <row r="138" spans="1:19" x14ac:dyDescent="0.35">
      <c r="A138" t="s">
        <v>8</v>
      </c>
      <c r="B138" s="1">
        <v>183</v>
      </c>
      <c r="C138" s="1">
        <v>40192</v>
      </c>
      <c r="D138" s="1">
        <v>248</v>
      </c>
      <c r="E138">
        <f>Table4[[#This Row],[SpellID]]-Table5[[#This Row],[Spell ID]]</f>
        <v>0</v>
      </c>
      <c r="G138" s="8">
        <v>40192</v>
      </c>
      <c r="H138" s="5" t="s">
        <v>8</v>
      </c>
      <c r="I138" s="5" t="s">
        <v>382</v>
      </c>
      <c r="J138" s="5">
        <v>3.1</v>
      </c>
      <c r="K138" s="5">
        <v>3.1</v>
      </c>
      <c r="L138" s="5">
        <v>0</v>
      </c>
      <c r="M138" s="5">
        <v>1</v>
      </c>
      <c r="N138" s="5">
        <v>0</v>
      </c>
      <c r="O138" s="5">
        <v>32458</v>
      </c>
      <c r="P138" s="5" t="s">
        <v>288</v>
      </c>
      <c r="Q138" s="5">
        <v>1</v>
      </c>
      <c r="R138" s="5">
        <v>1</v>
      </c>
      <c r="S138" s="14">
        <v>1</v>
      </c>
    </row>
    <row r="139" spans="1:19" x14ac:dyDescent="0.35">
      <c r="A139" t="s">
        <v>187</v>
      </c>
      <c r="B139" s="1">
        <v>185</v>
      </c>
      <c r="C139" s="1">
        <v>41252</v>
      </c>
      <c r="D139" s="1">
        <v>230</v>
      </c>
      <c r="E139">
        <f>Table4[[#This Row],[SpellID]]-Table5[[#This Row],[Spell ID]]</f>
        <v>0</v>
      </c>
      <c r="G139" s="6">
        <v>41252</v>
      </c>
      <c r="H139" s="7" t="s">
        <v>187</v>
      </c>
      <c r="I139" s="7" t="s">
        <v>386</v>
      </c>
      <c r="J139" s="7">
        <v>1</v>
      </c>
      <c r="K139" s="7">
        <v>1</v>
      </c>
      <c r="L139" s="7">
        <v>0</v>
      </c>
      <c r="M139" s="7">
        <v>1</v>
      </c>
      <c r="N139" s="7">
        <v>0</v>
      </c>
      <c r="O139" s="7">
        <v>32768</v>
      </c>
      <c r="P139" s="7" t="s">
        <v>331</v>
      </c>
      <c r="Q139" s="7">
        <v>1</v>
      </c>
      <c r="R139" s="7">
        <v>1</v>
      </c>
      <c r="S139" s="13">
        <v>1</v>
      </c>
    </row>
    <row r="140" spans="1:19" x14ac:dyDescent="0.35">
      <c r="A140" t="s">
        <v>42</v>
      </c>
      <c r="B140" s="1">
        <v>186</v>
      </c>
      <c r="C140" s="1">
        <v>41513</v>
      </c>
      <c r="D140" s="1">
        <v>248</v>
      </c>
      <c r="E140">
        <f>Table4[[#This Row],[SpellID]]-Table5[[#This Row],[Spell ID]]</f>
        <v>0</v>
      </c>
      <c r="G140" s="8">
        <v>41513</v>
      </c>
      <c r="H140" s="5" t="s">
        <v>42</v>
      </c>
      <c r="I140" s="5" t="s">
        <v>41</v>
      </c>
      <c r="J140" s="5">
        <v>2.8</v>
      </c>
      <c r="K140" s="5">
        <v>2.8</v>
      </c>
      <c r="L140" s="5">
        <v>0</v>
      </c>
      <c r="M140" s="5">
        <v>1</v>
      </c>
      <c r="N140" s="5">
        <v>0</v>
      </c>
      <c r="O140" s="5">
        <v>32857</v>
      </c>
      <c r="P140" s="5" t="s">
        <v>419</v>
      </c>
      <c r="Q140" s="5">
        <v>1</v>
      </c>
      <c r="R140" s="5">
        <v>1</v>
      </c>
      <c r="S140" s="14">
        <v>1</v>
      </c>
    </row>
    <row r="141" spans="1:19" x14ac:dyDescent="0.35">
      <c r="A141" t="s">
        <v>10</v>
      </c>
      <c r="B141" s="1">
        <v>187</v>
      </c>
      <c r="C141" s="1">
        <v>41514</v>
      </c>
      <c r="D141" s="1">
        <v>248</v>
      </c>
      <c r="E141">
        <f>Table4[[#This Row],[SpellID]]-Table5[[#This Row],[Spell ID]]</f>
        <v>0</v>
      </c>
      <c r="G141" s="6">
        <v>41514</v>
      </c>
      <c r="H141" s="7" t="s">
        <v>10</v>
      </c>
      <c r="I141" s="7" t="s">
        <v>41</v>
      </c>
      <c r="J141" s="7">
        <v>2.8</v>
      </c>
      <c r="K141" s="7">
        <v>2.8</v>
      </c>
      <c r="L141" s="7">
        <v>0</v>
      </c>
      <c r="M141" s="7">
        <v>1</v>
      </c>
      <c r="N141" s="7">
        <v>0</v>
      </c>
      <c r="O141" s="7">
        <v>32858</v>
      </c>
      <c r="P141" s="7" t="s">
        <v>419</v>
      </c>
      <c r="Q141" s="7">
        <v>1</v>
      </c>
      <c r="R141" s="7">
        <v>1</v>
      </c>
      <c r="S141" s="13">
        <v>1</v>
      </c>
    </row>
    <row r="142" spans="1:19" x14ac:dyDescent="0.35">
      <c r="A142" t="s">
        <v>23</v>
      </c>
      <c r="B142" s="1">
        <v>188</v>
      </c>
      <c r="C142" s="1">
        <v>41515</v>
      </c>
      <c r="D142" s="1">
        <v>248</v>
      </c>
      <c r="E142">
        <f>Table4[[#This Row],[SpellID]]-Table5[[#This Row],[Spell ID]]</f>
        <v>0</v>
      </c>
      <c r="G142" s="8">
        <v>41515</v>
      </c>
      <c r="H142" s="5" t="s">
        <v>23</v>
      </c>
      <c r="I142" s="5" t="s">
        <v>41</v>
      </c>
      <c r="J142" s="5">
        <v>2.8</v>
      </c>
      <c r="K142" s="5">
        <v>2.8</v>
      </c>
      <c r="L142" s="5">
        <v>0</v>
      </c>
      <c r="M142" s="5">
        <v>1</v>
      </c>
      <c r="N142" s="5">
        <v>0</v>
      </c>
      <c r="O142" s="5">
        <v>32859</v>
      </c>
      <c r="P142" s="5" t="s">
        <v>419</v>
      </c>
      <c r="Q142" s="5">
        <v>1</v>
      </c>
      <c r="R142" s="5">
        <v>1</v>
      </c>
      <c r="S142" s="14">
        <v>1</v>
      </c>
    </row>
    <row r="143" spans="1:19" x14ac:dyDescent="0.35">
      <c r="A143" t="s">
        <v>46</v>
      </c>
      <c r="B143" s="1">
        <v>189</v>
      </c>
      <c r="C143" s="1">
        <v>41516</v>
      </c>
      <c r="D143" s="1">
        <v>248</v>
      </c>
      <c r="E143">
        <f>Table4[[#This Row],[SpellID]]-Table5[[#This Row],[Spell ID]]</f>
        <v>0</v>
      </c>
      <c r="G143" s="6">
        <v>41516</v>
      </c>
      <c r="H143" s="7" t="s">
        <v>46</v>
      </c>
      <c r="I143" s="7" t="s">
        <v>41</v>
      </c>
      <c r="J143" s="7">
        <v>2.8</v>
      </c>
      <c r="K143" s="7">
        <v>2.8</v>
      </c>
      <c r="L143" s="7">
        <v>0</v>
      </c>
      <c r="M143" s="7">
        <v>1</v>
      </c>
      <c r="N143" s="7">
        <v>0</v>
      </c>
      <c r="O143" s="7">
        <v>32860</v>
      </c>
      <c r="P143" s="7" t="s">
        <v>419</v>
      </c>
      <c r="Q143" s="7">
        <v>1</v>
      </c>
      <c r="R143" s="7">
        <v>1</v>
      </c>
      <c r="S143" s="13">
        <v>1</v>
      </c>
    </row>
    <row r="144" spans="1:19" x14ac:dyDescent="0.35">
      <c r="A144" t="s">
        <v>72</v>
      </c>
      <c r="B144" s="1">
        <v>190</v>
      </c>
      <c r="C144" s="1">
        <v>41517</v>
      </c>
      <c r="D144" s="1">
        <v>248</v>
      </c>
      <c r="E144">
        <f>Table4[[#This Row],[SpellID]]-Table5[[#This Row],[Spell ID]]</f>
        <v>0</v>
      </c>
      <c r="G144" s="8">
        <v>41517</v>
      </c>
      <c r="H144" s="5" t="s">
        <v>72</v>
      </c>
      <c r="I144" s="5" t="s">
        <v>41</v>
      </c>
      <c r="J144" s="5">
        <v>2.8</v>
      </c>
      <c r="K144" s="5">
        <v>2.8</v>
      </c>
      <c r="L144" s="5">
        <v>0</v>
      </c>
      <c r="M144" s="5">
        <v>1</v>
      </c>
      <c r="N144" s="5">
        <v>0</v>
      </c>
      <c r="O144" s="5">
        <v>32861</v>
      </c>
      <c r="P144" s="5" t="s">
        <v>419</v>
      </c>
      <c r="Q144" s="5">
        <v>1</v>
      </c>
      <c r="R144" s="5">
        <v>1</v>
      </c>
      <c r="S144" s="14">
        <v>1</v>
      </c>
    </row>
    <row r="145" spans="1:19" x14ac:dyDescent="0.35">
      <c r="A145" t="s">
        <v>73</v>
      </c>
      <c r="B145" s="1">
        <v>191</v>
      </c>
      <c r="C145" s="1">
        <v>41518</v>
      </c>
      <c r="D145" s="1">
        <v>248</v>
      </c>
      <c r="E145">
        <f>Table4[[#This Row],[SpellID]]-Table5[[#This Row],[Spell ID]]</f>
        <v>0</v>
      </c>
      <c r="G145" s="6">
        <v>41518</v>
      </c>
      <c r="H145" s="7" t="s">
        <v>73</v>
      </c>
      <c r="I145" s="7" t="s">
        <v>41</v>
      </c>
      <c r="J145" s="7">
        <v>2.8</v>
      </c>
      <c r="K145" s="7">
        <v>2.8</v>
      </c>
      <c r="L145" s="7">
        <v>0</v>
      </c>
      <c r="M145" s="7">
        <v>1</v>
      </c>
      <c r="N145" s="7">
        <v>0</v>
      </c>
      <c r="O145" s="7">
        <v>32862</v>
      </c>
      <c r="P145" s="7" t="s">
        <v>419</v>
      </c>
      <c r="Q145" s="7">
        <v>1</v>
      </c>
      <c r="R145" s="7">
        <v>1</v>
      </c>
      <c r="S145" s="13">
        <v>1</v>
      </c>
    </row>
    <row r="146" spans="1:19" x14ac:dyDescent="0.35">
      <c r="A146" t="s">
        <v>201</v>
      </c>
      <c r="B146" s="1">
        <v>196</v>
      </c>
      <c r="C146" s="1">
        <v>42776</v>
      </c>
      <c r="D146" s="1">
        <v>230</v>
      </c>
      <c r="E146">
        <f>Table4[[#This Row],[SpellID]]-Table5[[#This Row],[Spell ID]]</f>
        <v>0</v>
      </c>
      <c r="G146" s="6">
        <v>42776</v>
      </c>
      <c r="H146" s="7" t="s">
        <v>201</v>
      </c>
      <c r="I146" s="7" t="s">
        <v>373</v>
      </c>
      <c r="J146" s="7">
        <v>0.6</v>
      </c>
      <c r="K146" s="7">
        <v>0.6</v>
      </c>
      <c r="L146" s="7">
        <v>0</v>
      </c>
      <c r="M146" s="7">
        <v>1</v>
      </c>
      <c r="N146" s="7">
        <v>0</v>
      </c>
      <c r="O146" s="7">
        <v>49283</v>
      </c>
      <c r="P146" s="7" t="s">
        <v>325</v>
      </c>
      <c r="Q146" s="7">
        <v>1</v>
      </c>
      <c r="R146" s="7">
        <v>1</v>
      </c>
      <c r="S146" s="13">
        <v>1</v>
      </c>
    </row>
    <row r="147" spans="1:19" x14ac:dyDescent="0.35">
      <c r="A147" t="s">
        <v>237</v>
      </c>
      <c r="B147" s="1">
        <v>197</v>
      </c>
      <c r="C147" s="1">
        <v>42777</v>
      </c>
      <c r="D147" s="1">
        <v>230</v>
      </c>
      <c r="E147">
        <f>Table4[[#This Row],[SpellID]]-Table5[[#This Row],[Spell ID]]</f>
        <v>0</v>
      </c>
      <c r="G147" s="6">
        <v>42777</v>
      </c>
      <c r="H147" s="7" t="s">
        <v>237</v>
      </c>
      <c r="I147" s="7" t="s">
        <v>373</v>
      </c>
      <c r="J147" s="7">
        <v>1</v>
      </c>
      <c r="K147" s="7">
        <v>1</v>
      </c>
      <c r="L147" s="7">
        <v>0</v>
      </c>
      <c r="M147" s="7">
        <v>1</v>
      </c>
      <c r="N147" s="7">
        <v>0</v>
      </c>
      <c r="O147" s="7">
        <v>49284</v>
      </c>
      <c r="P147" s="7" t="s">
        <v>325</v>
      </c>
      <c r="Q147" s="7">
        <v>1</v>
      </c>
      <c r="R147" s="7">
        <v>1</v>
      </c>
      <c r="S147" s="13">
        <v>1</v>
      </c>
    </row>
    <row r="148" spans="1:19" x14ac:dyDescent="0.35">
      <c r="A148" t="s">
        <v>82</v>
      </c>
      <c r="B148" s="1">
        <v>199</v>
      </c>
      <c r="C148" s="1">
        <v>43688</v>
      </c>
      <c r="D148" s="1">
        <v>230</v>
      </c>
      <c r="E148">
        <f>Table4[[#This Row],[SpellID]]-Table5[[#This Row],[Spell ID]]</f>
        <v>0</v>
      </c>
      <c r="G148" s="8">
        <v>43688</v>
      </c>
      <c r="H148" s="5" t="s">
        <v>82</v>
      </c>
      <c r="I148" s="5" t="s">
        <v>387</v>
      </c>
      <c r="J148" s="5">
        <v>1</v>
      </c>
      <c r="K148" s="5">
        <v>1</v>
      </c>
      <c r="L148" s="5">
        <v>0</v>
      </c>
      <c r="M148" s="5">
        <v>1</v>
      </c>
      <c r="N148" s="5">
        <v>0</v>
      </c>
      <c r="O148" s="5">
        <v>33809</v>
      </c>
      <c r="P148" s="5" t="s">
        <v>280</v>
      </c>
      <c r="Q148" s="5">
        <v>1</v>
      </c>
      <c r="R148" s="5">
        <v>1</v>
      </c>
      <c r="S148" s="14">
        <v>1</v>
      </c>
    </row>
    <row r="149" spans="1:19" x14ac:dyDescent="0.35">
      <c r="A149" t="s">
        <v>113</v>
      </c>
      <c r="B149" s="1">
        <v>201</v>
      </c>
      <c r="C149" s="1">
        <v>43899</v>
      </c>
      <c r="D149" s="1">
        <v>230</v>
      </c>
      <c r="E149">
        <f>Table4[[#This Row],[SpellID]]-Table5[[#This Row],[Spell ID]]</f>
        <v>0</v>
      </c>
      <c r="G149" s="8">
        <v>43899</v>
      </c>
      <c r="H149" s="5" t="s">
        <v>113</v>
      </c>
      <c r="I149" s="5" t="s">
        <v>371</v>
      </c>
      <c r="J149" s="5">
        <v>0.6</v>
      </c>
      <c r="K149" s="5">
        <v>0.6</v>
      </c>
      <c r="L149" s="5">
        <v>0</v>
      </c>
      <c r="M149" s="5">
        <v>1</v>
      </c>
      <c r="N149" s="5">
        <v>0</v>
      </c>
      <c r="O149" s="5">
        <v>33976</v>
      </c>
      <c r="P149" s="5" t="s">
        <v>363</v>
      </c>
      <c r="Q149" s="5">
        <v>1</v>
      </c>
      <c r="R149" s="5">
        <v>1</v>
      </c>
      <c r="S149" s="14">
        <v>1</v>
      </c>
    </row>
    <row r="150" spans="1:19" x14ac:dyDescent="0.35">
      <c r="A150" t="s">
        <v>214</v>
      </c>
      <c r="B150" s="1">
        <v>202</v>
      </c>
      <c r="C150" s="1">
        <v>43900</v>
      </c>
      <c r="D150" s="1">
        <v>230</v>
      </c>
      <c r="E150">
        <f>Table4[[#This Row],[SpellID]]-Table5[[#This Row],[Spell ID]]</f>
        <v>0</v>
      </c>
      <c r="G150" s="6">
        <v>43900</v>
      </c>
      <c r="H150" s="7" t="s">
        <v>214</v>
      </c>
      <c r="I150" s="7" t="s">
        <v>371</v>
      </c>
      <c r="J150" s="7">
        <v>1</v>
      </c>
      <c r="K150" s="7">
        <v>1</v>
      </c>
      <c r="L150" s="7">
        <v>0</v>
      </c>
      <c r="M150" s="7">
        <v>1</v>
      </c>
      <c r="N150" s="7">
        <v>0</v>
      </c>
      <c r="O150" s="7">
        <v>33977</v>
      </c>
      <c r="P150" s="7" t="s">
        <v>303</v>
      </c>
      <c r="Q150" s="7">
        <v>1</v>
      </c>
      <c r="R150" s="7">
        <v>1</v>
      </c>
      <c r="S150" s="13">
        <v>1</v>
      </c>
    </row>
    <row r="151" spans="1:19" x14ac:dyDescent="0.35">
      <c r="A151" t="s">
        <v>22</v>
      </c>
      <c r="B151" s="1">
        <v>203</v>
      </c>
      <c r="C151" s="1">
        <v>43927</v>
      </c>
      <c r="D151" s="1">
        <v>248</v>
      </c>
      <c r="E151">
        <f>Table4[[#This Row],[SpellID]]-Table5[[#This Row],[Spell ID]]</f>
        <v>0</v>
      </c>
      <c r="G151" s="8">
        <v>43927</v>
      </c>
      <c r="H151" s="5" t="s">
        <v>22</v>
      </c>
      <c r="I151" s="5" t="s">
        <v>388</v>
      </c>
      <c r="J151" s="5">
        <v>2.8</v>
      </c>
      <c r="K151" s="5">
        <v>2.8</v>
      </c>
      <c r="L151" s="5">
        <v>0</v>
      </c>
      <c r="M151" s="5">
        <v>1</v>
      </c>
      <c r="N151" s="5">
        <v>0</v>
      </c>
      <c r="O151" s="5">
        <v>33999</v>
      </c>
      <c r="P151" s="5" t="s">
        <v>420</v>
      </c>
      <c r="Q151" s="5">
        <v>1</v>
      </c>
      <c r="R151" s="5">
        <v>1</v>
      </c>
      <c r="S151" s="14">
        <v>1</v>
      </c>
    </row>
    <row r="152" spans="1:19" x14ac:dyDescent="0.35">
      <c r="A152" t="s">
        <v>69</v>
      </c>
      <c r="B152" s="1">
        <v>204</v>
      </c>
      <c r="C152" s="1">
        <v>44151</v>
      </c>
      <c r="D152" s="1">
        <v>248</v>
      </c>
      <c r="E152">
        <f>Table4[[#This Row],[SpellID]]-Table5[[#This Row],[Spell ID]]</f>
        <v>0</v>
      </c>
      <c r="G152" s="6">
        <v>44151</v>
      </c>
      <c r="H152" s="7" t="s">
        <v>69</v>
      </c>
      <c r="I152" s="7" t="s">
        <v>389</v>
      </c>
      <c r="J152" s="7">
        <v>2.8</v>
      </c>
      <c r="K152" s="7">
        <v>2.8</v>
      </c>
      <c r="L152" s="7">
        <v>0</v>
      </c>
      <c r="M152" s="7">
        <v>1</v>
      </c>
      <c r="N152" s="7">
        <v>0</v>
      </c>
      <c r="O152" s="7">
        <v>34061</v>
      </c>
      <c r="P152" s="7" t="s">
        <v>314</v>
      </c>
      <c r="Q152" s="7">
        <v>1</v>
      </c>
      <c r="R152" s="7">
        <v>1</v>
      </c>
      <c r="S152" s="13">
        <v>1</v>
      </c>
    </row>
    <row r="153" spans="1:19" x14ac:dyDescent="0.35">
      <c r="A153" t="s">
        <v>27</v>
      </c>
      <c r="B153" s="1">
        <v>205</v>
      </c>
      <c r="C153" s="1">
        <v>44153</v>
      </c>
      <c r="D153" s="1">
        <v>248</v>
      </c>
      <c r="E153">
        <f>Table4[[#This Row],[SpellID]]-Table5[[#This Row],[Spell ID]]</f>
        <v>0</v>
      </c>
      <c r="G153" s="8">
        <v>44153</v>
      </c>
      <c r="H153" s="5" t="s">
        <v>27</v>
      </c>
      <c r="I153" s="5" t="s">
        <v>389</v>
      </c>
      <c r="J153" s="5">
        <v>1.5</v>
      </c>
      <c r="K153" s="5">
        <v>1.5</v>
      </c>
      <c r="L153" s="5">
        <v>0</v>
      </c>
      <c r="M153" s="5">
        <v>1</v>
      </c>
      <c r="N153" s="5">
        <v>0</v>
      </c>
      <c r="O153" s="5">
        <v>34060</v>
      </c>
      <c r="P153" s="5" t="s">
        <v>314</v>
      </c>
      <c r="Q153" s="5">
        <v>1</v>
      </c>
      <c r="R153" s="5">
        <v>1</v>
      </c>
      <c r="S153" s="14">
        <v>1</v>
      </c>
    </row>
    <row r="154" spans="1:19" x14ac:dyDescent="0.35">
      <c r="A154" t="s">
        <v>39</v>
      </c>
      <c r="B154" s="1">
        <v>207</v>
      </c>
      <c r="C154" s="1">
        <v>44744</v>
      </c>
      <c r="D154" s="1">
        <v>248</v>
      </c>
      <c r="E154">
        <f>Table4[[#This Row],[SpellID]]-Table5[[#This Row],[Spell ID]]</f>
        <v>0</v>
      </c>
      <c r="G154" s="8">
        <v>44744</v>
      </c>
      <c r="H154" s="5" t="s">
        <v>39</v>
      </c>
      <c r="I154" s="5" t="s">
        <v>41</v>
      </c>
      <c r="J154" s="5">
        <v>3.1</v>
      </c>
      <c r="K154" s="5">
        <v>3.1</v>
      </c>
      <c r="L154" s="5">
        <v>0</v>
      </c>
      <c r="M154" s="5">
        <v>1</v>
      </c>
      <c r="N154" s="5">
        <v>0</v>
      </c>
      <c r="O154" s="5">
        <v>34092</v>
      </c>
      <c r="P154" s="5" t="s">
        <v>305</v>
      </c>
      <c r="Q154" s="5">
        <v>1</v>
      </c>
      <c r="R154" s="5"/>
      <c r="S154" s="14">
        <v>1</v>
      </c>
    </row>
    <row r="155" spans="1:19" x14ac:dyDescent="0.35">
      <c r="A155" t="s">
        <v>243</v>
      </c>
      <c r="B155" s="1">
        <v>213</v>
      </c>
      <c r="C155" s="1">
        <v>46628</v>
      </c>
      <c r="D155" s="1">
        <v>230</v>
      </c>
      <c r="E155">
        <f>Table4[[#This Row],[SpellID]]-Table5[[#This Row],[Spell ID]]</f>
        <v>0</v>
      </c>
      <c r="G155" s="6">
        <v>46628</v>
      </c>
      <c r="H155" s="7" t="s">
        <v>243</v>
      </c>
      <c r="I155" s="7" t="s">
        <v>384</v>
      </c>
      <c r="J155" s="7">
        <v>1</v>
      </c>
      <c r="K155" s="7">
        <v>1</v>
      </c>
      <c r="L155" s="7">
        <v>0</v>
      </c>
      <c r="M155" s="7">
        <v>1</v>
      </c>
      <c r="N155" s="7">
        <v>0</v>
      </c>
      <c r="O155" s="7">
        <v>35513</v>
      </c>
      <c r="P155" s="7" t="s">
        <v>336</v>
      </c>
      <c r="Q155" s="7">
        <v>1</v>
      </c>
      <c r="R155" s="7">
        <v>1</v>
      </c>
      <c r="S155" s="13">
        <v>1</v>
      </c>
    </row>
    <row r="156" spans="1:19" x14ac:dyDescent="0.35">
      <c r="A156" t="s">
        <v>348</v>
      </c>
      <c r="B156" s="1">
        <v>219</v>
      </c>
      <c r="C156" s="1">
        <v>48025</v>
      </c>
      <c r="D156" s="1">
        <v>248</v>
      </c>
      <c r="E156">
        <f>Table4[[#This Row],[SpellID]]-Table5[[#This Row],[Spell ID]]</f>
        <v>0</v>
      </c>
      <c r="G156" s="6">
        <v>48025</v>
      </c>
      <c r="H156" s="7" t="s">
        <v>348</v>
      </c>
      <c r="I156" s="7" t="s">
        <v>369</v>
      </c>
      <c r="J156" s="7">
        <v>2.8</v>
      </c>
      <c r="K156" s="7">
        <v>0.6</v>
      </c>
      <c r="L156" s="7">
        <v>0</v>
      </c>
      <c r="M156" s="7">
        <v>1</v>
      </c>
      <c r="N156" s="7">
        <v>0</v>
      </c>
      <c r="O156" s="7">
        <v>37012</v>
      </c>
      <c r="P156" s="7" t="s">
        <v>349</v>
      </c>
      <c r="Q156" s="7">
        <v>1</v>
      </c>
      <c r="R156" s="7">
        <v>1</v>
      </c>
      <c r="S156" s="13">
        <v>1</v>
      </c>
    </row>
    <row r="157" spans="1:19" x14ac:dyDescent="0.35">
      <c r="A157" t="s">
        <v>97</v>
      </c>
      <c r="B157" s="1">
        <v>220</v>
      </c>
      <c r="C157" s="1">
        <v>48027</v>
      </c>
      <c r="D157" s="1">
        <v>230</v>
      </c>
      <c r="E157">
        <f>Table4[[#This Row],[SpellID]]-Table5[[#This Row],[Spell ID]]</f>
        <v>0</v>
      </c>
      <c r="G157" s="8">
        <v>48027</v>
      </c>
      <c r="H157" s="5" t="s">
        <v>97</v>
      </c>
      <c r="I157" s="5" t="s">
        <v>367</v>
      </c>
      <c r="J157" s="5">
        <v>1</v>
      </c>
      <c r="K157" s="5">
        <v>1</v>
      </c>
      <c r="L157" s="5">
        <v>0</v>
      </c>
      <c r="M157" s="5">
        <v>1</v>
      </c>
      <c r="N157" s="5">
        <v>0</v>
      </c>
      <c r="O157" s="5">
        <v>35906</v>
      </c>
      <c r="P157" s="5" t="s">
        <v>403</v>
      </c>
      <c r="Q157" s="5">
        <v>1</v>
      </c>
      <c r="R157" s="5"/>
      <c r="S157" s="14">
        <v>1</v>
      </c>
    </row>
    <row r="158" spans="1:19" x14ac:dyDescent="0.35">
      <c r="A158" t="s">
        <v>81</v>
      </c>
      <c r="B158" s="1">
        <v>221</v>
      </c>
      <c r="C158" s="1">
        <v>48778</v>
      </c>
      <c r="D158" s="1">
        <v>230</v>
      </c>
      <c r="E158">
        <f>Table4[[#This Row],[SpellID]]-Table5[[#This Row],[Spell ID]]</f>
        <v>0</v>
      </c>
      <c r="G158" s="6">
        <v>48778</v>
      </c>
      <c r="H158" s="7" t="s">
        <v>81</v>
      </c>
      <c r="I158" s="7" t="s">
        <v>351</v>
      </c>
      <c r="J158" s="7">
        <v>1</v>
      </c>
      <c r="K158" s="7">
        <v>1</v>
      </c>
      <c r="L158" s="7">
        <v>0</v>
      </c>
      <c r="M158" s="7">
        <v>1</v>
      </c>
      <c r="N158" s="7">
        <v>0</v>
      </c>
      <c r="O158" s="7">
        <v>0</v>
      </c>
      <c r="P158" s="7" t="s">
        <v>351</v>
      </c>
      <c r="Q158" s="7">
        <v>1</v>
      </c>
      <c r="R158" s="7">
        <v>1</v>
      </c>
      <c r="S158" s="13">
        <v>1</v>
      </c>
    </row>
    <row r="159" spans="1:19" x14ac:dyDescent="0.35">
      <c r="A159" t="s">
        <v>71</v>
      </c>
      <c r="B159" s="1">
        <v>223</v>
      </c>
      <c r="C159" s="1">
        <v>49193</v>
      </c>
      <c r="D159" s="1">
        <v>248</v>
      </c>
      <c r="E159">
        <f>Table4[[#This Row],[SpellID]]-Table5[[#This Row],[Spell ID]]</f>
        <v>0</v>
      </c>
      <c r="G159" s="6">
        <v>49193</v>
      </c>
      <c r="H159" s="7" t="s">
        <v>71</v>
      </c>
      <c r="I159" s="7" t="s">
        <v>41</v>
      </c>
      <c r="J159" s="7">
        <v>3.1</v>
      </c>
      <c r="K159" s="7">
        <v>3.1</v>
      </c>
      <c r="L159" s="7">
        <v>0</v>
      </c>
      <c r="M159" s="7">
        <v>1</v>
      </c>
      <c r="N159" s="7">
        <v>0</v>
      </c>
      <c r="O159" s="7">
        <v>37676</v>
      </c>
      <c r="P159" s="7" t="s">
        <v>305</v>
      </c>
      <c r="Q159" s="7">
        <v>1</v>
      </c>
      <c r="R159" s="7">
        <v>1</v>
      </c>
      <c r="S159" s="13">
        <v>1</v>
      </c>
    </row>
    <row r="160" spans="1:19" x14ac:dyDescent="0.35">
      <c r="A160" t="s">
        <v>114</v>
      </c>
      <c r="B160" s="1">
        <v>225</v>
      </c>
      <c r="C160" s="1">
        <v>49378</v>
      </c>
      <c r="D160" s="1">
        <v>230</v>
      </c>
      <c r="E160">
        <f>Table4[[#This Row],[SpellID]]-Table5[[#This Row],[Spell ID]]</f>
        <v>0</v>
      </c>
      <c r="G160" s="6">
        <v>49378</v>
      </c>
      <c r="H160" s="7" t="s">
        <v>114</v>
      </c>
      <c r="I160" s="7" t="s">
        <v>375</v>
      </c>
      <c r="J160" s="7">
        <v>0.6</v>
      </c>
      <c r="K160" s="7">
        <v>0.6</v>
      </c>
      <c r="L160" s="7">
        <v>0</v>
      </c>
      <c r="M160" s="7">
        <v>1</v>
      </c>
      <c r="N160" s="7">
        <v>0</v>
      </c>
      <c r="O160" s="7">
        <v>37827</v>
      </c>
      <c r="P160" s="7" t="s">
        <v>363</v>
      </c>
      <c r="Q160" s="7">
        <v>1</v>
      </c>
      <c r="R160" s="7">
        <v>1</v>
      </c>
      <c r="S160" s="13">
        <v>1</v>
      </c>
    </row>
    <row r="161" spans="1:19" x14ac:dyDescent="0.35">
      <c r="A161" t="s">
        <v>153</v>
      </c>
      <c r="B161" s="1">
        <v>226</v>
      </c>
      <c r="C161" s="1">
        <v>49379</v>
      </c>
      <c r="D161" s="1">
        <v>230</v>
      </c>
      <c r="E161">
        <f>Table4[[#This Row],[SpellID]]-Table5[[#This Row],[Spell ID]]</f>
        <v>0</v>
      </c>
      <c r="G161" s="8">
        <v>49379</v>
      </c>
      <c r="H161" s="5" t="s">
        <v>153</v>
      </c>
      <c r="I161" s="5" t="s">
        <v>375</v>
      </c>
      <c r="J161" s="5">
        <v>1</v>
      </c>
      <c r="K161" s="5">
        <v>1</v>
      </c>
      <c r="L161" s="5">
        <v>0</v>
      </c>
      <c r="M161" s="5">
        <v>1</v>
      </c>
      <c r="N161" s="5">
        <v>0</v>
      </c>
      <c r="O161" s="5">
        <v>37828</v>
      </c>
      <c r="P161" s="5" t="s">
        <v>303</v>
      </c>
      <c r="Q161" s="5">
        <v>1</v>
      </c>
      <c r="R161" s="5">
        <v>1</v>
      </c>
      <c r="S161" s="14">
        <v>1</v>
      </c>
    </row>
    <row r="162" spans="1:19" x14ac:dyDescent="0.35">
      <c r="A162" t="s">
        <v>350</v>
      </c>
      <c r="B162" s="1">
        <v>236</v>
      </c>
      <c r="C162" s="1">
        <v>54729</v>
      </c>
      <c r="D162" s="1">
        <v>248</v>
      </c>
      <c r="E162">
        <f>Table4[[#This Row],[SpellID]]-Table5[[#This Row],[Spell ID]]</f>
        <v>0</v>
      </c>
      <c r="G162" s="6">
        <v>54729</v>
      </c>
      <c r="H162" s="7" t="s">
        <v>350</v>
      </c>
      <c r="I162" s="7" t="s">
        <v>366</v>
      </c>
      <c r="J162" s="7">
        <v>2.8</v>
      </c>
      <c r="K162" s="7">
        <v>2.8</v>
      </c>
      <c r="L162" s="7">
        <v>0</v>
      </c>
      <c r="M162" s="7">
        <v>1</v>
      </c>
      <c r="N162" s="7">
        <v>0</v>
      </c>
      <c r="O162" s="7">
        <v>40775</v>
      </c>
      <c r="P162" s="7" t="s">
        <v>351</v>
      </c>
      <c r="Q162" s="7">
        <v>1</v>
      </c>
      <c r="R162" s="7">
        <v>1</v>
      </c>
      <c r="S162" s="13">
        <v>1</v>
      </c>
    </row>
    <row r="163" spans="1:19" x14ac:dyDescent="0.35">
      <c r="A163" t="s">
        <v>265</v>
      </c>
      <c r="B163" s="1">
        <v>237</v>
      </c>
      <c r="C163" s="1">
        <v>54753</v>
      </c>
      <c r="D163" s="1">
        <v>230</v>
      </c>
      <c r="E163">
        <f>Table4[[#This Row],[SpellID]]-Table5[[#This Row],[Spell ID]]</f>
        <v>0</v>
      </c>
      <c r="G163" s="6">
        <v>54753</v>
      </c>
      <c r="H163" s="7" t="s">
        <v>265</v>
      </c>
      <c r="I163" s="7" t="s">
        <v>387</v>
      </c>
      <c r="J163" s="7">
        <v>1</v>
      </c>
      <c r="K163" s="7">
        <v>1</v>
      </c>
      <c r="L163" s="7">
        <v>0</v>
      </c>
      <c r="M163" s="7">
        <v>1</v>
      </c>
      <c r="N163" s="7">
        <v>0</v>
      </c>
      <c r="O163" s="7">
        <v>43962</v>
      </c>
      <c r="P163" s="7" t="s">
        <v>340</v>
      </c>
      <c r="Q163" s="7">
        <v>1</v>
      </c>
      <c r="R163" s="7">
        <v>1</v>
      </c>
      <c r="S163" s="13">
        <v>1</v>
      </c>
    </row>
    <row r="164" spans="1:19" x14ac:dyDescent="0.35">
      <c r="A164" t="s">
        <v>430</v>
      </c>
      <c r="B164" s="1">
        <v>1823</v>
      </c>
      <c r="C164" s="1">
        <v>55164</v>
      </c>
      <c r="D164" s="1">
        <v>242</v>
      </c>
      <c r="E164">
        <f>Table4[[#This Row],[SpellID]]-Table5[[#This Row],[Spell ID]]</f>
        <v>0</v>
      </c>
      <c r="G164" s="8">
        <v>55164</v>
      </c>
      <c r="H164" s="5" t="s">
        <v>430</v>
      </c>
      <c r="I164" s="5" t="s">
        <v>380</v>
      </c>
      <c r="J164" s="5">
        <v>2.8</v>
      </c>
      <c r="K164" s="7">
        <v>2.8</v>
      </c>
      <c r="L164" s="5">
        <v>0</v>
      </c>
      <c r="M164" s="5">
        <v>1</v>
      </c>
      <c r="N164" s="5">
        <v>0</v>
      </c>
      <c r="O164" s="5">
        <v>0</v>
      </c>
      <c r="P164" s="5" t="s">
        <v>433</v>
      </c>
      <c r="Q164" s="5">
        <v>1</v>
      </c>
      <c r="R164" s="5">
        <v>1</v>
      </c>
      <c r="S164" s="14">
        <v>1</v>
      </c>
    </row>
    <row r="165" spans="1:19" x14ac:dyDescent="0.35">
      <c r="A165" t="s">
        <v>425</v>
      </c>
      <c r="B165" s="1">
        <v>240</v>
      </c>
      <c r="C165" s="1">
        <v>55531</v>
      </c>
      <c r="D165" s="1">
        <v>230</v>
      </c>
      <c r="E165">
        <f>Table4[[#This Row],[SpellID]]-Table5[[#This Row],[Spell ID]]</f>
        <v>0</v>
      </c>
      <c r="G165" s="8">
        <v>55531</v>
      </c>
      <c r="H165" s="5" t="s">
        <v>171</v>
      </c>
      <c r="I165" s="5" t="s">
        <v>389</v>
      </c>
      <c r="J165" s="5">
        <v>1</v>
      </c>
      <c r="K165" s="5">
        <v>1</v>
      </c>
      <c r="L165" s="5">
        <v>0</v>
      </c>
      <c r="M165" s="5">
        <v>1</v>
      </c>
      <c r="N165" s="5">
        <v>0</v>
      </c>
      <c r="O165" s="5">
        <v>41508</v>
      </c>
      <c r="P165" s="5" t="s">
        <v>314</v>
      </c>
      <c r="Q165" s="5"/>
      <c r="R165" s="5">
        <v>1</v>
      </c>
      <c r="S165" s="14">
        <v>1</v>
      </c>
    </row>
    <row r="166" spans="1:19" x14ac:dyDescent="0.35">
      <c r="A166" t="s">
        <v>21</v>
      </c>
      <c r="B166" s="1">
        <v>241</v>
      </c>
      <c r="C166" s="1">
        <v>58615</v>
      </c>
      <c r="D166" s="1">
        <v>248</v>
      </c>
      <c r="E166">
        <f>Table4[[#This Row],[SpellID]]-Table5[[#This Row],[Spell ID]]</f>
        <v>0</v>
      </c>
      <c r="G166" s="6">
        <v>58615</v>
      </c>
      <c r="H166" s="7" t="s">
        <v>21</v>
      </c>
      <c r="I166" s="7" t="s">
        <v>41</v>
      </c>
      <c r="J166" s="7">
        <v>3.1</v>
      </c>
      <c r="K166" s="7">
        <v>3.1</v>
      </c>
      <c r="L166" s="7">
        <v>0</v>
      </c>
      <c r="M166" s="7">
        <v>1</v>
      </c>
      <c r="N166" s="7">
        <v>0</v>
      </c>
      <c r="O166" s="7">
        <v>43516</v>
      </c>
      <c r="P166" s="7" t="s">
        <v>305</v>
      </c>
      <c r="Q166" s="7">
        <v>1</v>
      </c>
      <c r="R166" s="7">
        <v>1</v>
      </c>
      <c r="S166" s="13">
        <v>1</v>
      </c>
    </row>
    <row r="167" spans="1:19" x14ac:dyDescent="0.35">
      <c r="A167" t="s">
        <v>352</v>
      </c>
      <c r="B167" s="1">
        <v>243</v>
      </c>
      <c r="C167" s="1">
        <v>58983</v>
      </c>
      <c r="D167" s="1">
        <v>230</v>
      </c>
      <c r="E167">
        <f>Table4[[#This Row],[SpellID]]-Table5[[#This Row],[Spell ID]]</f>
        <v>0</v>
      </c>
      <c r="G167" s="8">
        <v>58983</v>
      </c>
      <c r="H167" s="5" t="s">
        <v>352</v>
      </c>
      <c r="I167" s="5" t="s">
        <v>387</v>
      </c>
      <c r="J167" s="5">
        <v>1</v>
      </c>
      <c r="K167" s="5">
        <v>1</v>
      </c>
      <c r="L167" s="5">
        <v>0</v>
      </c>
      <c r="M167" s="5">
        <v>1</v>
      </c>
      <c r="N167" s="5">
        <v>0</v>
      </c>
      <c r="O167" s="5">
        <v>43599</v>
      </c>
      <c r="P167" s="5" t="s">
        <v>325</v>
      </c>
      <c r="Q167" s="5">
        <v>1</v>
      </c>
      <c r="R167" s="5">
        <v>1</v>
      </c>
      <c r="S167" s="14">
        <v>1</v>
      </c>
    </row>
    <row r="168" spans="1:19" x14ac:dyDescent="0.35">
      <c r="A168" t="s">
        <v>9</v>
      </c>
      <c r="B168" s="1">
        <v>246</v>
      </c>
      <c r="C168" s="1">
        <v>59567</v>
      </c>
      <c r="D168" s="1">
        <v>248</v>
      </c>
      <c r="E168">
        <f>Table4[[#This Row],[SpellID]]-Table5[[#This Row],[Spell ID]]</f>
        <v>0</v>
      </c>
      <c r="G168" s="6">
        <v>59567</v>
      </c>
      <c r="H168" s="7" t="s">
        <v>9</v>
      </c>
      <c r="I168" s="7" t="s">
        <v>376</v>
      </c>
      <c r="J168" s="7">
        <v>2.8</v>
      </c>
      <c r="K168" s="7">
        <v>2.8</v>
      </c>
      <c r="L168" s="7">
        <v>0</v>
      </c>
      <c r="M168" s="7">
        <v>1</v>
      </c>
      <c r="N168" s="7">
        <v>0</v>
      </c>
      <c r="O168" s="7">
        <v>43952</v>
      </c>
      <c r="P168" s="7" t="s">
        <v>289</v>
      </c>
      <c r="Q168" s="7">
        <v>1</v>
      </c>
      <c r="R168" s="7">
        <v>1</v>
      </c>
      <c r="S168" s="13">
        <v>1</v>
      </c>
    </row>
    <row r="169" spans="1:19" x14ac:dyDescent="0.35">
      <c r="A169" t="s">
        <v>16</v>
      </c>
      <c r="B169" s="1">
        <v>247</v>
      </c>
      <c r="C169" s="1">
        <v>59568</v>
      </c>
      <c r="D169" s="1">
        <v>248</v>
      </c>
      <c r="E169">
        <f>Table4[[#This Row],[SpellID]]-Table5[[#This Row],[Spell ID]]</f>
        <v>0</v>
      </c>
      <c r="G169" s="8">
        <v>59568</v>
      </c>
      <c r="H169" s="5" t="s">
        <v>16</v>
      </c>
      <c r="I169" s="5" t="s">
        <v>376</v>
      </c>
      <c r="J169" s="5">
        <v>2.8</v>
      </c>
      <c r="K169" s="5">
        <v>2.8</v>
      </c>
      <c r="L169" s="5">
        <v>0</v>
      </c>
      <c r="M169" s="5">
        <v>1</v>
      </c>
      <c r="N169" s="5">
        <v>0</v>
      </c>
      <c r="O169" s="5">
        <v>43953</v>
      </c>
      <c r="P169" s="5" t="s">
        <v>299</v>
      </c>
      <c r="Q169" s="5">
        <v>1</v>
      </c>
      <c r="R169" s="5">
        <v>1</v>
      </c>
      <c r="S169" s="14">
        <v>1</v>
      </c>
    </row>
    <row r="170" spans="1:19" x14ac:dyDescent="0.35">
      <c r="A170" t="s">
        <v>20</v>
      </c>
      <c r="B170" s="1">
        <v>248</v>
      </c>
      <c r="C170" s="1">
        <v>59569</v>
      </c>
      <c r="D170" s="1">
        <v>248</v>
      </c>
      <c r="E170">
        <f>Table4[[#This Row],[SpellID]]-Table5[[#This Row],[Spell ID]]</f>
        <v>0</v>
      </c>
      <c r="G170" s="6">
        <v>59569</v>
      </c>
      <c r="H170" s="7" t="s">
        <v>20</v>
      </c>
      <c r="I170" s="7" t="s">
        <v>376</v>
      </c>
      <c r="J170" s="7">
        <v>2.8</v>
      </c>
      <c r="K170" s="7">
        <v>2.8</v>
      </c>
      <c r="L170" s="7">
        <v>0</v>
      </c>
      <c r="M170" s="7">
        <v>1</v>
      </c>
      <c r="N170" s="7">
        <v>0</v>
      </c>
      <c r="O170" s="7">
        <v>43951</v>
      </c>
      <c r="P170" s="7" t="s">
        <v>304</v>
      </c>
      <c r="Q170" s="7">
        <v>1</v>
      </c>
      <c r="R170" s="7">
        <v>1</v>
      </c>
      <c r="S170" s="13">
        <v>1</v>
      </c>
    </row>
    <row r="171" spans="1:19" x14ac:dyDescent="0.35">
      <c r="A171" t="s">
        <v>49</v>
      </c>
      <c r="B171" s="1">
        <v>249</v>
      </c>
      <c r="C171" s="1">
        <v>59570</v>
      </c>
      <c r="D171" s="1">
        <v>248</v>
      </c>
      <c r="E171">
        <f>Table4[[#This Row],[SpellID]]-Table5[[#This Row],[Spell ID]]</f>
        <v>0</v>
      </c>
      <c r="G171" s="8">
        <v>59570</v>
      </c>
      <c r="H171" s="5" t="s">
        <v>49</v>
      </c>
      <c r="I171" s="5" t="s">
        <v>376</v>
      </c>
      <c r="J171" s="5">
        <v>2.8</v>
      </c>
      <c r="K171" s="5">
        <v>2.8</v>
      </c>
      <c r="L171" s="5">
        <v>0</v>
      </c>
      <c r="M171" s="5">
        <v>1</v>
      </c>
      <c r="N171" s="5">
        <v>0</v>
      </c>
      <c r="O171" s="5">
        <v>43955</v>
      </c>
      <c r="P171" s="5" t="s">
        <v>332</v>
      </c>
      <c r="Q171" s="5">
        <v>1</v>
      </c>
      <c r="R171" s="5">
        <v>1</v>
      </c>
      <c r="S171" s="14">
        <v>1</v>
      </c>
    </row>
    <row r="172" spans="1:19" x14ac:dyDescent="0.35">
      <c r="A172" t="s">
        <v>70</v>
      </c>
      <c r="B172" s="1">
        <v>250</v>
      </c>
      <c r="C172" s="1">
        <v>59571</v>
      </c>
      <c r="D172" s="1">
        <v>248</v>
      </c>
      <c r="E172">
        <f>Table4[[#This Row],[SpellID]]-Table5[[#This Row],[Spell ID]]</f>
        <v>0</v>
      </c>
      <c r="G172" s="6">
        <v>59571</v>
      </c>
      <c r="H172" s="7" t="s">
        <v>70</v>
      </c>
      <c r="I172" s="7" t="s">
        <v>376</v>
      </c>
      <c r="J172" s="7">
        <v>2.8</v>
      </c>
      <c r="K172" s="7">
        <v>2.8</v>
      </c>
      <c r="L172" s="7">
        <v>0</v>
      </c>
      <c r="M172" s="7">
        <v>1</v>
      </c>
      <c r="N172" s="7">
        <v>0</v>
      </c>
      <c r="O172" s="7">
        <v>43954</v>
      </c>
      <c r="P172" s="7" t="s">
        <v>292</v>
      </c>
      <c r="Q172" s="7">
        <v>1</v>
      </c>
      <c r="R172" s="7">
        <v>1</v>
      </c>
      <c r="S172" s="13">
        <v>1</v>
      </c>
    </row>
    <row r="173" spans="1:19" x14ac:dyDescent="0.35">
      <c r="A173" t="s">
        <v>91</v>
      </c>
      <c r="B173" s="1">
        <v>251</v>
      </c>
      <c r="C173" s="1">
        <v>59572</v>
      </c>
      <c r="D173" s="1">
        <v>230</v>
      </c>
      <c r="E173">
        <f>Table4[[#This Row],[SpellID]]-Table5[[#This Row],[Spell ID]]</f>
        <v>0</v>
      </c>
      <c r="G173" s="8">
        <v>59572</v>
      </c>
      <c r="H173" s="5" t="s">
        <v>91</v>
      </c>
      <c r="I173" s="5" t="s">
        <v>387</v>
      </c>
      <c r="J173" s="5">
        <v>1</v>
      </c>
      <c r="K173" s="5">
        <v>1</v>
      </c>
      <c r="L173" s="5">
        <v>0</v>
      </c>
      <c r="M173" s="5">
        <v>1</v>
      </c>
      <c r="N173" s="5">
        <v>0</v>
      </c>
      <c r="O173" s="5">
        <v>43964</v>
      </c>
      <c r="P173" s="5" t="s">
        <v>281</v>
      </c>
      <c r="Q173" s="5">
        <v>1</v>
      </c>
      <c r="R173" s="5">
        <v>1</v>
      </c>
      <c r="S173" s="14">
        <v>1</v>
      </c>
    </row>
    <row r="174" spans="1:19" x14ac:dyDescent="0.35">
      <c r="A174" t="s">
        <v>12</v>
      </c>
      <c r="B174" s="1">
        <v>253</v>
      </c>
      <c r="C174" s="1">
        <v>59650</v>
      </c>
      <c r="D174" s="1">
        <v>248</v>
      </c>
      <c r="E174">
        <f>Table4[[#This Row],[SpellID]]-Table5[[#This Row],[Spell ID]]</f>
        <v>0</v>
      </c>
      <c r="G174" s="8">
        <v>59650</v>
      </c>
      <c r="H174" s="5" t="s">
        <v>12</v>
      </c>
      <c r="I174" s="5" t="s">
        <v>376</v>
      </c>
      <c r="J174" s="5">
        <v>2.8</v>
      </c>
      <c r="K174" s="5">
        <v>2.8</v>
      </c>
      <c r="L174" s="5">
        <v>0</v>
      </c>
      <c r="M174" s="5">
        <v>1</v>
      </c>
      <c r="N174" s="5">
        <v>0</v>
      </c>
      <c r="O174" s="5">
        <v>43986</v>
      </c>
      <c r="P174" s="5" t="s">
        <v>292</v>
      </c>
      <c r="Q174" s="5">
        <v>1</v>
      </c>
      <c r="R174" s="5">
        <v>1</v>
      </c>
      <c r="S174" s="14">
        <v>1</v>
      </c>
    </row>
    <row r="175" spans="1:19" x14ac:dyDescent="0.35">
      <c r="A175" t="s">
        <v>99</v>
      </c>
      <c r="B175" s="1">
        <v>255</v>
      </c>
      <c r="C175" s="1">
        <v>59788</v>
      </c>
      <c r="D175" s="1">
        <v>230</v>
      </c>
      <c r="E175">
        <f>Table4[[#This Row],[SpellID]]-Table5[[#This Row],[Spell ID]]</f>
        <v>0</v>
      </c>
      <c r="G175" s="8">
        <v>59788</v>
      </c>
      <c r="H175" s="5" t="s">
        <v>99</v>
      </c>
      <c r="I175" s="5" t="s">
        <v>368</v>
      </c>
      <c r="J175" s="5">
        <v>1</v>
      </c>
      <c r="K175" s="5">
        <v>1</v>
      </c>
      <c r="L175" s="5">
        <v>0</v>
      </c>
      <c r="M175" s="5">
        <v>1</v>
      </c>
      <c r="N175" s="5">
        <v>0</v>
      </c>
      <c r="O175" s="5">
        <v>44077</v>
      </c>
      <c r="P175" s="5" t="s">
        <v>400</v>
      </c>
      <c r="Q175" s="5"/>
      <c r="R175" s="5">
        <v>1</v>
      </c>
      <c r="S175" s="14">
        <v>1</v>
      </c>
    </row>
    <row r="176" spans="1:19" x14ac:dyDescent="0.35">
      <c r="A176" t="s">
        <v>273</v>
      </c>
      <c r="B176" s="1">
        <v>257</v>
      </c>
      <c r="C176" s="1">
        <v>59793</v>
      </c>
      <c r="D176" s="1">
        <v>230</v>
      </c>
      <c r="E176">
        <f>Table4[[#This Row],[SpellID]]-Table5[[#This Row],[Spell ID]]</f>
        <v>0</v>
      </c>
      <c r="G176" s="8">
        <v>59793</v>
      </c>
      <c r="H176" s="5" t="s">
        <v>273</v>
      </c>
      <c r="I176" s="5" t="s">
        <v>368</v>
      </c>
      <c r="J176" s="5">
        <v>1</v>
      </c>
      <c r="K176" s="5">
        <v>1</v>
      </c>
      <c r="L176" s="5">
        <v>0</v>
      </c>
      <c r="M176" s="5">
        <v>1</v>
      </c>
      <c r="N176" s="5">
        <v>0</v>
      </c>
      <c r="O176" s="5">
        <v>44231</v>
      </c>
      <c r="P176" s="5" t="s">
        <v>398</v>
      </c>
      <c r="Q176" s="5"/>
      <c r="R176" s="5">
        <v>1</v>
      </c>
      <c r="S176" s="14">
        <v>1</v>
      </c>
    </row>
    <row r="177" spans="1:19" x14ac:dyDescent="0.35">
      <c r="A177" t="s">
        <v>166</v>
      </c>
      <c r="B177" s="1">
        <v>259</v>
      </c>
      <c r="C177" s="1">
        <v>59799</v>
      </c>
      <c r="D177" s="1">
        <v>230</v>
      </c>
      <c r="E177">
        <f>Table4[[#This Row],[SpellID]]-Table5[[#This Row],[Spell ID]]</f>
        <v>0</v>
      </c>
      <c r="G177" s="8">
        <v>59799</v>
      </c>
      <c r="H177" s="5" t="s">
        <v>166</v>
      </c>
      <c r="I177" s="5" t="s">
        <v>368</v>
      </c>
      <c r="J177" s="5">
        <v>1</v>
      </c>
      <c r="K177" s="5">
        <v>1</v>
      </c>
      <c r="L177" s="5">
        <v>0</v>
      </c>
      <c r="M177" s="5">
        <v>1</v>
      </c>
      <c r="N177" s="5">
        <v>0</v>
      </c>
      <c r="O177" s="5">
        <v>44080</v>
      </c>
      <c r="P177" s="5" t="s">
        <v>399</v>
      </c>
      <c r="Q177" s="5"/>
      <c r="R177" s="5">
        <v>1</v>
      </c>
      <c r="S177" s="14">
        <v>1</v>
      </c>
    </row>
    <row r="178" spans="1:19" x14ac:dyDescent="0.35">
      <c r="A178" t="s">
        <v>50</v>
      </c>
      <c r="B178" s="1">
        <v>262</v>
      </c>
      <c r="C178" s="1">
        <v>59961</v>
      </c>
      <c r="D178" s="1">
        <v>248</v>
      </c>
      <c r="E178">
        <f>Table4[[#This Row],[SpellID]]-Table5[[#This Row],[Spell ID]]</f>
        <v>0</v>
      </c>
      <c r="G178" s="6">
        <v>59961</v>
      </c>
      <c r="H178" s="7" t="s">
        <v>50</v>
      </c>
      <c r="I178" s="7" t="s">
        <v>378</v>
      </c>
      <c r="J178" s="7">
        <v>2.8</v>
      </c>
      <c r="K178" s="7">
        <v>2.8</v>
      </c>
      <c r="L178" s="7">
        <v>0</v>
      </c>
      <c r="M178" s="7">
        <v>1</v>
      </c>
      <c r="N178" s="7">
        <v>0</v>
      </c>
      <c r="O178" s="7">
        <v>44160</v>
      </c>
      <c r="P178" s="7" t="s">
        <v>279</v>
      </c>
      <c r="Q178" s="7">
        <v>1</v>
      </c>
      <c r="R178" s="7">
        <v>1</v>
      </c>
      <c r="S178" s="13">
        <v>1</v>
      </c>
    </row>
    <row r="179" spans="1:19" x14ac:dyDescent="0.35">
      <c r="A179" t="s">
        <v>13</v>
      </c>
      <c r="B179" s="1">
        <v>263</v>
      </c>
      <c r="C179" s="1">
        <v>59976</v>
      </c>
      <c r="D179" s="1">
        <v>248</v>
      </c>
      <c r="E179">
        <f>Table4[[#This Row],[SpellID]]-Table5[[#This Row],[Spell ID]]</f>
        <v>0</v>
      </c>
      <c r="G179" s="8">
        <v>59976</v>
      </c>
      <c r="H179" s="5" t="s">
        <v>13</v>
      </c>
      <c r="I179" s="5" t="s">
        <v>378</v>
      </c>
      <c r="J179" s="5">
        <v>3.1</v>
      </c>
      <c r="K179" s="5">
        <v>3.1</v>
      </c>
      <c r="L179" s="5">
        <v>0</v>
      </c>
      <c r="M179" s="5">
        <v>1</v>
      </c>
      <c r="N179" s="5">
        <v>0</v>
      </c>
      <c r="O179" s="5">
        <v>44164</v>
      </c>
      <c r="P179" s="5" t="s">
        <v>279</v>
      </c>
      <c r="Q179" s="5">
        <v>1</v>
      </c>
      <c r="R179" s="5">
        <v>1</v>
      </c>
      <c r="S179" s="14">
        <v>1</v>
      </c>
    </row>
    <row r="180" spans="1:19" x14ac:dyDescent="0.35">
      <c r="A180" t="s">
        <v>17</v>
      </c>
      <c r="B180" s="1">
        <v>264</v>
      </c>
      <c r="C180" s="1">
        <v>59996</v>
      </c>
      <c r="D180" s="1">
        <v>248</v>
      </c>
      <c r="E180">
        <f>Table4[[#This Row],[SpellID]]-Table5[[#This Row],[Spell ID]]</f>
        <v>0</v>
      </c>
      <c r="G180" s="6">
        <v>59996</v>
      </c>
      <c r="H180" s="7" t="s">
        <v>17</v>
      </c>
      <c r="I180" s="7" t="s">
        <v>378</v>
      </c>
      <c r="J180" s="7">
        <v>2.8</v>
      </c>
      <c r="K180" s="7">
        <v>2.8</v>
      </c>
      <c r="L180" s="7">
        <v>0</v>
      </c>
      <c r="M180" s="7">
        <v>1</v>
      </c>
      <c r="N180" s="7">
        <v>0</v>
      </c>
      <c r="O180" s="7">
        <v>44151</v>
      </c>
      <c r="P180" s="7" t="s">
        <v>300</v>
      </c>
      <c r="Q180" s="7">
        <v>1</v>
      </c>
      <c r="R180" s="7">
        <v>1</v>
      </c>
      <c r="S180" s="13">
        <v>1</v>
      </c>
    </row>
    <row r="181" spans="1:19" x14ac:dyDescent="0.35">
      <c r="A181" t="s">
        <v>68</v>
      </c>
      <c r="B181" s="1">
        <v>265</v>
      </c>
      <c r="C181" s="1">
        <v>60002</v>
      </c>
      <c r="D181" s="1">
        <v>248</v>
      </c>
      <c r="E181">
        <f>Table4[[#This Row],[SpellID]]-Table5[[#This Row],[Spell ID]]</f>
        <v>0</v>
      </c>
      <c r="G181" s="8">
        <v>60002</v>
      </c>
      <c r="H181" s="5" t="s">
        <v>68</v>
      </c>
      <c r="I181" s="5" t="s">
        <v>378</v>
      </c>
      <c r="J181" s="5">
        <v>2.8</v>
      </c>
      <c r="K181" s="5">
        <v>2.8</v>
      </c>
      <c r="L181" s="5">
        <v>0</v>
      </c>
      <c r="M181" s="5">
        <v>1</v>
      </c>
      <c r="N181" s="5">
        <v>0</v>
      </c>
      <c r="O181" s="5">
        <v>44168</v>
      </c>
      <c r="P181" s="5" t="s">
        <v>338</v>
      </c>
      <c r="Q181" s="5">
        <v>1</v>
      </c>
      <c r="R181" s="5">
        <v>1</v>
      </c>
      <c r="S181" s="14">
        <v>1</v>
      </c>
    </row>
    <row r="182" spans="1:19" x14ac:dyDescent="0.35">
      <c r="A182" t="s">
        <v>45</v>
      </c>
      <c r="B182" s="1">
        <v>266</v>
      </c>
      <c r="C182" s="1">
        <v>60021</v>
      </c>
      <c r="D182" s="1">
        <v>248</v>
      </c>
      <c r="E182">
        <f>Table4[[#This Row],[SpellID]]-Table5[[#This Row],[Spell ID]]</f>
        <v>0</v>
      </c>
      <c r="G182" s="6">
        <v>60021</v>
      </c>
      <c r="H182" s="7" t="s">
        <v>45</v>
      </c>
      <c r="I182" s="7" t="s">
        <v>378</v>
      </c>
      <c r="J182" s="7">
        <v>3.1</v>
      </c>
      <c r="K182" s="7">
        <v>3.1</v>
      </c>
      <c r="L182" s="7">
        <v>0</v>
      </c>
      <c r="M182" s="7">
        <v>1</v>
      </c>
      <c r="N182" s="7">
        <v>0</v>
      </c>
      <c r="O182" s="7">
        <v>44175</v>
      </c>
      <c r="P182" s="7" t="s">
        <v>279</v>
      </c>
      <c r="Q182" s="7">
        <v>1</v>
      </c>
      <c r="R182" s="7">
        <v>1</v>
      </c>
      <c r="S182" s="13">
        <v>1</v>
      </c>
    </row>
    <row r="183" spans="1:19" x14ac:dyDescent="0.35">
      <c r="A183" t="s">
        <v>74</v>
      </c>
      <c r="B183" s="1">
        <v>267</v>
      </c>
      <c r="C183" s="1">
        <v>60024</v>
      </c>
      <c r="D183" s="1">
        <v>248</v>
      </c>
      <c r="E183">
        <f>Table4[[#This Row],[SpellID]]-Table5[[#This Row],[Spell ID]]</f>
        <v>0</v>
      </c>
      <c r="G183" s="8">
        <v>60024</v>
      </c>
      <c r="H183" s="5" t="s">
        <v>74</v>
      </c>
      <c r="I183" s="5" t="s">
        <v>378</v>
      </c>
      <c r="J183" s="5">
        <v>3.1</v>
      </c>
      <c r="K183" s="5">
        <v>3.1</v>
      </c>
      <c r="L183" s="5">
        <v>0</v>
      </c>
      <c r="M183" s="5">
        <v>1</v>
      </c>
      <c r="N183" s="5">
        <v>0</v>
      </c>
      <c r="O183" s="5">
        <v>44177</v>
      </c>
      <c r="P183" s="5" t="s">
        <v>279</v>
      </c>
      <c r="Q183" s="5">
        <v>1</v>
      </c>
      <c r="R183" s="5">
        <v>1</v>
      </c>
      <c r="S183" s="14">
        <v>1</v>
      </c>
    </row>
    <row r="184" spans="1:19" x14ac:dyDescent="0.35">
      <c r="A184" t="s">
        <v>4</v>
      </c>
      <c r="B184" s="1">
        <v>268</v>
      </c>
      <c r="C184" s="1">
        <v>60025</v>
      </c>
      <c r="D184" s="1">
        <v>248</v>
      </c>
      <c r="E184">
        <f>Table4[[#This Row],[SpellID]]-Table5[[#This Row],[Spell ID]]</f>
        <v>0</v>
      </c>
      <c r="G184" s="6">
        <v>60025</v>
      </c>
      <c r="H184" s="7" t="s">
        <v>4</v>
      </c>
      <c r="I184" s="7" t="s">
        <v>376</v>
      </c>
      <c r="J184" s="7">
        <v>2.8</v>
      </c>
      <c r="K184" s="7">
        <v>2.8</v>
      </c>
      <c r="L184" s="7">
        <v>0</v>
      </c>
      <c r="M184" s="7">
        <v>1</v>
      </c>
      <c r="N184" s="7">
        <v>0</v>
      </c>
      <c r="O184" s="7">
        <v>44178</v>
      </c>
      <c r="P184" s="7" t="s">
        <v>279</v>
      </c>
      <c r="Q184" s="7">
        <v>1</v>
      </c>
      <c r="R184" s="7">
        <v>1</v>
      </c>
      <c r="S184" s="13">
        <v>1</v>
      </c>
    </row>
    <row r="185" spans="1:19" x14ac:dyDescent="0.35">
      <c r="A185" t="s">
        <v>86</v>
      </c>
      <c r="B185" s="1">
        <v>270</v>
      </c>
      <c r="C185" s="1">
        <v>60116</v>
      </c>
      <c r="D185" s="1">
        <v>230</v>
      </c>
      <c r="E185">
        <f>Table4[[#This Row],[SpellID]]-Table5[[#This Row],[Spell ID]]</f>
        <v>0</v>
      </c>
      <c r="G185" s="6">
        <v>60116</v>
      </c>
      <c r="H185" s="7" t="s">
        <v>86</v>
      </c>
      <c r="I185" s="7" t="s">
        <v>387</v>
      </c>
      <c r="J185" s="7">
        <v>1</v>
      </c>
      <c r="K185" s="7">
        <v>1</v>
      </c>
      <c r="L185" s="7">
        <v>0</v>
      </c>
      <c r="M185" s="7">
        <v>1</v>
      </c>
      <c r="N185" s="7">
        <v>0</v>
      </c>
      <c r="O185" s="7">
        <v>44226</v>
      </c>
      <c r="P185" s="7" t="s">
        <v>285</v>
      </c>
      <c r="Q185" s="7">
        <v>1</v>
      </c>
      <c r="R185" s="7">
        <v>1</v>
      </c>
      <c r="S185" s="13">
        <v>1</v>
      </c>
    </row>
    <row r="186" spans="1:19" x14ac:dyDescent="0.35">
      <c r="A186" t="s">
        <v>96</v>
      </c>
      <c r="B186" s="1">
        <v>272</v>
      </c>
      <c r="C186" s="1">
        <v>60119</v>
      </c>
      <c r="D186" s="1">
        <v>230</v>
      </c>
      <c r="E186">
        <f>Table4[[#This Row],[SpellID]]-Table5[[#This Row],[Spell ID]]</f>
        <v>0</v>
      </c>
      <c r="G186" s="6">
        <v>60119</v>
      </c>
      <c r="H186" s="7" t="s">
        <v>96</v>
      </c>
      <c r="I186" s="7" t="s">
        <v>387</v>
      </c>
      <c r="J186" s="7">
        <v>1</v>
      </c>
      <c r="K186" s="7">
        <v>1</v>
      </c>
      <c r="L186" s="7">
        <v>0</v>
      </c>
      <c r="M186" s="7">
        <v>1</v>
      </c>
      <c r="N186" s="7">
        <v>0</v>
      </c>
      <c r="O186" s="7">
        <v>44224</v>
      </c>
      <c r="P186" s="7" t="s">
        <v>279</v>
      </c>
      <c r="Q186" s="7"/>
      <c r="R186" s="7">
        <v>1</v>
      </c>
      <c r="S186" s="13">
        <v>1</v>
      </c>
    </row>
    <row r="187" spans="1:19" x14ac:dyDescent="0.35">
      <c r="A187" t="s">
        <v>146</v>
      </c>
      <c r="B187" s="1">
        <v>274</v>
      </c>
      <c r="C187" s="1">
        <v>60140</v>
      </c>
      <c r="D187" s="1">
        <v>230</v>
      </c>
      <c r="E187">
        <f>Table4[[#This Row],[SpellID]]-Table5[[#This Row],[Spell ID]]</f>
        <v>0</v>
      </c>
      <c r="G187" s="6">
        <v>60140</v>
      </c>
      <c r="H187" s="7" t="s">
        <v>146</v>
      </c>
      <c r="I187" s="7" t="s">
        <v>368</v>
      </c>
      <c r="J187" s="7">
        <v>1</v>
      </c>
      <c r="K187" s="7">
        <v>1</v>
      </c>
      <c r="L187" s="7">
        <v>0</v>
      </c>
      <c r="M187" s="7">
        <v>1</v>
      </c>
      <c r="N187" s="7">
        <v>0</v>
      </c>
      <c r="O187" s="7">
        <v>0</v>
      </c>
      <c r="P187" s="7" t="s">
        <v>318</v>
      </c>
      <c r="Q187" s="7">
        <v>1</v>
      </c>
      <c r="R187" s="7">
        <v>1</v>
      </c>
      <c r="S187" s="13">
        <v>1</v>
      </c>
    </row>
    <row r="188" spans="1:19" x14ac:dyDescent="0.35">
      <c r="A188" t="s">
        <v>172</v>
      </c>
      <c r="B188" s="1">
        <v>275</v>
      </c>
      <c r="C188" s="1">
        <v>60424</v>
      </c>
      <c r="D188" s="1">
        <v>230</v>
      </c>
      <c r="E188">
        <f>Table4[[#This Row],[SpellID]]-Table5[[#This Row],[Spell ID]]</f>
        <v>0</v>
      </c>
      <c r="G188" s="8">
        <v>60424</v>
      </c>
      <c r="H188" s="5" t="s">
        <v>172</v>
      </c>
      <c r="I188" s="5" t="s">
        <v>389</v>
      </c>
      <c r="J188" s="5">
        <v>1</v>
      </c>
      <c r="K188" s="5">
        <v>1</v>
      </c>
      <c r="L188" s="5">
        <v>0</v>
      </c>
      <c r="M188" s="5">
        <v>1</v>
      </c>
      <c r="N188" s="5">
        <v>0</v>
      </c>
      <c r="O188" s="5">
        <v>44413</v>
      </c>
      <c r="P188" s="5" t="s">
        <v>314</v>
      </c>
      <c r="Q188" s="5">
        <v>1</v>
      </c>
      <c r="R188" s="5"/>
      <c r="S188" s="14">
        <v>1</v>
      </c>
    </row>
    <row r="189" spans="1:19" x14ac:dyDescent="0.35">
      <c r="A189" t="s">
        <v>7</v>
      </c>
      <c r="B189" s="1">
        <v>276</v>
      </c>
      <c r="C189" s="1">
        <v>61229</v>
      </c>
      <c r="D189" s="1">
        <v>248</v>
      </c>
      <c r="E189">
        <f>Table4[[#This Row],[SpellID]]-Table5[[#This Row],[Spell ID]]</f>
        <v>0</v>
      </c>
      <c r="G189" s="6">
        <v>61229</v>
      </c>
      <c r="H189" s="7" t="s">
        <v>7</v>
      </c>
      <c r="I189" s="7" t="s">
        <v>380</v>
      </c>
      <c r="J189" s="7">
        <v>2.8</v>
      </c>
      <c r="K189" s="7">
        <v>2.8</v>
      </c>
      <c r="L189" s="7">
        <v>0</v>
      </c>
      <c r="M189" s="7">
        <v>1</v>
      </c>
      <c r="N189" s="7">
        <v>0</v>
      </c>
      <c r="O189" s="7">
        <v>44689</v>
      </c>
      <c r="P189" s="7" t="s">
        <v>285</v>
      </c>
      <c r="Q189" s="7">
        <v>1</v>
      </c>
      <c r="R189" s="7"/>
      <c r="S189" s="13">
        <v>1</v>
      </c>
    </row>
    <row r="190" spans="1:19" x14ac:dyDescent="0.35">
      <c r="A190" t="s">
        <v>6</v>
      </c>
      <c r="B190" s="1">
        <v>277</v>
      </c>
      <c r="C190" s="1">
        <v>61230</v>
      </c>
      <c r="D190" s="1">
        <v>248</v>
      </c>
      <c r="E190">
        <f>Table4[[#This Row],[SpellID]]-Table5[[#This Row],[Spell ID]]</f>
        <v>0</v>
      </c>
      <c r="G190" s="8">
        <v>61230</v>
      </c>
      <c r="H190" s="5" t="s">
        <v>6</v>
      </c>
      <c r="I190" s="5" t="s">
        <v>381</v>
      </c>
      <c r="J190" s="5">
        <v>2.8</v>
      </c>
      <c r="K190" s="5">
        <v>2.8</v>
      </c>
      <c r="L190" s="5">
        <v>0</v>
      </c>
      <c r="M190" s="5">
        <v>1</v>
      </c>
      <c r="N190" s="5">
        <v>0</v>
      </c>
      <c r="O190" s="5">
        <v>44690</v>
      </c>
      <c r="P190" s="5" t="s">
        <v>285</v>
      </c>
      <c r="Q190" s="5"/>
      <c r="R190" s="5">
        <v>1</v>
      </c>
      <c r="S190" s="14">
        <v>1</v>
      </c>
    </row>
    <row r="191" spans="1:19" x14ac:dyDescent="0.35">
      <c r="A191" t="s">
        <v>33</v>
      </c>
      <c r="B191" s="1">
        <v>278</v>
      </c>
      <c r="C191" s="1">
        <v>61294</v>
      </c>
      <c r="D191" s="1">
        <v>248</v>
      </c>
      <c r="E191">
        <f>Table4[[#This Row],[SpellID]]-Table5[[#This Row],[Spell ID]]</f>
        <v>0</v>
      </c>
      <c r="G191" s="6">
        <v>61294</v>
      </c>
      <c r="H191" s="7" t="s">
        <v>33</v>
      </c>
      <c r="I191" s="7" t="s">
        <v>378</v>
      </c>
      <c r="J191" s="7">
        <v>2.8</v>
      </c>
      <c r="K191" s="7">
        <v>2.8</v>
      </c>
      <c r="L191" s="7">
        <v>0</v>
      </c>
      <c r="M191" s="7">
        <v>1</v>
      </c>
      <c r="N191" s="7">
        <v>0</v>
      </c>
      <c r="O191" s="7">
        <v>44707</v>
      </c>
      <c r="P191" s="7" t="s">
        <v>321</v>
      </c>
      <c r="Q191" s="7">
        <v>1</v>
      </c>
      <c r="R191" s="7">
        <v>1</v>
      </c>
      <c r="S191" s="13">
        <v>1</v>
      </c>
    </row>
    <row r="192" spans="1:19" x14ac:dyDescent="0.35">
      <c r="A192" t="s">
        <v>38</v>
      </c>
      <c r="B192" s="1">
        <v>279</v>
      </c>
      <c r="C192" s="1">
        <v>61309</v>
      </c>
      <c r="D192" s="1">
        <v>248</v>
      </c>
      <c r="E192">
        <f>Table4[[#This Row],[SpellID]]-Table5[[#This Row],[Spell ID]]</f>
        <v>0</v>
      </c>
      <c r="G192" s="8">
        <v>61309</v>
      </c>
      <c r="H192" s="5" t="s">
        <v>38</v>
      </c>
      <c r="I192" s="5" t="s">
        <v>392</v>
      </c>
      <c r="J192" s="5">
        <v>2.8</v>
      </c>
      <c r="K192" s="5">
        <v>2.8</v>
      </c>
      <c r="L192" s="5">
        <v>0</v>
      </c>
      <c r="M192" s="5">
        <v>1</v>
      </c>
      <c r="N192" s="5">
        <v>0</v>
      </c>
      <c r="O192" s="5">
        <v>44558</v>
      </c>
      <c r="P192" s="5" t="s">
        <v>313</v>
      </c>
      <c r="Q192" s="5">
        <v>1</v>
      </c>
      <c r="R192" s="5">
        <v>1</v>
      </c>
      <c r="S192" s="14">
        <v>1</v>
      </c>
    </row>
    <row r="193" spans="1:19" x14ac:dyDescent="0.35">
      <c r="A193" t="s">
        <v>256</v>
      </c>
      <c r="B193" s="1">
        <v>284</v>
      </c>
      <c r="C193" s="1">
        <v>61447</v>
      </c>
      <c r="D193" s="1">
        <v>230</v>
      </c>
      <c r="E193">
        <f>Table4[[#This Row],[SpellID]]-Table5[[#This Row],[Spell ID]]</f>
        <v>0</v>
      </c>
      <c r="G193" s="6">
        <v>61447</v>
      </c>
      <c r="H193" s="7" t="s">
        <v>256</v>
      </c>
      <c r="I193" s="7" t="s">
        <v>368</v>
      </c>
      <c r="J193" s="7">
        <v>1</v>
      </c>
      <c r="K193" s="7">
        <v>1</v>
      </c>
      <c r="L193" s="7">
        <v>0</v>
      </c>
      <c r="M193" s="7">
        <v>1</v>
      </c>
      <c r="N193" s="7">
        <v>0</v>
      </c>
      <c r="O193" s="7">
        <v>44235</v>
      </c>
      <c r="P193" s="7" t="s">
        <v>285</v>
      </c>
      <c r="Q193" s="7">
        <v>1</v>
      </c>
      <c r="R193" s="7"/>
      <c r="S193" s="13">
        <v>1</v>
      </c>
    </row>
    <row r="194" spans="1:19" x14ac:dyDescent="0.35">
      <c r="A194" t="s">
        <v>26</v>
      </c>
      <c r="B194" s="1">
        <v>285</v>
      </c>
      <c r="C194" s="1">
        <v>61451</v>
      </c>
      <c r="D194" s="1">
        <v>248</v>
      </c>
      <c r="E194">
        <f>Table4[[#This Row],[SpellID]]-Table5[[#This Row],[Spell ID]]</f>
        <v>0</v>
      </c>
      <c r="G194" s="8">
        <v>61451</v>
      </c>
      <c r="H194" s="5" t="s">
        <v>26</v>
      </c>
      <c r="I194" s="5" t="s">
        <v>392</v>
      </c>
      <c r="J194" s="5">
        <v>1.5</v>
      </c>
      <c r="K194" s="5">
        <v>1.5</v>
      </c>
      <c r="L194" s="5">
        <v>0</v>
      </c>
      <c r="M194" s="5">
        <v>1</v>
      </c>
      <c r="N194" s="5">
        <v>0</v>
      </c>
      <c r="O194" s="5">
        <v>44554</v>
      </c>
      <c r="P194" s="5" t="s">
        <v>313</v>
      </c>
      <c r="Q194" s="5">
        <v>1</v>
      </c>
      <c r="R194" s="5">
        <v>1</v>
      </c>
      <c r="S194" s="14">
        <v>1</v>
      </c>
    </row>
    <row r="195" spans="1:19" x14ac:dyDescent="0.35">
      <c r="A195" t="s">
        <v>145</v>
      </c>
      <c r="B195" s="1">
        <v>287</v>
      </c>
      <c r="C195" s="1">
        <v>61467</v>
      </c>
      <c r="D195" s="1">
        <v>230</v>
      </c>
      <c r="E195">
        <f>Table4[[#This Row],[SpellID]]-Table5[[#This Row],[Spell ID]]</f>
        <v>0</v>
      </c>
      <c r="G195" s="8">
        <v>61467</v>
      </c>
      <c r="H195" s="5" t="s">
        <v>145</v>
      </c>
      <c r="I195" s="5" t="s">
        <v>368</v>
      </c>
      <c r="J195" s="5">
        <v>1</v>
      </c>
      <c r="K195" s="5">
        <v>1</v>
      </c>
      <c r="L195" s="5">
        <v>0</v>
      </c>
      <c r="M195" s="5">
        <v>1</v>
      </c>
      <c r="N195" s="5">
        <v>0</v>
      </c>
      <c r="O195" s="5">
        <v>44083</v>
      </c>
      <c r="P195" s="5" t="s">
        <v>402</v>
      </c>
      <c r="Q195" s="5"/>
      <c r="R195" s="5">
        <v>1</v>
      </c>
      <c r="S195" s="14">
        <v>1</v>
      </c>
    </row>
    <row r="196" spans="1:19" x14ac:dyDescent="0.35">
      <c r="A196" t="s">
        <v>147</v>
      </c>
      <c r="B196" s="1">
        <v>289</v>
      </c>
      <c r="C196" s="1">
        <v>61470</v>
      </c>
      <c r="D196" s="1">
        <v>230</v>
      </c>
      <c r="E196">
        <f>Table4[[#This Row],[SpellID]]-Table5[[#This Row],[Spell ID]]</f>
        <v>0</v>
      </c>
      <c r="G196" s="8">
        <v>61470</v>
      </c>
      <c r="H196" s="5" t="s">
        <v>147</v>
      </c>
      <c r="I196" s="5" t="s">
        <v>368</v>
      </c>
      <c r="J196" s="5">
        <v>1</v>
      </c>
      <c r="K196" s="5">
        <v>1</v>
      </c>
      <c r="L196" s="5">
        <v>0</v>
      </c>
      <c r="M196" s="5">
        <v>1</v>
      </c>
      <c r="N196" s="5">
        <v>0</v>
      </c>
      <c r="O196" s="5">
        <v>44086</v>
      </c>
      <c r="P196" s="5" t="s">
        <v>421</v>
      </c>
      <c r="Q196" s="5"/>
      <c r="R196" s="5">
        <v>1</v>
      </c>
      <c r="S196" s="14">
        <v>1</v>
      </c>
    </row>
    <row r="197" spans="1:19" x14ac:dyDescent="0.35">
      <c r="A197" t="s">
        <v>15</v>
      </c>
      <c r="B197" s="1">
        <v>291</v>
      </c>
      <c r="C197" s="1">
        <v>61996</v>
      </c>
      <c r="D197" s="1">
        <v>248</v>
      </c>
      <c r="E197">
        <f>Table4[[#This Row],[SpellID]]-Table5[[#This Row],[Spell ID]]</f>
        <v>0</v>
      </c>
      <c r="G197" s="6">
        <v>61996</v>
      </c>
      <c r="H197" s="7" t="s">
        <v>15</v>
      </c>
      <c r="I197" s="7" t="s">
        <v>393</v>
      </c>
      <c r="J197" s="7">
        <v>2.8</v>
      </c>
      <c r="K197" s="7">
        <v>2.8</v>
      </c>
      <c r="L197" s="7">
        <v>0</v>
      </c>
      <c r="M197" s="7">
        <v>1</v>
      </c>
      <c r="N197" s="7">
        <v>0</v>
      </c>
      <c r="O197" s="7">
        <v>44843</v>
      </c>
      <c r="P197" s="7" t="s">
        <v>279</v>
      </c>
      <c r="Q197" s="7">
        <v>1</v>
      </c>
      <c r="R197" s="7"/>
      <c r="S197" s="13">
        <v>1</v>
      </c>
    </row>
    <row r="198" spans="1:19" x14ac:dyDescent="0.35">
      <c r="A198" t="s">
        <v>48</v>
      </c>
      <c r="B198" s="1">
        <v>292</v>
      </c>
      <c r="C198" s="1">
        <v>61997</v>
      </c>
      <c r="D198" s="1">
        <v>248</v>
      </c>
      <c r="E198">
        <f>Table4[[#This Row],[SpellID]]-Table5[[#This Row],[Spell ID]]</f>
        <v>0</v>
      </c>
      <c r="G198" s="8">
        <v>61997</v>
      </c>
      <c r="H198" s="5" t="s">
        <v>48</v>
      </c>
      <c r="I198" s="5" t="s">
        <v>393</v>
      </c>
      <c r="J198" s="5">
        <v>2.8</v>
      </c>
      <c r="K198" s="5">
        <v>2.8</v>
      </c>
      <c r="L198" s="5">
        <v>0</v>
      </c>
      <c r="M198" s="5">
        <v>1</v>
      </c>
      <c r="N198" s="5">
        <v>0</v>
      </c>
      <c r="O198" s="5">
        <v>44842</v>
      </c>
      <c r="P198" s="5" t="s">
        <v>279</v>
      </c>
      <c r="Q198" s="5"/>
      <c r="R198" s="5">
        <v>1</v>
      </c>
      <c r="S198" s="14">
        <v>1</v>
      </c>
    </row>
    <row r="199" spans="1:19" x14ac:dyDescent="0.35">
      <c r="A199" t="s">
        <v>11</v>
      </c>
      <c r="B199" s="1">
        <v>293</v>
      </c>
      <c r="C199" s="1">
        <v>62048</v>
      </c>
      <c r="D199" s="1">
        <v>248</v>
      </c>
      <c r="E199">
        <f>Table4[[#This Row],[SpellID]]-Table5[[#This Row],[Spell ID]]</f>
        <v>0</v>
      </c>
      <c r="G199" s="6">
        <v>62048</v>
      </c>
      <c r="H199" s="7" t="s">
        <v>11</v>
      </c>
      <c r="I199" s="7" t="s">
        <v>393</v>
      </c>
      <c r="J199" s="7">
        <v>2.8</v>
      </c>
      <c r="K199" s="7">
        <v>2.8</v>
      </c>
      <c r="L199" s="7">
        <v>0</v>
      </c>
      <c r="M199" s="7">
        <v>1</v>
      </c>
      <c r="N199" s="7">
        <v>0</v>
      </c>
      <c r="O199" s="7">
        <v>44857</v>
      </c>
      <c r="P199" s="7" t="s">
        <v>281</v>
      </c>
      <c r="Q199" s="7">
        <v>1</v>
      </c>
      <c r="R199" s="7">
        <v>1</v>
      </c>
      <c r="S199" s="13">
        <v>1</v>
      </c>
    </row>
    <row r="200" spans="1:19" x14ac:dyDescent="0.35">
      <c r="A200" t="s">
        <v>205</v>
      </c>
      <c r="B200" s="1">
        <v>294</v>
      </c>
      <c r="C200" s="1">
        <v>63232</v>
      </c>
      <c r="D200" s="1">
        <v>230</v>
      </c>
      <c r="E200">
        <f>Table4[[#This Row],[SpellID]]-Table5[[#This Row],[Spell ID]]</f>
        <v>0</v>
      </c>
      <c r="G200" s="8">
        <v>63232</v>
      </c>
      <c r="H200" s="5" t="s">
        <v>205</v>
      </c>
      <c r="I200" s="5" t="s">
        <v>369</v>
      </c>
      <c r="J200" s="5">
        <v>1</v>
      </c>
      <c r="K200" s="5">
        <v>1</v>
      </c>
      <c r="L200" s="5">
        <v>0</v>
      </c>
      <c r="M200" s="5">
        <v>1</v>
      </c>
      <c r="N200" s="5">
        <v>0</v>
      </c>
      <c r="O200" s="5">
        <v>45125</v>
      </c>
      <c r="P200" s="5" t="s">
        <v>283</v>
      </c>
      <c r="Q200" s="5">
        <v>1</v>
      </c>
      <c r="R200" s="5"/>
      <c r="S200" s="14">
        <v>1</v>
      </c>
    </row>
    <row r="201" spans="1:19" x14ac:dyDescent="0.35">
      <c r="A201" t="s">
        <v>131</v>
      </c>
      <c r="B201" s="1">
        <v>295</v>
      </c>
      <c r="C201" s="1">
        <v>63635</v>
      </c>
      <c r="D201" s="1">
        <v>230</v>
      </c>
      <c r="E201">
        <f>Table4[[#This Row],[SpellID]]-Table5[[#This Row],[Spell ID]]</f>
        <v>0</v>
      </c>
      <c r="G201" s="6">
        <v>63635</v>
      </c>
      <c r="H201" s="7" t="s">
        <v>131</v>
      </c>
      <c r="I201" s="7" t="s">
        <v>372</v>
      </c>
      <c r="J201" s="7">
        <v>1</v>
      </c>
      <c r="K201" s="7">
        <v>1</v>
      </c>
      <c r="L201" s="7">
        <v>0</v>
      </c>
      <c r="M201" s="7">
        <v>1</v>
      </c>
      <c r="N201" s="7">
        <v>0</v>
      </c>
      <c r="O201" s="7">
        <v>45593</v>
      </c>
      <c r="P201" s="7" t="s">
        <v>281</v>
      </c>
      <c r="Q201" s="7"/>
      <c r="R201" s="7">
        <v>1</v>
      </c>
      <c r="S201" s="13">
        <v>1</v>
      </c>
    </row>
    <row r="202" spans="1:19" x14ac:dyDescent="0.35">
      <c r="A202" t="s">
        <v>168</v>
      </c>
      <c r="B202" s="1">
        <v>296</v>
      </c>
      <c r="C202" s="1">
        <v>63636</v>
      </c>
      <c r="D202" s="1">
        <v>230</v>
      </c>
      <c r="E202">
        <f>Table4[[#This Row],[SpellID]]-Table5[[#This Row],[Spell ID]]</f>
        <v>0</v>
      </c>
      <c r="G202" s="8">
        <v>63636</v>
      </c>
      <c r="H202" s="5" t="s">
        <v>168</v>
      </c>
      <c r="I202" s="5" t="s">
        <v>371</v>
      </c>
      <c r="J202" s="5">
        <v>1</v>
      </c>
      <c r="K202" s="5">
        <v>1</v>
      </c>
      <c r="L202" s="5">
        <v>0</v>
      </c>
      <c r="M202" s="5">
        <v>1</v>
      </c>
      <c r="N202" s="5">
        <v>0</v>
      </c>
      <c r="O202" s="5">
        <v>45586</v>
      </c>
      <c r="P202" s="5" t="s">
        <v>283</v>
      </c>
      <c r="Q202" s="5">
        <v>1</v>
      </c>
      <c r="R202" s="5"/>
      <c r="S202" s="14">
        <v>1</v>
      </c>
    </row>
    <row r="203" spans="1:19" x14ac:dyDescent="0.35">
      <c r="A203" t="s">
        <v>132</v>
      </c>
      <c r="B203" s="1">
        <v>297</v>
      </c>
      <c r="C203" s="1">
        <v>63637</v>
      </c>
      <c r="D203" s="1">
        <v>230</v>
      </c>
      <c r="E203">
        <f>Table4[[#This Row],[SpellID]]-Table5[[#This Row],[Spell ID]]</f>
        <v>0</v>
      </c>
      <c r="G203" s="6">
        <v>63637</v>
      </c>
      <c r="H203" s="7" t="s">
        <v>132</v>
      </c>
      <c r="I203" s="7" t="s">
        <v>373</v>
      </c>
      <c r="J203" s="7">
        <v>1</v>
      </c>
      <c r="K203" s="7">
        <v>1</v>
      </c>
      <c r="L203" s="7">
        <v>0</v>
      </c>
      <c r="M203" s="7">
        <v>1</v>
      </c>
      <c r="N203" s="7">
        <v>0</v>
      </c>
      <c r="O203" s="7">
        <v>45591</v>
      </c>
      <c r="P203" s="7" t="s">
        <v>283</v>
      </c>
      <c r="Q203" s="7">
        <v>1</v>
      </c>
      <c r="R203" s="7"/>
      <c r="S203" s="13">
        <v>1</v>
      </c>
    </row>
    <row r="204" spans="1:19" x14ac:dyDescent="0.35">
      <c r="A204" t="s">
        <v>143</v>
      </c>
      <c r="B204" s="1">
        <v>298</v>
      </c>
      <c r="C204" s="1">
        <v>63638</v>
      </c>
      <c r="D204" s="1">
        <v>230</v>
      </c>
      <c r="E204">
        <f>Table4[[#This Row],[SpellID]]-Table5[[#This Row],[Spell ID]]</f>
        <v>0</v>
      </c>
      <c r="G204" s="8">
        <v>63638</v>
      </c>
      <c r="H204" s="5" t="s">
        <v>143</v>
      </c>
      <c r="I204" s="5" t="s">
        <v>365</v>
      </c>
      <c r="J204" s="5">
        <v>1</v>
      </c>
      <c r="K204" s="5">
        <v>1</v>
      </c>
      <c r="L204" s="5">
        <v>0</v>
      </c>
      <c r="M204" s="5">
        <v>1</v>
      </c>
      <c r="N204" s="5">
        <v>0</v>
      </c>
      <c r="O204" s="5">
        <v>45589</v>
      </c>
      <c r="P204" s="5" t="s">
        <v>283</v>
      </c>
      <c r="Q204" s="5">
        <v>1</v>
      </c>
      <c r="R204" s="5"/>
      <c r="S204" s="14">
        <v>1</v>
      </c>
    </row>
    <row r="205" spans="1:19" x14ac:dyDescent="0.35">
      <c r="A205" t="s">
        <v>136</v>
      </c>
      <c r="B205" s="1">
        <v>299</v>
      </c>
      <c r="C205" s="1">
        <v>63639</v>
      </c>
      <c r="D205" s="1">
        <v>230</v>
      </c>
      <c r="E205">
        <f>Table4[[#This Row],[SpellID]]-Table5[[#This Row],[Spell ID]]</f>
        <v>0</v>
      </c>
      <c r="G205" s="6">
        <v>63639</v>
      </c>
      <c r="H205" s="7" t="s">
        <v>136</v>
      </c>
      <c r="I205" s="7" t="s">
        <v>367</v>
      </c>
      <c r="J205" s="7">
        <v>1</v>
      </c>
      <c r="K205" s="7">
        <v>1</v>
      </c>
      <c r="L205" s="7">
        <v>0</v>
      </c>
      <c r="M205" s="7">
        <v>1</v>
      </c>
      <c r="N205" s="7">
        <v>0</v>
      </c>
      <c r="O205" s="7">
        <v>45590</v>
      </c>
      <c r="P205" s="7" t="s">
        <v>283</v>
      </c>
      <c r="Q205" s="7">
        <v>1</v>
      </c>
      <c r="R205" s="7"/>
      <c r="S205" s="13">
        <v>1</v>
      </c>
    </row>
    <row r="206" spans="1:19" x14ac:dyDescent="0.35">
      <c r="A206" t="s">
        <v>177</v>
      </c>
      <c r="B206" s="1">
        <v>300</v>
      </c>
      <c r="C206" s="1">
        <v>63640</v>
      </c>
      <c r="D206" s="1">
        <v>230</v>
      </c>
      <c r="E206">
        <f>Table4[[#This Row],[SpellID]]-Table5[[#This Row],[Spell ID]]</f>
        <v>0</v>
      </c>
      <c r="G206" s="8">
        <v>63640</v>
      </c>
      <c r="H206" s="5" t="s">
        <v>177</v>
      </c>
      <c r="I206" s="5" t="s">
        <v>370</v>
      </c>
      <c r="J206" s="5">
        <v>1</v>
      </c>
      <c r="K206" s="5">
        <v>1</v>
      </c>
      <c r="L206" s="5">
        <v>0</v>
      </c>
      <c r="M206" s="5">
        <v>1</v>
      </c>
      <c r="N206" s="5">
        <v>0</v>
      </c>
      <c r="O206" s="5">
        <v>45595</v>
      </c>
      <c r="P206" s="5" t="s">
        <v>283</v>
      </c>
      <c r="Q206" s="5"/>
      <c r="R206" s="5">
        <v>1</v>
      </c>
      <c r="S206" s="14">
        <v>1</v>
      </c>
    </row>
    <row r="207" spans="1:19" x14ac:dyDescent="0.35">
      <c r="A207" t="s">
        <v>254</v>
      </c>
      <c r="B207" s="1">
        <v>301</v>
      </c>
      <c r="C207" s="1">
        <v>63641</v>
      </c>
      <c r="D207" s="1">
        <v>230</v>
      </c>
      <c r="E207">
        <f>Table4[[#This Row],[SpellID]]-Table5[[#This Row],[Spell ID]]</f>
        <v>0</v>
      </c>
      <c r="G207" s="6">
        <v>63641</v>
      </c>
      <c r="H207" s="7" t="s">
        <v>254</v>
      </c>
      <c r="I207" s="7" t="s">
        <v>375</v>
      </c>
      <c r="J207" s="7">
        <v>1</v>
      </c>
      <c r="K207" s="7">
        <v>1</v>
      </c>
      <c r="L207" s="7">
        <v>0</v>
      </c>
      <c r="M207" s="7">
        <v>1</v>
      </c>
      <c r="N207" s="7">
        <v>0</v>
      </c>
      <c r="O207" s="7">
        <v>45592</v>
      </c>
      <c r="P207" s="7" t="s">
        <v>283</v>
      </c>
      <c r="Q207" s="7"/>
      <c r="R207" s="7">
        <v>1</v>
      </c>
      <c r="S207" s="13">
        <v>1</v>
      </c>
    </row>
    <row r="208" spans="1:19" x14ac:dyDescent="0.35">
      <c r="A208" t="s">
        <v>199</v>
      </c>
      <c r="B208" s="1">
        <v>302</v>
      </c>
      <c r="C208" s="1">
        <v>63642</v>
      </c>
      <c r="D208" s="1">
        <v>230</v>
      </c>
      <c r="E208">
        <f>Table4[[#This Row],[SpellID]]-Table5[[#This Row],[Spell ID]]</f>
        <v>0</v>
      </c>
      <c r="G208" s="8">
        <v>63642</v>
      </c>
      <c r="H208" s="5" t="s">
        <v>199</v>
      </c>
      <c r="I208" s="5" t="s">
        <v>384</v>
      </c>
      <c r="J208" s="5">
        <v>1</v>
      </c>
      <c r="K208" s="5">
        <v>1</v>
      </c>
      <c r="L208" s="5">
        <v>0</v>
      </c>
      <c r="M208" s="5">
        <v>1</v>
      </c>
      <c r="N208" s="5">
        <v>0</v>
      </c>
      <c r="O208" s="5">
        <v>45596</v>
      </c>
      <c r="P208" s="5" t="s">
        <v>283</v>
      </c>
      <c r="Q208" s="5"/>
      <c r="R208" s="5">
        <v>1</v>
      </c>
      <c r="S208" s="14">
        <v>1</v>
      </c>
    </row>
    <row r="209" spans="1:19" x14ac:dyDescent="0.35">
      <c r="A209" t="s">
        <v>140</v>
      </c>
      <c r="B209" s="1">
        <v>303</v>
      </c>
      <c r="C209" s="1">
        <v>63643</v>
      </c>
      <c r="D209" s="1">
        <v>230</v>
      </c>
      <c r="E209">
        <f>Table4[[#This Row],[SpellID]]-Table5[[#This Row],[Spell ID]]</f>
        <v>0</v>
      </c>
      <c r="G209" s="6">
        <v>63643</v>
      </c>
      <c r="H209" s="7" t="s">
        <v>140</v>
      </c>
      <c r="I209" s="7" t="s">
        <v>369</v>
      </c>
      <c r="J209" s="7">
        <v>1</v>
      </c>
      <c r="K209" s="7">
        <v>1</v>
      </c>
      <c r="L209" s="7">
        <v>0</v>
      </c>
      <c r="M209" s="7">
        <v>1</v>
      </c>
      <c r="N209" s="7">
        <v>0</v>
      </c>
      <c r="O209" s="7">
        <v>45597</v>
      </c>
      <c r="P209" s="7" t="s">
        <v>283</v>
      </c>
      <c r="Q209" s="7"/>
      <c r="R209" s="7">
        <v>1</v>
      </c>
      <c r="S209" s="13">
        <v>1</v>
      </c>
    </row>
    <row r="210" spans="1:19" x14ac:dyDescent="0.35">
      <c r="A210" t="s">
        <v>40</v>
      </c>
      <c r="B210" s="1">
        <v>304</v>
      </c>
      <c r="C210" s="1">
        <v>63796</v>
      </c>
      <c r="D210" s="1">
        <v>248</v>
      </c>
      <c r="E210">
        <f>Table4[[#This Row],[SpellID]]-Table5[[#This Row],[Spell ID]]</f>
        <v>0</v>
      </c>
      <c r="G210" s="8">
        <v>63796</v>
      </c>
      <c r="H210" s="5" t="s">
        <v>40</v>
      </c>
      <c r="I210" s="5" t="s">
        <v>389</v>
      </c>
      <c r="J210" s="5">
        <v>3.1</v>
      </c>
      <c r="K210" s="5">
        <v>3.1</v>
      </c>
      <c r="L210" s="5">
        <v>0</v>
      </c>
      <c r="M210" s="5">
        <v>1</v>
      </c>
      <c r="N210" s="5">
        <v>0</v>
      </c>
      <c r="O210" s="5">
        <v>45693</v>
      </c>
      <c r="P210" s="5" t="s">
        <v>328</v>
      </c>
      <c r="Q210" s="5">
        <v>1</v>
      </c>
      <c r="R210" s="5">
        <v>1</v>
      </c>
      <c r="S210" s="14">
        <v>1</v>
      </c>
    </row>
    <row r="211" spans="1:19" x14ac:dyDescent="0.35">
      <c r="A211" t="s">
        <v>5</v>
      </c>
      <c r="B211" s="1">
        <v>305</v>
      </c>
      <c r="C211" s="1">
        <v>63844</v>
      </c>
      <c r="D211" s="1">
        <v>248</v>
      </c>
      <c r="E211">
        <f>Table4[[#This Row],[SpellID]]-Table5[[#This Row],[Spell ID]]</f>
        <v>0</v>
      </c>
      <c r="G211" s="6">
        <v>63844</v>
      </c>
      <c r="H211" s="7" t="s">
        <v>5</v>
      </c>
      <c r="I211" s="7" t="s">
        <v>388</v>
      </c>
      <c r="J211" s="7">
        <v>2.8</v>
      </c>
      <c r="K211" s="7">
        <v>2.8</v>
      </c>
      <c r="L211" s="7">
        <v>0</v>
      </c>
      <c r="M211" s="7">
        <v>1</v>
      </c>
      <c r="N211" s="7">
        <v>0</v>
      </c>
      <c r="O211" s="7">
        <v>45725</v>
      </c>
      <c r="P211" s="7" t="s">
        <v>283</v>
      </c>
      <c r="Q211" s="7">
        <v>1</v>
      </c>
      <c r="R211" s="7">
        <v>1</v>
      </c>
      <c r="S211" s="13">
        <v>1</v>
      </c>
    </row>
    <row r="212" spans="1:19" x14ac:dyDescent="0.35">
      <c r="A212" t="s">
        <v>37</v>
      </c>
      <c r="B212" s="1">
        <v>306</v>
      </c>
      <c r="C212" s="1">
        <v>63956</v>
      </c>
      <c r="D212" s="1">
        <v>248</v>
      </c>
      <c r="E212">
        <f>Table4[[#This Row],[SpellID]]-Table5[[#This Row],[Spell ID]]</f>
        <v>0</v>
      </c>
      <c r="G212" s="8">
        <v>63956</v>
      </c>
      <c r="H212" s="5" t="s">
        <v>37</v>
      </c>
      <c r="I212" s="5" t="s">
        <v>378</v>
      </c>
      <c r="J212" s="5">
        <v>3.1</v>
      </c>
      <c r="K212" s="5">
        <v>3.1</v>
      </c>
      <c r="L212" s="5">
        <v>0</v>
      </c>
      <c r="M212" s="5">
        <v>1</v>
      </c>
      <c r="N212" s="5">
        <v>0</v>
      </c>
      <c r="O212" s="5">
        <v>45801</v>
      </c>
      <c r="P212" s="5" t="s">
        <v>279</v>
      </c>
      <c r="Q212" s="5">
        <v>1</v>
      </c>
      <c r="R212" s="5">
        <v>1</v>
      </c>
      <c r="S212" s="14">
        <v>1</v>
      </c>
    </row>
    <row r="213" spans="1:19" x14ac:dyDescent="0.35">
      <c r="A213" t="s">
        <v>53</v>
      </c>
      <c r="B213" s="1">
        <v>307</v>
      </c>
      <c r="C213" s="1">
        <v>63963</v>
      </c>
      <c r="D213" s="1">
        <v>248</v>
      </c>
      <c r="E213">
        <f>Table4[[#This Row],[SpellID]]-Table5[[#This Row],[Spell ID]]</f>
        <v>0</v>
      </c>
      <c r="G213" s="6">
        <v>63963</v>
      </c>
      <c r="H213" s="7" t="s">
        <v>53</v>
      </c>
      <c r="I213" s="7" t="s">
        <v>378</v>
      </c>
      <c r="J213" s="7">
        <v>3.1</v>
      </c>
      <c r="K213" s="7">
        <v>3.1</v>
      </c>
      <c r="L213" s="7">
        <v>0</v>
      </c>
      <c r="M213" s="7">
        <v>1</v>
      </c>
      <c r="N213" s="7">
        <v>0</v>
      </c>
      <c r="O213" s="7">
        <v>45802</v>
      </c>
      <c r="P213" s="7" t="s">
        <v>279</v>
      </c>
      <c r="Q213" s="7">
        <v>1</v>
      </c>
      <c r="R213" s="7">
        <v>1</v>
      </c>
      <c r="S213" s="13">
        <v>1</v>
      </c>
    </row>
    <row r="214" spans="1:19" x14ac:dyDescent="0.35">
      <c r="A214" t="s">
        <v>111</v>
      </c>
      <c r="B214" s="1">
        <v>308</v>
      </c>
      <c r="C214" s="1">
        <v>64656</v>
      </c>
      <c r="D214" s="1">
        <v>230</v>
      </c>
      <c r="E214">
        <f>Table4[[#This Row],[SpellID]]-Table5[[#This Row],[Spell ID]]</f>
        <v>0</v>
      </c>
      <c r="G214" s="8">
        <v>64656</v>
      </c>
      <c r="H214" s="5" t="s">
        <v>111</v>
      </c>
      <c r="I214" s="5" t="s">
        <v>369</v>
      </c>
      <c r="J214" s="5">
        <v>1</v>
      </c>
      <c r="K214" s="5">
        <v>1</v>
      </c>
      <c r="L214" s="5">
        <v>0</v>
      </c>
      <c r="M214" s="5">
        <v>1</v>
      </c>
      <c r="N214" s="5">
        <v>0</v>
      </c>
      <c r="O214" s="5">
        <v>46101</v>
      </c>
      <c r="P214" s="5" t="s">
        <v>281</v>
      </c>
      <c r="Q214" s="5"/>
      <c r="R214" s="5">
        <v>1</v>
      </c>
      <c r="S214" s="14">
        <v>1</v>
      </c>
    </row>
    <row r="215" spans="1:19" x14ac:dyDescent="0.35">
      <c r="A215" t="s">
        <v>263</v>
      </c>
      <c r="B215" s="1">
        <v>309</v>
      </c>
      <c r="C215" s="1">
        <v>64657</v>
      </c>
      <c r="D215" s="1">
        <v>230</v>
      </c>
      <c r="E215">
        <f>Table4[[#This Row],[SpellID]]-Table5[[#This Row],[Spell ID]]</f>
        <v>0</v>
      </c>
      <c r="G215" s="6">
        <v>64657</v>
      </c>
      <c r="H215" s="7" t="s">
        <v>263</v>
      </c>
      <c r="I215" s="7" t="s">
        <v>375</v>
      </c>
      <c r="J215" s="7">
        <v>0.6</v>
      </c>
      <c r="K215" s="7">
        <v>0.6</v>
      </c>
      <c r="L215" s="7">
        <v>0</v>
      </c>
      <c r="M215" s="7">
        <v>1</v>
      </c>
      <c r="N215" s="7">
        <v>0</v>
      </c>
      <c r="O215" s="7">
        <v>46100</v>
      </c>
      <c r="P215" s="7" t="s">
        <v>285</v>
      </c>
      <c r="Q215" s="7"/>
      <c r="R215" s="7">
        <v>1</v>
      </c>
      <c r="S215" s="13">
        <v>1</v>
      </c>
    </row>
    <row r="216" spans="1:19" x14ac:dyDescent="0.35">
      <c r="A216" t="s">
        <v>105</v>
      </c>
      <c r="B216" s="1">
        <v>310</v>
      </c>
      <c r="C216" s="1">
        <v>64658</v>
      </c>
      <c r="D216" s="1">
        <v>230</v>
      </c>
      <c r="E216">
        <f>Table4[[#This Row],[SpellID]]-Table5[[#This Row],[Spell ID]]</f>
        <v>0</v>
      </c>
      <c r="G216" s="8">
        <v>64658</v>
      </c>
      <c r="H216" s="5" t="s">
        <v>105</v>
      </c>
      <c r="I216" s="5" t="s">
        <v>370</v>
      </c>
      <c r="J216" s="5">
        <v>0.6</v>
      </c>
      <c r="K216" s="5">
        <v>0.6</v>
      </c>
      <c r="L216" s="5">
        <v>0</v>
      </c>
      <c r="M216" s="5">
        <v>1</v>
      </c>
      <c r="N216" s="5">
        <v>0</v>
      </c>
      <c r="O216" s="5">
        <v>46099</v>
      </c>
      <c r="P216" s="5" t="s">
        <v>285</v>
      </c>
      <c r="Q216" s="5"/>
      <c r="R216" s="5">
        <v>1</v>
      </c>
      <c r="S216" s="14">
        <v>1</v>
      </c>
    </row>
    <row r="217" spans="1:19" x14ac:dyDescent="0.35">
      <c r="A217" t="s">
        <v>260</v>
      </c>
      <c r="B217" s="1">
        <v>311</v>
      </c>
      <c r="C217" s="1">
        <v>64659</v>
      </c>
      <c r="D217" s="1">
        <v>230</v>
      </c>
      <c r="E217">
        <f>Table4[[#This Row],[SpellID]]-Table5[[#This Row],[Spell ID]]</f>
        <v>0</v>
      </c>
      <c r="G217" s="6">
        <v>64659</v>
      </c>
      <c r="H217" s="7" t="s">
        <v>260</v>
      </c>
      <c r="I217" s="7" t="s">
        <v>372</v>
      </c>
      <c r="J217" s="7">
        <v>1</v>
      </c>
      <c r="K217" s="7">
        <v>1</v>
      </c>
      <c r="L217" s="7">
        <v>0</v>
      </c>
      <c r="M217" s="7">
        <v>1</v>
      </c>
      <c r="N217" s="7">
        <v>0</v>
      </c>
      <c r="O217" s="7">
        <v>46102</v>
      </c>
      <c r="P217" s="7" t="s">
        <v>401</v>
      </c>
      <c r="Q217" s="7"/>
      <c r="R217" s="7">
        <v>1</v>
      </c>
      <c r="S217" s="13">
        <v>1</v>
      </c>
    </row>
    <row r="218" spans="1:19" x14ac:dyDescent="0.35">
      <c r="A218" t="s">
        <v>354</v>
      </c>
      <c r="B218" s="1">
        <v>312</v>
      </c>
      <c r="C218" s="1">
        <v>64731</v>
      </c>
      <c r="D218" s="1">
        <v>231</v>
      </c>
      <c r="E218">
        <f>Table4[[#This Row],[SpellID]]-Table5[[#This Row],[Spell ID]]</f>
        <v>0</v>
      </c>
      <c r="G218" s="8">
        <v>64731</v>
      </c>
      <c r="H218" s="5" t="s">
        <v>354</v>
      </c>
      <c r="I218" s="5" t="s">
        <v>379</v>
      </c>
      <c r="J218" s="5">
        <v>0</v>
      </c>
      <c r="K218" s="5">
        <v>0</v>
      </c>
      <c r="L218" s="5">
        <v>1</v>
      </c>
      <c r="M218" s="5">
        <v>1</v>
      </c>
      <c r="N218" s="5">
        <v>0</v>
      </c>
      <c r="O218" s="5">
        <v>46109</v>
      </c>
      <c r="P218" s="5" t="s">
        <v>355</v>
      </c>
      <c r="Q218" s="5">
        <v>1</v>
      </c>
      <c r="R218" s="5">
        <v>1</v>
      </c>
      <c r="S218" s="14">
        <v>1</v>
      </c>
    </row>
    <row r="219" spans="1:19" x14ac:dyDescent="0.35">
      <c r="A219" t="s">
        <v>24</v>
      </c>
      <c r="B219" s="1">
        <v>313</v>
      </c>
      <c r="C219" s="1">
        <v>64927</v>
      </c>
      <c r="D219" s="1">
        <v>248</v>
      </c>
      <c r="E219">
        <f>Table4[[#This Row],[SpellID]]-Table5[[#This Row],[Spell ID]]</f>
        <v>0</v>
      </c>
      <c r="G219" s="6">
        <v>64927</v>
      </c>
      <c r="H219" s="7" t="s">
        <v>24</v>
      </c>
      <c r="I219" s="7" t="s">
        <v>366</v>
      </c>
      <c r="J219" s="7">
        <v>3.1</v>
      </c>
      <c r="K219" s="7">
        <v>3.1</v>
      </c>
      <c r="L219" s="7">
        <v>0</v>
      </c>
      <c r="M219" s="7">
        <v>1</v>
      </c>
      <c r="N219" s="7">
        <v>0</v>
      </c>
      <c r="O219" s="7">
        <v>46708</v>
      </c>
      <c r="P219" s="7" t="s">
        <v>305</v>
      </c>
      <c r="Q219" s="7">
        <v>1</v>
      </c>
      <c r="R219" s="7">
        <v>1</v>
      </c>
      <c r="S219" s="13">
        <v>1</v>
      </c>
    </row>
    <row r="220" spans="1:19" x14ac:dyDescent="0.35">
      <c r="A220" t="s">
        <v>94</v>
      </c>
      <c r="B220" s="1">
        <v>314</v>
      </c>
      <c r="C220" s="1">
        <v>64977</v>
      </c>
      <c r="D220" s="1">
        <v>230</v>
      </c>
      <c r="E220">
        <f>Table4[[#This Row],[SpellID]]-Table5[[#This Row],[Spell ID]]</f>
        <v>0</v>
      </c>
      <c r="G220" s="8">
        <v>64977</v>
      </c>
      <c r="H220" s="5" t="s">
        <v>94</v>
      </c>
      <c r="I220" s="5" t="s">
        <v>374</v>
      </c>
      <c r="J220" s="5">
        <v>0.6</v>
      </c>
      <c r="K220" s="5">
        <v>0.6</v>
      </c>
      <c r="L220" s="5">
        <v>0</v>
      </c>
      <c r="M220" s="5">
        <v>1</v>
      </c>
      <c r="N220" s="5">
        <v>0</v>
      </c>
      <c r="O220" s="5">
        <v>46308</v>
      </c>
      <c r="P220" s="5" t="s">
        <v>285</v>
      </c>
      <c r="Q220" s="5"/>
      <c r="R220" s="5">
        <v>1</v>
      </c>
      <c r="S220" s="14">
        <v>1</v>
      </c>
    </row>
    <row r="221" spans="1:19" x14ac:dyDescent="0.35">
      <c r="A221" t="s">
        <v>31</v>
      </c>
      <c r="B221" s="1">
        <v>317</v>
      </c>
      <c r="C221" s="1">
        <v>65439</v>
      </c>
      <c r="D221" s="1">
        <v>248</v>
      </c>
      <c r="E221">
        <f>Table4[[#This Row],[SpellID]]-Table5[[#This Row],[Spell ID]]</f>
        <v>0</v>
      </c>
      <c r="G221" s="6">
        <v>65439</v>
      </c>
      <c r="H221" s="7" t="s">
        <v>31</v>
      </c>
      <c r="I221" s="7" t="s">
        <v>366</v>
      </c>
      <c r="J221" s="7">
        <v>3.1</v>
      </c>
      <c r="K221" s="7">
        <v>3.1</v>
      </c>
      <c r="L221" s="7">
        <v>0</v>
      </c>
      <c r="M221" s="7">
        <v>1</v>
      </c>
      <c r="N221" s="7">
        <v>0</v>
      </c>
      <c r="O221" s="7">
        <v>46171</v>
      </c>
      <c r="P221" s="7" t="s">
        <v>305</v>
      </c>
      <c r="Q221" s="7">
        <v>1</v>
      </c>
      <c r="R221" s="7">
        <v>1</v>
      </c>
      <c r="S221" s="13">
        <v>1</v>
      </c>
    </row>
    <row r="222" spans="1:19" x14ac:dyDescent="0.35">
      <c r="A222" t="s">
        <v>160</v>
      </c>
      <c r="B222" s="1">
        <v>318</v>
      </c>
      <c r="C222" s="1">
        <v>65637</v>
      </c>
      <c r="D222" s="1">
        <v>230</v>
      </c>
      <c r="E222">
        <f>Table4[[#This Row],[SpellID]]-Table5[[#This Row],[Spell ID]]</f>
        <v>0</v>
      </c>
      <c r="G222" s="6">
        <v>65637</v>
      </c>
      <c r="H222" s="7" t="s">
        <v>160</v>
      </c>
      <c r="I222" s="7" t="s">
        <v>367</v>
      </c>
      <c r="J222" s="7">
        <v>1</v>
      </c>
      <c r="K222" s="7">
        <v>1</v>
      </c>
      <c r="L222" s="7">
        <v>0</v>
      </c>
      <c r="M222" s="7">
        <v>1</v>
      </c>
      <c r="N222" s="7">
        <v>0</v>
      </c>
      <c r="O222" s="7">
        <v>46756</v>
      </c>
      <c r="P222" s="7" t="s">
        <v>283</v>
      </c>
      <c r="Q222" s="7">
        <v>1</v>
      </c>
      <c r="R222" s="7"/>
      <c r="S222" s="13">
        <v>1</v>
      </c>
    </row>
    <row r="223" spans="1:19" x14ac:dyDescent="0.35">
      <c r="A223" t="s">
        <v>228</v>
      </c>
      <c r="B223" s="1">
        <v>319</v>
      </c>
      <c r="C223" s="1">
        <v>65638</v>
      </c>
      <c r="D223" s="1">
        <v>230</v>
      </c>
      <c r="E223">
        <f>Table4[[#This Row],[SpellID]]-Table5[[#This Row],[Spell ID]]</f>
        <v>0</v>
      </c>
      <c r="G223" s="8">
        <v>65638</v>
      </c>
      <c r="H223" s="5" t="s">
        <v>228</v>
      </c>
      <c r="I223" s="5" t="s">
        <v>373</v>
      </c>
      <c r="J223" s="5">
        <v>1</v>
      </c>
      <c r="K223" s="5">
        <v>1</v>
      </c>
      <c r="L223" s="5">
        <v>0</v>
      </c>
      <c r="M223" s="5">
        <v>1</v>
      </c>
      <c r="N223" s="5">
        <v>0</v>
      </c>
      <c r="O223" s="5">
        <v>46744</v>
      </c>
      <c r="P223" s="5" t="s">
        <v>283</v>
      </c>
      <c r="Q223" s="5">
        <v>1</v>
      </c>
      <c r="R223" s="5"/>
      <c r="S223" s="14">
        <v>1</v>
      </c>
    </row>
    <row r="224" spans="1:19" x14ac:dyDescent="0.35">
      <c r="A224" t="s">
        <v>236</v>
      </c>
      <c r="B224" s="1">
        <v>320</v>
      </c>
      <c r="C224" s="1">
        <v>65639</v>
      </c>
      <c r="D224" s="1">
        <v>230</v>
      </c>
      <c r="E224">
        <f>Table4[[#This Row],[SpellID]]-Table5[[#This Row],[Spell ID]]</f>
        <v>0</v>
      </c>
      <c r="G224" s="8">
        <v>65639</v>
      </c>
      <c r="H224" s="5" t="s">
        <v>236</v>
      </c>
      <c r="I224" s="5" t="s">
        <v>384</v>
      </c>
      <c r="J224" s="5">
        <v>1</v>
      </c>
      <c r="K224" s="5">
        <v>1</v>
      </c>
      <c r="L224" s="5">
        <v>0</v>
      </c>
      <c r="M224" s="5">
        <v>1</v>
      </c>
      <c r="N224" s="5">
        <v>0</v>
      </c>
      <c r="O224" s="5">
        <v>46751</v>
      </c>
      <c r="P224" s="5" t="s">
        <v>283</v>
      </c>
      <c r="Q224" s="5"/>
      <c r="R224" s="5">
        <v>1</v>
      </c>
      <c r="S224" s="14">
        <v>1</v>
      </c>
    </row>
    <row r="225" spans="1:19" x14ac:dyDescent="0.35">
      <c r="A225" t="s">
        <v>222</v>
      </c>
      <c r="B225" s="1">
        <v>321</v>
      </c>
      <c r="C225" s="1">
        <v>65640</v>
      </c>
      <c r="D225" s="1">
        <v>230</v>
      </c>
      <c r="E225">
        <f>Table4[[#This Row],[SpellID]]-Table5[[#This Row],[Spell ID]]</f>
        <v>0</v>
      </c>
      <c r="G225" s="8">
        <v>65640</v>
      </c>
      <c r="H225" s="5" t="s">
        <v>222</v>
      </c>
      <c r="I225" s="5" t="s">
        <v>369</v>
      </c>
      <c r="J225" s="5">
        <v>1</v>
      </c>
      <c r="K225" s="5">
        <v>1</v>
      </c>
      <c r="L225" s="5">
        <v>0</v>
      </c>
      <c r="M225" s="5">
        <v>1</v>
      </c>
      <c r="N225" s="5">
        <v>0</v>
      </c>
      <c r="O225" s="5">
        <v>46752</v>
      </c>
      <c r="P225" s="5" t="s">
        <v>283</v>
      </c>
      <c r="Q225" s="5">
        <v>1</v>
      </c>
      <c r="R225" s="5"/>
      <c r="S225" s="14">
        <v>1</v>
      </c>
    </row>
    <row r="226" spans="1:19" x14ac:dyDescent="0.35">
      <c r="A226" t="s">
        <v>156</v>
      </c>
      <c r="B226" s="1">
        <v>322</v>
      </c>
      <c r="C226" s="1">
        <v>65641</v>
      </c>
      <c r="D226" s="1">
        <v>230</v>
      </c>
      <c r="E226">
        <f>Table4[[#This Row],[SpellID]]-Table5[[#This Row],[Spell ID]]</f>
        <v>0</v>
      </c>
      <c r="G226" s="6">
        <v>65641</v>
      </c>
      <c r="H226" s="7" t="s">
        <v>156</v>
      </c>
      <c r="I226" s="7" t="s">
        <v>375</v>
      </c>
      <c r="J226" s="7">
        <v>1</v>
      </c>
      <c r="K226" s="7">
        <v>1</v>
      </c>
      <c r="L226" s="7">
        <v>0</v>
      </c>
      <c r="M226" s="7">
        <v>1</v>
      </c>
      <c r="N226" s="7">
        <v>0</v>
      </c>
      <c r="O226" s="7">
        <v>46755</v>
      </c>
      <c r="P226" s="7" t="s">
        <v>283</v>
      </c>
      <c r="Q226" s="7"/>
      <c r="R226" s="7">
        <v>1</v>
      </c>
      <c r="S226" s="13">
        <v>1</v>
      </c>
    </row>
    <row r="227" spans="1:19" x14ac:dyDescent="0.35">
      <c r="A227" t="s">
        <v>257</v>
      </c>
      <c r="B227" s="1">
        <v>323</v>
      </c>
      <c r="C227" s="1">
        <v>65642</v>
      </c>
      <c r="D227" s="1">
        <v>230</v>
      </c>
      <c r="E227">
        <f>Table4[[#This Row],[SpellID]]-Table5[[#This Row],[Spell ID]]</f>
        <v>0</v>
      </c>
      <c r="G227" s="8">
        <v>65642</v>
      </c>
      <c r="H227" s="5" t="s">
        <v>257</v>
      </c>
      <c r="I227" s="5" t="s">
        <v>365</v>
      </c>
      <c r="J227" s="5">
        <v>1</v>
      </c>
      <c r="K227" s="5">
        <v>1</v>
      </c>
      <c r="L227" s="5">
        <v>0</v>
      </c>
      <c r="M227" s="5">
        <v>1</v>
      </c>
      <c r="N227" s="5">
        <v>0</v>
      </c>
      <c r="O227" s="5">
        <v>46747</v>
      </c>
      <c r="P227" s="5" t="s">
        <v>283</v>
      </c>
      <c r="Q227" s="5">
        <v>1</v>
      </c>
      <c r="R227" s="5"/>
      <c r="S227" s="14">
        <v>1</v>
      </c>
    </row>
    <row r="228" spans="1:19" x14ac:dyDescent="0.35">
      <c r="A228" t="s">
        <v>240</v>
      </c>
      <c r="B228" s="1">
        <v>324</v>
      </c>
      <c r="C228" s="1">
        <v>65643</v>
      </c>
      <c r="D228" s="1">
        <v>230</v>
      </c>
      <c r="E228">
        <f>Table4[[#This Row],[SpellID]]-Table5[[#This Row],[Spell ID]]</f>
        <v>0</v>
      </c>
      <c r="G228" s="8">
        <v>65643</v>
      </c>
      <c r="H228" s="5" t="s">
        <v>240</v>
      </c>
      <c r="I228" s="5" t="s">
        <v>371</v>
      </c>
      <c r="J228" s="5">
        <v>1</v>
      </c>
      <c r="K228" s="5">
        <v>1</v>
      </c>
      <c r="L228" s="5">
        <v>0</v>
      </c>
      <c r="M228" s="5">
        <v>1</v>
      </c>
      <c r="N228" s="5">
        <v>0</v>
      </c>
      <c r="O228" s="5">
        <v>46748</v>
      </c>
      <c r="P228" s="5" t="s">
        <v>283</v>
      </c>
      <c r="Q228" s="5">
        <v>1</v>
      </c>
      <c r="R228" s="5"/>
      <c r="S228" s="14">
        <v>1</v>
      </c>
    </row>
    <row r="229" spans="1:19" x14ac:dyDescent="0.35">
      <c r="A229" t="s">
        <v>234</v>
      </c>
      <c r="B229" s="1">
        <v>325</v>
      </c>
      <c r="C229" s="1">
        <v>65644</v>
      </c>
      <c r="D229" s="1">
        <v>230</v>
      </c>
      <c r="E229">
        <f>Table4[[#This Row],[SpellID]]-Table5[[#This Row],[Spell ID]]</f>
        <v>0</v>
      </c>
      <c r="G229" s="8">
        <v>65644</v>
      </c>
      <c r="H229" s="5" t="s">
        <v>234</v>
      </c>
      <c r="I229" s="5" t="s">
        <v>372</v>
      </c>
      <c r="J229" s="5">
        <v>1</v>
      </c>
      <c r="K229" s="5">
        <v>1</v>
      </c>
      <c r="L229" s="5">
        <v>0</v>
      </c>
      <c r="M229" s="5">
        <v>1</v>
      </c>
      <c r="N229" s="5">
        <v>0</v>
      </c>
      <c r="O229" s="5">
        <v>46743</v>
      </c>
      <c r="P229" s="5" t="s">
        <v>283</v>
      </c>
      <c r="Q229" s="5"/>
      <c r="R229" s="5">
        <v>1</v>
      </c>
      <c r="S229" s="14">
        <v>1</v>
      </c>
    </row>
    <row r="230" spans="1:19" x14ac:dyDescent="0.35">
      <c r="A230" t="s">
        <v>268</v>
      </c>
      <c r="B230" s="1">
        <v>326</v>
      </c>
      <c r="C230" s="1">
        <v>65645</v>
      </c>
      <c r="D230" s="1">
        <v>230</v>
      </c>
      <c r="E230">
        <f>Table4[[#This Row],[SpellID]]-Table5[[#This Row],[Spell ID]]</f>
        <v>0</v>
      </c>
      <c r="G230" s="6">
        <v>65645</v>
      </c>
      <c r="H230" s="7" t="s">
        <v>268</v>
      </c>
      <c r="I230" s="7" t="s">
        <v>369</v>
      </c>
      <c r="J230" s="7">
        <v>1</v>
      </c>
      <c r="K230" s="7">
        <v>1</v>
      </c>
      <c r="L230" s="7">
        <v>0</v>
      </c>
      <c r="M230" s="7">
        <v>1</v>
      </c>
      <c r="N230" s="7">
        <v>0</v>
      </c>
      <c r="O230" s="7">
        <v>46764</v>
      </c>
      <c r="P230" s="7" t="s">
        <v>283</v>
      </c>
      <c r="Q230" s="7"/>
      <c r="R230" s="7">
        <v>1</v>
      </c>
      <c r="S230" s="13">
        <v>1</v>
      </c>
    </row>
    <row r="231" spans="1:19" x14ac:dyDescent="0.35">
      <c r="A231" t="s">
        <v>218</v>
      </c>
      <c r="B231" s="1">
        <v>327</v>
      </c>
      <c r="C231" s="1">
        <v>65646</v>
      </c>
      <c r="D231" s="1">
        <v>230</v>
      </c>
      <c r="E231">
        <f>Table4[[#This Row],[SpellID]]-Table5[[#This Row],[Spell ID]]</f>
        <v>0</v>
      </c>
      <c r="G231" s="6">
        <v>65646</v>
      </c>
      <c r="H231" s="7" t="s">
        <v>218</v>
      </c>
      <c r="I231" s="7" t="s">
        <v>370</v>
      </c>
      <c r="J231" s="7">
        <v>1</v>
      </c>
      <c r="K231" s="7">
        <v>1</v>
      </c>
      <c r="L231" s="7">
        <v>0</v>
      </c>
      <c r="M231" s="7">
        <v>1</v>
      </c>
      <c r="N231" s="7">
        <v>0</v>
      </c>
      <c r="O231" s="7">
        <v>46757</v>
      </c>
      <c r="P231" s="7" t="s">
        <v>283</v>
      </c>
      <c r="Q231" s="7"/>
      <c r="R231" s="7">
        <v>1</v>
      </c>
      <c r="S231" s="13">
        <v>1</v>
      </c>
    </row>
    <row r="232" spans="1:19" x14ac:dyDescent="0.35">
      <c r="A232" t="s">
        <v>54</v>
      </c>
      <c r="B232" s="1">
        <v>329</v>
      </c>
      <c r="C232" s="1">
        <v>66087</v>
      </c>
      <c r="D232" s="1">
        <v>248</v>
      </c>
      <c r="E232">
        <f>Table4[[#This Row],[SpellID]]-Table5[[#This Row],[Spell ID]]</f>
        <v>0</v>
      </c>
      <c r="G232" s="8">
        <v>66087</v>
      </c>
      <c r="H232" s="5" t="s">
        <v>54</v>
      </c>
      <c r="I232" s="5" t="s">
        <v>388</v>
      </c>
      <c r="J232" s="5">
        <v>2.8</v>
      </c>
      <c r="K232" s="5">
        <v>2.8</v>
      </c>
      <c r="L232" s="5">
        <v>0</v>
      </c>
      <c r="M232" s="5">
        <v>1</v>
      </c>
      <c r="N232" s="5">
        <v>0</v>
      </c>
      <c r="O232" s="5">
        <v>46813</v>
      </c>
      <c r="P232" s="5" t="s">
        <v>283</v>
      </c>
      <c r="Q232" s="5">
        <v>1</v>
      </c>
      <c r="R232" s="5"/>
      <c r="S232" s="14">
        <v>1</v>
      </c>
    </row>
    <row r="233" spans="1:19" x14ac:dyDescent="0.35">
      <c r="A233" t="s">
        <v>57</v>
      </c>
      <c r="B233" s="1">
        <v>330</v>
      </c>
      <c r="C233" s="1">
        <v>66088</v>
      </c>
      <c r="D233" s="1">
        <v>248</v>
      </c>
      <c r="E233">
        <f>Table4[[#This Row],[SpellID]]-Table5[[#This Row],[Spell ID]]</f>
        <v>0</v>
      </c>
      <c r="G233" s="6">
        <v>66088</v>
      </c>
      <c r="H233" s="7" t="s">
        <v>57</v>
      </c>
      <c r="I233" s="7" t="s">
        <v>393</v>
      </c>
      <c r="J233" s="7">
        <v>2.8</v>
      </c>
      <c r="K233" s="7">
        <v>2.8</v>
      </c>
      <c r="L233" s="7">
        <v>0</v>
      </c>
      <c r="M233" s="7">
        <v>1</v>
      </c>
      <c r="N233" s="7">
        <v>0</v>
      </c>
      <c r="O233" s="7">
        <v>46814</v>
      </c>
      <c r="P233" s="7" t="s">
        <v>283</v>
      </c>
      <c r="Q233" s="7"/>
      <c r="R233" s="7">
        <v>1</v>
      </c>
      <c r="S233" s="13">
        <v>1</v>
      </c>
    </row>
    <row r="234" spans="1:19" x14ac:dyDescent="0.35">
      <c r="A234" t="s">
        <v>186</v>
      </c>
      <c r="B234" s="1">
        <v>331</v>
      </c>
      <c r="C234" s="1">
        <v>66090</v>
      </c>
      <c r="D234" s="1">
        <v>230</v>
      </c>
      <c r="E234">
        <f>Table4[[#This Row],[SpellID]]-Table5[[#This Row],[Spell ID]]</f>
        <v>0</v>
      </c>
      <c r="G234" s="8">
        <v>66090</v>
      </c>
      <c r="H234" s="5" t="s">
        <v>186</v>
      </c>
      <c r="I234" s="5" t="s">
        <v>369</v>
      </c>
      <c r="J234" s="5">
        <v>1</v>
      </c>
      <c r="K234" s="5">
        <v>1</v>
      </c>
      <c r="L234" s="5">
        <v>0</v>
      </c>
      <c r="M234" s="5">
        <v>1</v>
      </c>
      <c r="N234" s="5">
        <v>0</v>
      </c>
      <c r="O234" s="5">
        <v>46815</v>
      </c>
      <c r="P234" s="5" t="s">
        <v>422</v>
      </c>
      <c r="Q234" s="5">
        <v>1</v>
      </c>
      <c r="R234" s="5">
        <v>1</v>
      </c>
      <c r="S234" s="14">
        <v>1</v>
      </c>
    </row>
    <row r="235" spans="1:19" x14ac:dyDescent="0.35">
      <c r="A235" t="s">
        <v>211</v>
      </c>
      <c r="B235" s="1">
        <v>332</v>
      </c>
      <c r="C235" s="1">
        <v>66091</v>
      </c>
      <c r="D235" s="1">
        <v>230</v>
      </c>
      <c r="E235">
        <f>Table4[[#This Row],[SpellID]]-Table5[[#This Row],[Spell ID]]</f>
        <v>0</v>
      </c>
      <c r="G235" s="6">
        <v>66091</v>
      </c>
      <c r="H235" s="7" t="s">
        <v>211</v>
      </c>
      <c r="I235" s="7" t="s">
        <v>384</v>
      </c>
      <c r="J235" s="7">
        <v>1</v>
      </c>
      <c r="K235" s="7">
        <v>1</v>
      </c>
      <c r="L235" s="7">
        <v>0</v>
      </c>
      <c r="M235" s="7">
        <v>1</v>
      </c>
      <c r="N235" s="7">
        <v>0</v>
      </c>
      <c r="O235" s="7">
        <v>46816</v>
      </c>
      <c r="P235" s="7" t="s">
        <v>283</v>
      </c>
      <c r="Q235" s="7"/>
      <c r="R235" s="7">
        <v>1</v>
      </c>
      <c r="S235" s="13">
        <v>1</v>
      </c>
    </row>
    <row r="236" spans="1:19" x14ac:dyDescent="0.35">
      <c r="A236" t="s">
        <v>170</v>
      </c>
      <c r="B236" s="1">
        <v>335</v>
      </c>
      <c r="C236" s="1">
        <v>66124</v>
      </c>
      <c r="D236" s="1">
        <v>230</v>
      </c>
      <c r="E236">
        <f>Table4[[#This Row],[SpellID]]-Table5[[#This Row],[Spell ID]]</f>
        <v>0</v>
      </c>
      <c r="G236" s="8">
        <v>66124</v>
      </c>
      <c r="H236" s="5" t="s">
        <v>170</v>
      </c>
      <c r="I236" s="5" t="s">
        <v>394</v>
      </c>
      <c r="J236" s="5">
        <v>1</v>
      </c>
      <c r="K236" s="5">
        <v>1</v>
      </c>
      <c r="L236" s="5">
        <v>0</v>
      </c>
      <c r="M236" s="5">
        <v>1</v>
      </c>
      <c r="N236" s="5">
        <v>0</v>
      </c>
      <c r="O236" s="5">
        <v>198631</v>
      </c>
      <c r="P236" s="5" t="s">
        <v>325</v>
      </c>
      <c r="Q236" s="5">
        <v>1</v>
      </c>
      <c r="R236" s="5">
        <v>1</v>
      </c>
      <c r="S236" s="14">
        <v>1</v>
      </c>
    </row>
    <row r="237" spans="1:19" x14ac:dyDescent="0.35">
      <c r="A237" t="s">
        <v>176</v>
      </c>
      <c r="B237" s="1">
        <v>336</v>
      </c>
      <c r="C237" s="1">
        <v>66846</v>
      </c>
      <c r="D237" s="1">
        <v>230</v>
      </c>
      <c r="E237">
        <f>Table4[[#This Row],[SpellID]]-Table5[[#This Row],[Spell ID]]</f>
        <v>0</v>
      </c>
      <c r="G237" s="6">
        <v>66846</v>
      </c>
      <c r="H237" s="7" t="s">
        <v>176</v>
      </c>
      <c r="I237" s="7" t="s">
        <v>374</v>
      </c>
      <c r="J237" s="7">
        <v>1</v>
      </c>
      <c r="K237" s="7">
        <v>1</v>
      </c>
      <c r="L237" s="7">
        <v>0</v>
      </c>
      <c r="M237" s="7">
        <v>1</v>
      </c>
      <c r="N237" s="7">
        <v>0</v>
      </c>
      <c r="O237" s="7">
        <v>47101</v>
      </c>
      <c r="P237" s="7" t="s">
        <v>285</v>
      </c>
      <c r="Q237" s="7"/>
      <c r="R237" s="7">
        <v>1</v>
      </c>
      <c r="S237" s="13">
        <v>1</v>
      </c>
    </row>
    <row r="238" spans="1:19" x14ac:dyDescent="0.35">
      <c r="A238" t="s">
        <v>206</v>
      </c>
      <c r="B238" s="1">
        <v>337</v>
      </c>
      <c r="C238" s="1">
        <v>66847</v>
      </c>
      <c r="D238" s="1">
        <v>230</v>
      </c>
      <c r="E238">
        <f>Table4[[#This Row],[SpellID]]-Table5[[#This Row],[Spell ID]]</f>
        <v>0</v>
      </c>
      <c r="G238" s="8">
        <v>66847</v>
      </c>
      <c r="H238" s="5" t="s">
        <v>206</v>
      </c>
      <c r="I238" s="5" t="s">
        <v>373</v>
      </c>
      <c r="J238" s="5">
        <v>0.6</v>
      </c>
      <c r="K238" s="5">
        <v>0.6</v>
      </c>
      <c r="L238" s="5">
        <v>0</v>
      </c>
      <c r="M238" s="5">
        <v>1</v>
      </c>
      <c r="N238" s="5">
        <v>0</v>
      </c>
      <c r="O238" s="5">
        <v>47100</v>
      </c>
      <c r="P238" s="5" t="s">
        <v>410</v>
      </c>
      <c r="Q238" s="5">
        <v>1</v>
      </c>
      <c r="R238" s="5"/>
      <c r="S238" s="14">
        <v>1</v>
      </c>
    </row>
    <row r="239" spans="1:19" x14ac:dyDescent="0.35">
      <c r="A239" t="s">
        <v>84</v>
      </c>
      <c r="B239" s="1">
        <v>338</v>
      </c>
      <c r="C239" s="1">
        <v>66906</v>
      </c>
      <c r="D239" s="1">
        <v>230</v>
      </c>
      <c r="E239">
        <f>Table4[[#This Row],[SpellID]]-Table5[[#This Row],[Spell ID]]</f>
        <v>0</v>
      </c>
      <c r="G239" s="6">
        <v>66906</v>
      </c>
      <c r="H239" s="7" t="s">
        <v>84</v>
      </c>
      <c r="I239" s="7" t="s">
        <v>369</v>
      </c>
      <c r="J239" s="7">
        <v>1</v>
      </c>
      <c r="K239" s="7">
        <v>1</v>
      </c>
      <c r="L239" s="7">
        <v>0</v>
      </c>
      <c r="M239" s="7">
        <v>1</v>
      </c>
      <c r="N239" s="7">
        <v>0</v>
      </c>
      <c r="O239" s="7">
        <v>47179</v>
      </c>
      <c r="P239" s="7" t="s">
        <v>282</v>
      </c>
      <c r="Q239" s="7">
        <v>1</v>
      </c>
      <c r="R239" s="7">
        <v>1</v>
      </c>
      <c r="S239" s="13">
        <v>1</v>
      </c>
    </row>
    <row r="240" spans="1:19" x14ac:dyDescent="0.35">
      <c r="A240" t="s">
        <v>52</v>
      </c>
      <c r="B240" s="1">
        <v>340</v>
      </c>
      <c r="C240" s="1">
        <v>67336</v>
      </c>
      <c r="D240" s="1">
        <v>248</v>
      </c>
      <c r="E240">
        <f>Table4[[#This Row],[SpellID]]-Table5[[#This Row],[Spell ID]]</f>
        <v>0</v>
      </c>
      <c r="G240" s="6">
        <v>67336</v>
      </c>
      <c r="H240" s="7" t="s">
        <v>52</v>
      </c>
      <c r="I240" s="7" t="s">
        <v>366</v>
      </c>
      <c r="J240" s="7">
        <v>3.1</v>
      </c>
      <c r="K240" s="7">
        <v>3.1</v>
      </c>
      <c r="L240" s="7">
        <v>0</v>
      </c>
      <c r="M240" s="7">
        <v>1</v>
      </c>
      <c r="N240" s="7">
        <v>0</v>
      </c>
      <c r="O240" s="7">
        <v>47840</v>
      </c>
      <c r="P240" s="7" t="s">
        <v>305</v>
      </c>
      <c r="Q240" s="7">
        <v>1</v>
      </c>
      <c r="R240" s="7">
        <v>1</v>
      </c>
      <c r="S240" s="13">
        <v>1</v>
      </c>
    </row>
    <row r="241" spans="1:19" x14ac:dyDescent="0.35">
      <c r="A241" t="s">
        <v>85</v>
      </c>
      <c r="B241" s="1">
        <v>341</v>
      </c>
      <c r="C241" s="1">
        <v>67466</v>
      </c>
      <c r="D241" s="1">
        <v>230</v>
      </c>
      <c r="E241">
        <f>Table4[[#This Row],[SpellID]]-Table5[[#This Row],[Spell ID]]</f>
        <v>0</v>
      </c>
      <c r="G241" s="8">
        <v>67466</v>
      </c>
      <c r="H241" s="5" t="s">
        <v>85</v>
      </c>
      <c r="I241" s="5" t="s">
        <v>369</v>
      </c>
      <c r="J241" s="5">
        <v>1</v>
      </c>
      <c r="K241" s="5">
        <v>1</v>
      </c>
      <c r="L241" s="5">
        <v>0</v>
      </c>
      <c r="M241" s="5">
        <v>1</v>
      </c>
      <c r="N241" s="5">
        <v>0</v>
      </c>
      <c r="O241" s="5">
        <v>47180</v>
      </c>
      <c r="P241" s="5" t="s">
        <v>411</v>
      </c>
      <c r="Q241" s="5">
        <v>1</v>
      </c>
      <c r="R241" s="5">
        <v>1</v>
      </c>
      <c r="S241" s="14">
        <v>1</v>
      </c>
    </row>
    <row r="242" spans="1:19" x14ac:dyDescent="0.35">
      <c r="A242" t="s">
        <v>226</v>
      </c>
      <c r="B242" s="1">
        <v>342</v>
      </c>
      <c r="C242" s="1">
        <v>68056</v>
      </c>
      <c r="D242" s="1">
        <v>230</v>
      </c>
      <c r="E242">
        <f>Table4[[#This Row],[SpellID]]-Table5[[#This Row],[Spell ID]]</f>
        <v>0</v>
      </c>
      <c r="G242" s="6">
        <v>68056</v>
      </c>
      <c r="H242" s="7" t="s">
        <v>226</v>
      </c>
      <c r="I242" s="7" t="s">
        <v>370</v>
      </c>
      <c r="J242" s="7">
        <v>1</v>
      </c>
      <c r="K242" s="7">
        <v>1</v>
      </c>
      <c r="L242" s="7">
        <v>0</v>
      </c>
      <c r="M242" s="7">
        <v>1</v>
      </c>
      <c r="N242" s="7">
        <v>0</v>
      </c>
      <c r="O242" s="7">
        <v>49046</v>
      </c>
      <c r="P242" s="7" t="s">
        <v>334</v>
      </c>
      <c r="Q242" s="7"/>
      <c r="R242" s="7">
        <v>1</v>
      </c>
      <c r="S242" s="13">
        <v>1</v>
      </c>
    </row>
    <row r="243" spans="1:19" x14ac:dyDescent="0.35">
      <c r="A243" t="s">
        <v>212</v>
      </c>
      <c r="B243" s="1">
        <v>343</v>
      </c>
      <c r="C243" s="1">
        <v>68057</v>
      </c>
      <c r="D243" s="1">
        <v>230</v>
      </c>
      <c r="E243">
        <f>Table4[[#This Row],[SpellID]]-Table5[[#This Row],[Spell ID]]</f>
        <v>0</v>
      </c>
      <c r="G243" s="8">
        <v>68057</v>
      </c>
      <c r="H243" s="5" t="s">
        <v>212</v>
      </c>
      <c r="I243" s="5" t="s">
        <v>369</v>
      </c>
      <c r="J243" s="5">
        <v>1</v>
      </c>
      <c r="K243" s="5">
        <v>1</v>
      </c>
      <c r="L243" s="5">
        <v>0</v>
      </c>
      <c r="M243" s="5">
        <v>1</v>
      </c>
      <c r="N243" s="5">
        <v>0</v>
      </c>
      <c r="O243" s="5">
        <v>49044</v>
      </c>
      <c r="P243" s="5" t="s">
        <v>283</v>
      </c>
      <c r="Q243" s="5">
        <v>1</v>
      </c>
      <c r="R243" s="5"/>
      <c r="S243" s="14">
        <v>1</v>
      </c>
    </row>
    <row r="244" spans="1:19" x14ac:dyDescent="0.35">
      <c r="A244" t="s">
        <v>128</v>
      </c>
      <c r="B244" s="1">
        <v>344</v>
      </c>
      <c r="C244" s="1">
        <v>68187</v>
      </c>
      <c r="D244" s="1">
        <v>230</v>
      </c>
      <c r="E244">
        <f>Table4[[#This Row],[SpellID]]-Table5[[#This Row],[Spell ID]]</f>
        <v>0</v>
      </c>
      <c r="G244" s="6">
        <v>68187</v>
      </c>
      <c r="H244" s="7" t="s">
        <v>128</v>
      </c>
      <c r="I244" s="7" t="s">
        <v>369</v>
      </c>
      <c r="J244" s="7">
        <v>1</v>
      </c>
      <c r="K244" s="7">
        <v>1</v>
      </c>
      <c r="L244" s="7">
        <v>0</v>
      </c>
      <c r="M244" s="7">
        <v>1</v>
      </c>
      <c r="N244" s="7">
        <v>0</v>
      </c>
      <c r="O244" s="7">
        <v>49096</v>
      </c>
      <c r="P244" s="7" t="s">
        <v>279</v>
      </c>
      <c r="Q244" s="7">
        <v>1</v>
      </c>
      <c r="R244" s="7"/>
      <c r="S244" s="13">
        <v>1</v>
      </c>
    </row>
    <row r="245" spans="1:19" x14ac:dyDescent="0.35">
      <c r="A245" t="s">
        <v>127</v>
      </c>
      <c r="B245" s="1">
        <v>345</v>
      </c>
      <c r="C245" s="1">
        <v>68188</v>
      </c>
      <c r="D245" s="1">
        <v>230</v>
      </c>
      <c r="E245">
        <f>Table4[[#This Row],[SpellID]]-Table5[[#This Row],[Spell ID]]</f>
        <v>0</v>
      </c>
      <c r="G245" s="8">
        <v>68188</v>
      </c>
      <c r="H245" s="5" t="s">
        <v>127</v>
      </c>
      <c r="I245" s="5" t="s">
        <v>369</v>
      </c>
      <c r="J245" s="5">
        <v>1</v>
      </c>
      <c r="K245" s="5">
        <v>1</v>
      </c>
      <c r="L245" s="5">
        <v>0</v>
      </c>
      <c r="M245" s="5">
        <v>1</v>
      </c>
      <c r="N245" s="5">
        <v>0</v>
      </c>
      <c r="O245" s="5">
        <v>49098</v>
      </c>
      <c r="P245" s="5" t="s">
        <v>279</v>
      </c>
      <c r="Q245" s="5"/>
      <c r="R245" s="5">
        <v>1</v>
      </c>
      <c r="S245" s="14">
        <v>1</v>
      </c>
    </row>
    <row r="246" spans="1:19" x14ac:dyDescent="0.35">
      <c r="A246" t="s">
        <v>43</v>
      </c>
      <c r="B246" s="1">
        <v>349</v>
      </c>
      <c r="C246" s="1">
        <v>69395</v>
      </c>
      <c r="D246" s="1">
        <v>248</v>
      </c>
      <c r="E246">
        <f>Table4[[#This Row],[SpellID]]-Table5[[#This Row],[Spell ID]]</f>
        <v>0</v>
      </c>
      <c r="G246" s="6">
        <v>69395</v>
      </c>
      <c r="H246" s="7" t="s">
        <v>43</v>
      </c>
      <c r="I246" s="7" t="s">
        <v>376</v>
      </c>
      <c r="J246" s="7">
        <v>3.1</v>
      </c>
      <c r="K246" s="7">
        <v>3.1</v>
      </c>
      <c r="L246" s="7">
        <v>0</v>
      </c>
      <c r="M246" s="7">
        <v>1</v>
      </c>
      <c r="N246" s="7">
        <v>0</v>
      </c>
      <c r="O246" s="7">
        <v>49636</v>
      </c>
      <c r="P246" s="7" t="s">
        <v>329</v>
      </c>
      <c r="Q246" s="7">
        <v>1</v>
      </c>
      <c r="R246" s="7">
        <v>1</v>
      </c>
      <c r="S246" s="13">
        <v>1</v>
      </c>
    </row>
    <row r="247" spans="1:19" x14ac:dyDescent="0.35">
      <c r="A247" t="s">
        <v>356</v>
      </c>
      <c r="B247" s="1">
        <v>352</v>
      </c>
      <c r="C247" s="1">
        <v>71342</v>
      </c>
      <c r="D247" s="1">
        <v>248</v>
      </c>
      <c r="E247">
        <f>Table4[[#This Row],[SpellID]]-Table5[[#This Row],[Spell ID]]</f>
        <v>0</v>
      </c>
      <c r="G247" s="8">
        <v>71342</v>
      </c>
      <c r="H247" s="5" t="s">
        <v>356</v>
      </c>
      <c r="I247" s="5" t="s">
        <v>390</v>
      </c>
      <c r="J247" s="5">
        <v>3.1</v>
      </c>
      <c r="K247" s="5">
        <v>0.6</v>
      </c>
      <c r="L247" s="5">
        <v>0</v>
      </c>
      <c r="M247" s="5">
        <v>1</v>
      </c>
      <c r="N247" s="5">
        <v>0</v>
      </c>
      <c r="O247" s="5">
        <v>50250</v>
      </c>
      <c r="P247" s="5" t="s">
        <v>357</v>
      </c>
      <c r="Q247" s="5">
        <v>1</v>
      </c>
      <c r="R247" s="5">
        <v>1</v>
      </c>
      <c r="S247" s="14">
        <v>1</v>
      </c>
    </row>
    <row r="248" spans="1:19" x14ac:dyDescent="0.35">
      <c r="A248" t="s">
        <v>75</v>
      </c>
      <c r="B248" s="1">
        <v>358</v>
      </c>
      <c r="C248" s="1">
        <v>71810</v>
      </c>
      <c r="D248" s="1">
        <v>248</v>
      </c>
      <c r="E248">
        <f>Table4[[#This Row],[SpellID]]-Table5[[#This Row],[Spell ID]]</f>
        <v>0</v>
      </c>
      <c r="G248" s="6">
        <v>71810</v>
      </c>
      <c r="H248" s="7" t="s">
        <v>75</v>
      </c>
      <c r="I248" s="7" t="s">
        <v>366</v>
      </c>
      <c r="J248" s="7">
        <v>3.1</v>
      </c>
      <c r="K248" s="7">
        <v>3.1</v>
      </c>
      <c r="L248" s="7">
        <v>0</v>
      </c>
      <c r="M248" s="7">
        <v>1</v>
      </c>
      <c r="N248" s="7">
        <v>0</v>
      </c>
      <c r="O248" s="7">
        <v>50435</v>
      </c>
      <c r="P248" s="7" t="s">
        <v>305</v>
      </c>
      <c r="Q248" s="7">
        <v>1</v>
      </c>
      <c r="R248" s="7">
        <v>1</v>
      </c>
      <c r="S248" s="13">
        <v>1</v>
      </c>
    </row>
    <row r="249" spans="1:19" x14ac:dyDescent="0.35">
      <c r="A249" t="s">
        <v>358</v>
      </c>
      <c r="B249" s="1">
        <v>363</v>
      </c>
      <c r="C249" s="1">
        <v>72286</v>
      </c>
      <c r="D249" s="1">
        <v>248</v>
      </c>
      <c r="E249">
        <f>Table4[[#This Row],[SpellID]]-Table5[[#This Row],[Spell ID]]</f>
        <v>0</v>
      </c>
      <c r="G249" s="8">
        <v>72286</v>
      </c>
      <c r="H249" s="5" t="s">
        <v>358</v>
      </c>
      <c r="I249" s="5" t="s">
        <v>366</v>
      </c>
      <c r="J249" s="5">
        <v>2.8</v>
      </c>
      <c r="K249" s="5">
        <v>2.8</v>
      </c>
      <c r="L249" s="5">
        <v>0</v>
      </c>
      <c r="M249" s="5">
        <v>1</v>
      </c>
      <c r="N249" s="5">
        <v>0</v>
      </c>
      <c r="O249" s="5">
        <v>50818</v>
      </c>
      <c r="P249" s="5" t="s">
        <v>359</v>
      </c>
      <c r="Q249" s="5">
        <v>1</v>
      </c>
      <c r="R249" s="5">
        <v>1</v>
      </c>
      <c r="S249" s="14">
        <v>1</v>
      </c>
    </row>
    <row r="250" spans="1:19" x14ac:dyDescent="0.35">
      <c r="A250" t="s">
        <v>36</v>
      </c>
      <c r="B250" s="1">
        <v>364</v>
      </c>
      <c r="C250" s="1">
        <v>72807</v>
      </c>
      <c r="D250" s="1">
        <v>248</v>
      </c>
      <c r="E250">
        <f>Table4[[#This Row],[SpellID]]-Table5[[#This Row],[Spell ID]]</f>
        <v>0</v>
      </c>
      <c r="G250" s="6">
        <v>72807</v>
      </c>
      <c r="H250" s="7" t="s">
        <v>36</v>
      </c>
      <c r="I250" s="7" t="s">
        <v>366</v>
      </c>
      <c r="J250" s="7">
        <v>3.1</v>
      </c>
      <c r="K250" s="7">
        <v>3.1</v>
      </c>
      <c r="L250" s="7">
        <v>0</v>
      </c>
      <c r="M250" s="7">
        <v>1</v>
      </c>
      <c r="N250" s="7">
        <v>0</v>
      </c>
      <c r="O250" s="7">
        <v>51955</v>
      </c>
      <c r="P250" s="7" t="s">
        <v>279</v>
      </c>
      <c r="Q250" s="7">
        <v>1</v>
      </c>
      <c r="R250" s="7">
        <v>1</v>
      </c>
      <c r="S250" s="13">
        <v>1</v>
      </c>
    </row>
    <row r="251" spans="1:19" x14ac:dyDescent="0.35">
      <c r="A251" t="s">
        <v>14</v>
      </c>
      <c r="B251" s="1">
        <v>365</v>
      </c>
      <c r="C251" s="1">
        <v>72808</v>
      </c>
      <c r="D251" s="1">
        <v>248</v>
      </c>
      <c r="E251">
        <f>Table4[[#This Row],[SpellID]]-Table5[[#This Row],[Spell ID]]</f>
        <v>0</v>
      </c>
      <c r="G251" s="8">
        <v>72808</v>
      </c>
      <c r="H251" s="5" t="s">
        <v>14</v>
      </c>
      <c r="I251" s="5" t="s">
        <v>366</v>
      </c>
      <c r="J251" s="5">
        <v>3.1</v>
      </c>
      <c r="K251" s="5">
        <v>3.1</v>
      </c>
      <c r="L251" s="5">
        <v>0</v>
      </c>
      <c r="M251" s="5">
        <v>1</v>
      </c>
      <c r="N251" s="5">
        <v>0</v>
      </c>
      <c r="O251" s="5">
        <v>51954</v>
      </c>
      <c r="P251" s="5" t="s">
        <v>279</v>
      </c>
      <c r="Q251" s="5">
        <v>1</v>
      </c>
      <c r="R251" s="5">
        <v>1</v>
      </c>
      <c r="S251" s="14">
        <v>1</v>
      </c>
    </row>
    <row r="252" spans="1:19" x14ac:dyDescent="0.35">
      <c r="A252" t="s">
        <v>126</v>
      </c>
      <c r="B252" s="1">
        <v>366</v>
      </c>
      <c r="C252" s="1">
        <v>73313</v>
      </c>
      <c r="D252" s="1">
        <v>230</v>
      </c>
      <c r="E252">
        <f>Table4[[#This Row],[SpellID]]-Table5[[#This Row],[Spell ID]]</f>
        <v>0</v>
      </c>
      <c r="G252" s="6">
        <v>73313</v>
      </c>
      <c r="H252" s="7" t="s">
        <v>126</v>
      </c>
      <c r="I252" s="7" t="s">
        <v>374</v>
      </c>
      <c r="J252" s="7">
        <v>1</v>
      </c>
      <c r="K252" s="7">
        <v>1</v>
      </c>
      <c r="L252" s="7">
        <v>0</v>
      </c>
      <c r="M252" s="7">
        <v>1</v>
      </c>
      <c r="N252" s="7">
        <v>0</v>
      </c>
      <c r="O252" s="7">
        <v>52200</v>
      </c>
      <c r="P252" s="7" t="s">
        <v>309</v>
      </c>
      <c r="Q252" s="7">
        <v>1</v>
      </c>
      <c r="R252" s="7">
        <v>1</v>
      </c>
      <c r="S252" s="13">
        <v>1</v>
      </c>
    </row>
    <row r="253" spans="1:19" x14ac:dyDescent="0.35">
      <c r="A253" t="s">
        <v>360</v>
      </c>
      <c r="B253" s="1">
        <v>371</v>
      </c>
      <c r="C253" s="1">
        <v>74856</v>
      </c>
      <c r="D253" s="1">
        <v>248</v>
      </c>
      <c r="E253">
        <f>Table4[[#This Row],[SpellID]]-Table5[[#This Row],[Spell ID]]</f>
        <v>0</v>
      </c>
      <c r="G253" s="8">
        <v>74856</v>
      </c>
      <c r="H253" s="5" t="s">
        <v>360</v>
      </c>
      <c r="I253" s="5" t="s">
        <v>388</v>
      </c>
      <c r="J253" s="5">
        <v>2.8</v>
      </c>
      <c r="K253" s="5">
        <v>2.8</v>
      </c>
      <c r="L253" s="5">
        <v>0</v>
      </c>
      <c r="M253" s="5">
        <v>1</v>
      </c>
      <c r="N253" s="5">
        <v>0</v>
      </c>
      <c r="O253" s="5">
        <v>54069</v>
      </c>
      <c r="P253" s="5" t="s">
        <v>325</v>
      </c>
      <c r="Q253" s="5">
        <v>1</v>
      </c>
      <c r="R253" s="5">
        <v>1</v>
      </c>
      <c r="S253" s="14">
        <v>1</v>
      </c>
    </row>
    <row r="254" spans="1:19" x14ac:dyDescent="0.35">
      <c r="A254" t="s">
        <v>30</v>
      </c>
      <c r="B254" s="1">
        <v>375</v>
      </c>
      <c r="C254" s="1">
        <v>75596</v>
      </c>
      <c r="D254" s="1">
        <v>248</v>
      </c>
      <c r="E254">
        <f>Table4[[#This Row],[SpellID]]-Table5[[#This Row],[Spell ID]]</f>
        <v>0</v>
      </c>
      <c r="G254" s="8">
        <v>75596</v>
      </c>
      <c r="H254" s="5" t="s">
        <v>30</v>
      </c>
      <c r="I254" s="5" t="s">
        <v>392</v>
      </c>
      <c r="J254" s="5">
        <v>2.8</v>
      </c>
      <c r="K254" s="5">
        <v>2.8</v>
      </c>
      <c r="L254" s="5">
        <v>0</v>
      </c>
      <c r="M254" s="5">
        <v>1</v>
      </c>
      <c r="N254" s="5">
        <v>0</v>
      </c>
      <c r="O254" s="5">
        <v>54797</v>
      </c>
      <c r="P254" s="5" t="s">
        <v>313</v>
      </c>
      <c r="Q254" s="5">
        <v>1</v>
      </c>
      <c r="R254" s="5">
        <v>1</v>
      </c>
      <c r="S254" s="14">
        <v>1</v>
      </c>
    </row>
    <row r="255" spans="1:19" x14ac:dyDescent="0.35">
      <c r="A255" t="s">
        <v>362</v>
      </c>
      <c r="B255" s="1">
        <v>1761</v>
      </c>
      <c r="C255" s="1">
        <v>348459</v>
      </c>
      <c r="D255" s="1">
        <v>230</v>
      </c>
      <c r="E255">
        <f>Table4[[#This Row],[SpellID]]-Table5[[#This Row],[Spell ID]]</f>
        <v>0</v>
      </c>
      <c r="G255" s="6">
        <v>348459</v>
      </c>
      <c r="H255" s="7" t="s">
        <v>362</v>
      </c>
      <c r="I255" s="7" t="s">
        <v>391</v>
      </c>
      <c r="J255" s="7">
        <v>1</v>
      </c>
      <c r="K255" s="7">
        <v>1</v>
      </c>
      <c r="L255" s="7">
        <v>0</v>
      </c>
      <c r="M255" s="7">
        <v>1</v>
      </c>
      <c r="N255" s="7">
        <v>0</v>
      </c>
      <c r="O255" s="7">
        <v>184865</v>
      </c>
      <c r="P255" s="7" t="s">
        <v>361</v>
      </c>
      <c r="Q255" s="7">
        <v>1</v>
      </c>
      <c r="R255" s="7">
        <v>1</v>
      </c>
      <c r="S255" s="13">
        <v>1</v>
      </c>
    </row>
    <row r="256" spans="1:19" x14ac:dyDescent="0.35">
      <c r="A256" t="s">
        <v>406</v>
      </c>
      <c r="B256" s="1">
        <v>1762</v>
      </c>
      <c r="C256" s="1">
        <v>372677</v>
      </c>
      <c r="D256" s="1">
        <v>248</v>
      </c>
      <c r="E256">
        <f>Table4[[#This Row],[SpellID]]-Table5[[#This Row],[Spell ID]]</f>
        <v>0</v>
      </c>
      <c r="G256" s="8">
        <v>372677</v>
      </c>
      <c r="H256" s="5" t="s">
        <v>406</v>
      </c>
      <c r="I256" s="5" t="s">
        <v>407</v>
      </c>
      <c r="J256" s="5">
        <v>2.8</v>
      </c>
      <c r="K256" s="9">
        <v>0.6</v>
      </c>
      <c r="L256" s="5">
        <v>0</v>
      </c>
      <c r="M256" s="5">
        <v>1</v>
      </c>
      <c r="N256" s="5">
        <v>0</v>
      </c>
      <c r="O256" s="5">
        <v>192455</v>
      </c>
      <c r="P256" s="5" t="s">
        <v>361</v>
      </c>
      <c r="Q256" s="5">
        <v>1</v>
      </c>
      <c r="R256" s="5">
        <v>1</v>
      </c>
      <c r="S256" s="14">
        <v>1</v>
      </c>
    </row>
    <row r="257" spans="1:19" x14ac:dyDescent="0.35">
      <c r="A257" t="s">
        <v>77</v>
      </c>
      <c r="B257" s="1">
        <v>1764</v>
      </c>
      <c r="C257" s="1">
        <v>387311</v>
      </c>
      <c r="D257" s="1">
        <v>248</v>
      </c>
      <c r="E257">
        <f>Table4[[#This Row],[SpellID]]-Table5[[#This Row],[Spell ID]]</f>
        <v>0</v>
      </c>
      <c r="G257" s="8">
        <v>387311</v>
      </c>
      <c r="H257" s="5" t="s">
        <v>77</v>
      </c>
      <c r="I257" s="5" t="s">
        <v>390</v>
      </c>
      <c r="J257" s="5">
        <v>2.8</v>
      </c>
      <c r="K257" s="9">
        <v>0.6</v>
      </c>
      <c r="L257" s="5">
        <v>0</v>
      </c>
      <c r="M257" s="5">
        <v>1</v>
      </c>
      <c r="N257" s="5">
        <v>0</v>
      </c>
      <c r="O257" s="5">
        <v>0</v>
      </c>
      <c r="P257" s="5" t="s">
        <v>434</v>
      </c>
      <c r="Q257" s="5">
        <v>1</v>
      </c>
      <c r="R257" s="5">
        <v>1</v>
      </c>
      <c r="S257" s="14">
        <v>1</v>
      </c>
    </row>
    <row r="258" spans="1:19" x14ac:dyDescent="0.35">
      <c r="A258" t="s">
        <v>87</v>
      </c>
      <c r="B258" s="1">
        <v>1765</v>
      </c>
      <c r="C258" s="1">
        <v>387319</v>
      </c>
      <c r="D258" s="1">
        <v>230</v>
      </c>
      <c r="E258">
        <f>Table4[[#This Row],[SpellID]]-Table5[[#This Row],[Spell ID]]</f>
        <v>0</v>
      </c>
      <c r="G258" s="8">
        <v>387319</v>
      </c>
      <c r="H258" s="5" t="s">
        <v>87</v>
      </c>
      <c r="I258" s="5" t="s">
        <v>387</v>
      </c>
      <c r="J258" s="5">
        <v>1</v>
      </c>
      <c r="K258" s="9">
        <v>1</v>
      </c>
      <c r="L258" s="5">
        <v>0</v>
      </c>
      <c r="M258" s="5">
        <v>1</v>
      </c>
      <c r="N258" s="5">
        <v>0</v>
      </c>
      <c r="O258" s="5">
        <v>0</v>
      </c>
      <c r="P258" s="5" t="s">
        <v>435</v>
      </c>
      <c r="Q258" s="5">
        <v>1</v>
      </c>
      <c r="R258" s="5">
        <v>1</v>
      </c>
      <c r="S258" s="14">
        <v>1</v>
      </c>
    </row>
    <row r="259" spans="1:19" x14ac:dyDescent="0.35">
      <c r="A259" t="s">
        <v>274</v>
      </c>
      <c r="B259" s="1">
        <v>1767</v>
      </c>
      <c r="C259" s="1">
        <v>387321</v>
      </c>
      <c r="D259" s="1">
        <v>230</v>
      </c>
      <c r="E259">
        <f>Table4[[#This Row],[SpellID]]-Table5[[#This Row],[Spell ID]]</f>
        <v>0</v>
      </c>
      <c r="G259" s="12">
        <v>387321</v>
      </c>
      <c r="H259" s="11" t="s">
        <v>274</v>
      </c>
      <c r="I259" s="11" t="s">
        <v>395</v>
      </c>
      <c r="J259" s="11">
        <v>1</v>
      </c>
      <c r="K259" s="11">
        <v>1</v>
      </c>
      <c r="L259" s="11">
        <v>0</v>
      </c>
      <c r="M259" s="11">
        <v>1</v>
      </c>
      <c r="N259" s="11">
        <v>0</v>
      </c>
      <c r="O259" s="11">
        <v>198633</v>
      </c>
      <c r="P259" s="11" t="s">
        <v>325</v>
      </c>
      <c r="Q259" s="11">
        <v>1</v>
      </c>
      <c r="R259" s="11">
        <v>1</v>
      </c>
      <c r="S259" s="15">
        <v>1</v>
      </c>
    </row>
    <row r="260" spans="1:19" x14ac:dyDescent="0.35">
      <c r="A260" t="s">
        <v>76</v>
      </c>
      <c r="B260" s="1">
        <v>1768</v>
      </c>
      <c r="C260" s="1">
        <v>387323</v>
      </c>
      <c r="D260" s="1">
        <v>248</v>
      </c>
      <c r="E260">
        <f>Table4[[#This Row],[SpellID]]-Table5[[#This Row],[Spell ID]]</f>
        <v>0</v>
      </c>
      <c r="G260" s="8">
        <v>387323</v>
      </c>
      <c r="H260" s="5" t="s">
        <v>76</v>
      </c>
      <c r="I260" s="5" t="s">
        <v>390</v>
      </c>
      <c r="J260" s="5">
        <v>2.8</v>
      </c>
      <c r="K260" s="17">
        <v>0.6</v>
      </c>
      <c r="L260" s="5">
        <v>0</v>
      </c>
      <c r="M260" s="5">
        <v>1</v>
      </c>
      <c r="N260" s="5">
        <v>0</v>
      </c>
      <c r="O260" s="5">
        <v>0</v>
      </c>
      <c r="P260" s="5" t="s">
        <v>433</v>
      </c>
      <c r="Q260" s="5">
        <v>1</v>
      </c>
      <c r="R260" s="5">
        <v>1</v>
      </c>
      <c r="S260" s="14">
        <v>1</v>
      </c>
    </row>
    <row r="261" spans="1:19" x14ac:dyDescent="0.35">
      <c r="A261" t="s">
        <v>428</v>
      </c>
      <c r="B261" s="1">
        <v>1769</v>
      </c>
      <c r="C261" s="1">
        <v>388516</v>
      </c>
      <c r="D261" s="1">
        <v>248</v>
      </c>
      <c r="E261">
        <f>Table4[[#This Row],[SpellID]]-Table5[[#This Row],[Spell ID]]</f>
        <v>0</v>
      </c>
      <c r="G261" s="8">
        <v>388516</v>
      </c>
      <c r="H261" s="5" t="s">
        <v>428</v>
      </c>
      <c r="I261" s="5" t="s">
        <v>436</v>
      </c>
      <c r="J261" s="5">
        <v>1</v>
      </c>
      <c r="K261" s="17">
        <v>0.6</v>
      </c>
      <c r="L261" s="5">
        <v>0</v>
      </c>
      <c r="M261" s="5">
        <v>1</v>
      </c>
      <c r="N261" s="5">
        <v>0</v>
      </c>
      <c r="O261" s="5">
        <v>0</v>
      </c>
      <c r="P261" s="5" t="s">
        <v>433</v>
      </c>
      <c r="Q261" s="5">
        <v>1</v>
      </c>
      <c r="R261" s="5">
        <v>1</v>
      </c>
      <c r="S261" s="14">
        <v>1</v>
      </c>
    </row>
    <row r="262" spans="1:19" x14ac:dyDescent="0.35">
      <c r="A262" t="s">
        <v>426</v>
      </c>
      <c r="B262" s="1">
        <v>1770</v>
      </c>
      <c r="C262" s="1">
        <v>394209</v>
      </c>
      <c r="D262" s="1">
        <v>248</v>
      </c>
      <c r="E262">
        <f>Table4[[#This Row],[SpellID]]-Table5[[#This Row],[Spell ID]]</f>
        <v>0</v>
      </c>
      <c r="G262" s="8">
        <v>394209</v>
      </c>
      <c r="H262" s="5" t="s">
        <v>426</v>
      </c>
      <c r="I262" s="5" t="s">
        <v>376</v>
      </c>
      <c r="J262" s="5">
        <v>2.8</v>
      </c>
      <c r="K262" s="17">
        <v>0.6</v>
      </c>
      <c r="L262" s="5">
        <v>0</v>
      </c>
      <c r="M262" s="5">
        <v>1</v>
      </c>
      <c r="N262" s="5">
        <v>0</v>
      </c>
      <c r="O262" s="5">
        <v>0</v>
      </c>
      <c r="P262" s="5" t="s">
        <v>437</v>
      </c>
      <c r="Q262" s="5">
        <v>1</v>
      </c>
      <c r="R262" s="5">
        <v>1</v>
      </c>
      <c r="S262" s="14">
        <v>1</v>
      </c>
    </row>
    <row r="263" spans="1:19" x14ac:dyDescent="0.35">
      <c r="A263" t="s">
        <v>429</v>
      </c>
      <c r="B263" s="1">
        <v>1832</v>
      </c>
      <c r="C263" s="1">
        <v>416158</v>
      </c>
      <c r="D263" s="1">
        <v>248</v>
      </c>
      <c r="E263">
        <f>Table4[[#This Row],[SpellID]]-Table5[[#This Row],[Spell ID]]</f>
        <v>0</v>
      </c>
      <c r="G263" s="8">
        <v>416158</v>
      </c>
      <c r="H263" s="5" t="s">
        <v>429</v>
      </c>
      <c r="I263" s="5" t="s">
        <v>376</v>
      </c>
      <c r="J263" s="5">
        <v>2.8</v>
      </c>
      <c r="K263" s="17">
        <v>1.5</v>
      </c>
      <c r="L263" s="5">
        <v>0</v>
      </c>
      <c r="M263" s="5">
        <v>1</v>
      </c>
      <c r="N263" s="5">
        <v>0</v>
      </c>
      <c r="O263" s="5">
        <v>0</v>
      </c>
      <c r="P263" s="5" t="s">
        <v>433</v>
      </c>
      <c r="Q263" s="5">
        <v>1</v>
      </c>
      <c r="R263" s="5">
        <v>1</v>
      </c>
      <c r="S263" s="14">
        <v>1</v>
      </c>
    </row>
  </sheetData>
  <conditionalFormatting sqref="K259:K263 O1:O263">
    <cfRule type="duplicateValues" dxfId="1" priority="1"/>
  </conditionalFormatting>
  <conditionalFormatting sqref="G1:G263">
    <cfRule type="duplicateValues" dxfId="0" priority="271"/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</vt:lpstr>
      <vt:lpstr>MountsByName</vt:lpstr>
      <vt:lpstr>MountsBySpell</vt:lpstr>
      <vt:lpstr>FinalData</vt:lpstr>
      <vt:lpstr>SpellID List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</dc:creator>
  <cp:lastModifiedBy>Timothy Page</cp:lastModifiedBy>
  <dcterms:created xsi:type="dcterms:W3CDTF">2022-07-28T01:24:52Z</dcterms:created>
  <dcterms:modified xsi:type="dcterms:W3CDTF">2025-08-26T01:37:26Z</dcterms:modified>
</cp:coreProperties>
</file>